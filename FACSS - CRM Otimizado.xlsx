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5"/>
    <sheet state="visible" name="Dicionário de Aprendizado" sheetId="2" r:id="rId6"/>
    <sheet state="visible" name="Dashboard" sheetId="3" r:id="rId7"/>
    <sheet state="visible" name="Clientes" sheetId="4" r:id="rId8"/>
    <sheet state="visible" name="Pipeline" sheetId="5" r:id="rId9"/>
    <sheet state="visible" name="Controle de OS" sheetId="6" r:id="rId10"/>
    <sheet state="visible" name="Módulos" sheetId="7" r:id="rId11"/>
    <sheet state="visible" name="Interações" sheetId="8" r:id="rId12"/>
    <sheet state="visible" name="T&amp;D" sheetId="9" r:id="rId13"/>
    <sheet state="visible" name="Config" sheetId="10" r:id="rId14"/>
  </sheets>
  <definedNames>
    <definedName hidden="1" localSheetId="3" name="_xlnm._FilterDatabase">Clientes!$A$1:$R$48</definedName>
    <definedName hidden="1" localSheetId="4" name="_xlnm._FilterDatabase">Pipeline!$A$1:$M$25</definedName>
    <definedName hidden="1" localSheetId="7" name="_xlnm._FilterDatabase">'Interações'!$A$1:$G$204</definedName>
    <definedName hidden="1" localSheetId="8" name="_xlnm._FilterDatabase">'T&amp;D'!$B$10:$M$225</definedName>
    <definedName hidden="1" localSheetId="6" name="Z_52A472C3_B53C_4D98_B8DE_BB1368170433_.wvu.FilterData">'Módulos'!$A$1:$M$1639</definedName>
    <definedName hidden="1" localSheetId="6" name="Z_5A38A56B_26F9_4374_A21C_9CE431399FE2_.wvu.FilterData">'Módulos'!$A$1:$M$1617</definedName>
    <definedName hidden="1" localSheetId="6" name="Z_8D2FD79C_326F_48CC_A01E_98CA59423771_.wvu.FilterData">'Módulos'!$A$1:$M$1639</definedName>
    <definedName hidden="1" localSheetId="5" name="Z_CB9CB031_55E0_4505_A187_374997BAF372_.wvu.FilterData">'Controle de OS'!$A$1:$R$655</definedName>
    <definedName hidden="1" localSheetId="5" name="Z_AC04F9B2_CFB8_412D_89A5_5D1912475FB7_.wvu.FilterData">'Controle de OS'!$A$1:$R$655</definedName>
    <definedName hidden="1" localSheetId="6" name="Z_C1148C2A_1896_49F2_9F52_F1E8F4D5F71B_.wvu.FilterData">'Módulos'!$A$1:$M$1639</definedName>
    <definedName hidden="1" localSheetId="6" name="Z_8A2988DE_95E3_4072_9556_455BCBE37C73_.wvu.FilterData">'Módulos'!$A$1:$N$2223</definedName>
    <definedName hidden="1" localSheetId="6" name="Z_C3E74710_A46B_436D_9E1D_74205382425D_.wvu.FilterData">'Módulos'!$A$1:$M$1639</definedName>
  </definedNames>
  <calcPr/>
  <customWorkbookViews>
    <customWorkbookView activeSheetId="0" maximized="1" windowHeight="0" windowWidth="0" guid="{52A472C3-B53C-4D98-B8DE-BB1368170433}" name="Filtro FH22"/>
    <customWorkbookView activeSheetId="0" maximized="1" windowHeight="0" windowWidth="0" guid="{5A38A56B-26F9-4374-A21C-9CE431399FE2}" name="Filtro VOLVO"/>
    <customWorkbookView activeSheetId="0" maximized="1" windowHeight="0" windowWidth="0" guid="{8D2FD79C-326F-48CC-A01E-98CA59423771}" name="Filtro empresas"/>
    <customWorkbookView activeSheetId="0" maximized="1" windowHeight="0" windowWidth="0" guid="{CB9CB031-55E0-4505-A187-374997BAF372}" name="Filtro Torre de Controle"/>
    <customWorkbookView activeSheetId="0" maximized="1" windowHeight="0" windowWidth="0" guid="{AC04F9B2-CFB8-412D-89A5-5D1912475FB7}" name="Filtro Telemetria"/>
    <customWorkbookView activeSheetId="0" maximized="1" windowHeight="0" windowWidth="0" guid="{C1148C2A-1896-49F2-9F52-F1E8F4D5F71B}" name="Filtro 2"/>
    <customWorkbookView activeSheetId="0" maximized="1" windowHeight="0" windowWidth="0" guid="{8A2988DE-95E3-4072-9556-455BCBE37C73}" name="Flávio"/>
    <customWorkbookView activeSheetId="0" maximized="1" windowHeight="0" windowWidth="0" guid="{C3E74710-A46B-436D-9E1D-74205382425D}" name="Atualização de config"/>
  </customWorkbookViews>
</workbook>
</file>

<file path=xl/sharedStrings.xml><?xml version="1.0" encoding="utf-8"?>
<sst xmlns="http://schemas.openxmlformats.org/spreadsheetml/2006/main" count="20644" uniqueCount="4374">
  <si>
    <t>FACSS — CRM Otimizado (Clientes + Pipeline)</t>
  </si>
  <si>
    <t>Reconstrução da sua aba Clientes: 1 linha por cliente, atributos em colunas com listas suspensas, log de meses normalizado.</t>
  </si>
  <si>
    <t>FACSS — Painel de Clientes &amp; Pipeline</t>
  </si>
  <si>
    <t>📘 Dicionário de Aprendizado — CRM FACSS</t>
  </si>
  <si>
    <t>Abas</t>
  </si>
  <si>
    <t>Atualiza automaticamente conforme você edita as abas Clientes e Pipeline</t>
  </si>
  <si>
    <t>Clientes</t>
  </si>
  <si>
    <t>Cliente</t>
  </si>
  <si>
    <t>Um cliente por linha. Colunas de Status, Faturamento, Acesso, Fidelidade, Módulos, Treinamento e Evolução têm listas suspensas (padroniza o preenchimento). A coluna 'Health' é automática.</t>
  </si>
  <si>
    <t>Interações</t>
  </si>
  <si>
    <t>Substitui as 12 colunas de meses. Cada contato = 1 linha (Data, Cliente, Responsável, Tipo, Observação, Próximo passo). Migrei jun/jul como exemplo. Continue registrando aqui.</t>
  </si>
  <si>
    <t>Carteira por status</t>
  </si>
  <si>
    <t>Pipeline</t>
  </si>
  <si>
    <t>Funil de NOVOS clientes (os 29 lookalikes de RLR/Aperam/Sempre Volta). Estágio com dropdown; 'Valor ponderado' calcula sozinho (veículos × ticket × probabilidade do estágio).</t>
  </si>
  <si>
    <t>Dashboard</t>
  </si>
  <si>
    <t>Tudo automático por fórmula: carteira por status, faturamento, health, veículos, carga por responsável e funil comercial.</t>
  </si>
  <si>
    <t>Config</t>
  </si>
  <si>
    <t>Listas das suspensas e o Ticket (R$/veículo/mês) em P2 — edite com seu valor real.</t>
  </si>
  <si>
    <t>Status</t>
  </si>
  <si>
    <t>Como importar no Google Sheets</t>
  </si>
  <si>
    <t>Faturamento</t>
  </si>
  <si>
    <t>Abra sua planilha → Arquivo → Importar → Enviar (faça upload deste .xlsx) → escolha 'Inserir nova(s) aba(s)'. As 6 abas entram sem apagar o que você já tem.</t>
  </si>
  <si>
    <t>Health da carteira</t>
  </si>
  <si>
    <t>Resp.</t>
  </si>
  <si>
    <t>Preencher</t>
  </si>
  <si>
    <t>Pipeline comercial (novos)</t>
  </si>
  <si>
    <t>Termo</t>
  </si>
  <si>
    <t>As colunas em amarelo (Config P2) e as datas/próximas ações são pra você manter. Use as suspensas — não digite texto livre nos campos de status.</t>
  </si>
  <si>
    <t>Health</t>
  </si>
  <si>
    <t>Exemplo de linha (Clientes)</t>
  </si>
  <si>
    <t>CNPJ</t>
  </si>
  <si>
    <t>Contato</t>
  </si>
  <si>
    <t>ÁGUA BONITA | Ativo | Faturando | Diego | ... | 6 veículos | Não faz | Telemetria II | Sem fidelidade | Módulos operando | Desatualizado | Sem evolução → Health = 🟡 Atenção (fatura, mas treinamento desatualizado).</t>
  </si>
  <si>
    <t>Telefone</t>
  </si>
  <si>
    <t>E-mail</t>
  </si>
  <si>
    <t>Ativos</t>
  </si>
  <si>
    <t>Início</t>
  </si>
  <si>
    <t>Significado / O que representa</t>
  </si>
  <si>
    <t>Observações</t>
  </si>
  <si>
    <t>ABAS DA PLANILHA</t>
  </si>
  <si>
    <t>Módulos</t>
  </si>
  <si>
    <t>Sistema Jornada</t>
  </si>
  <si>
    <t>Instruções</t>
  </si>
  <si>
    <t>Aba-guia com o passo a passo e a lógica de montagem do CRM.</t>
  </si>
  <si>
    <t>Nível de acesso</t>
  </si>
  <si>
    <t>Fidelidade</t>
  </si>
  <si>
    <t>Leia antes de preencher.</t>
  </si>
  <si>
    <t>Treinamento</t>
  </si>
  <si>
    <t>Evolução</t>
  </si>
  <si>
    <t>Última interação</t>
  </si>
  <si>
    <t>AAS SOLUÇÕES</t>
  </si>
  <si>
    <t>Painel de indicadores calculado automaticamente por fórmulas.</t>
  </si>
  <si>
    <t>Não edite manualmente.</t>
  </si>
  <si>
    <t>Cadastro da carteira: 1 linha por cliente.</t>
  </si>
  <si>
    <t>A coluna Health é automática.</t>
  </si>
  <si>
    <t>Registro (log) de contatos: 1 linha por contato.</t>
  </si>
  <si>
    <t>🟢 Saudável</t>
  </si>
  <si>
    <t>Substituiu as antigas colunas de meses.</t>
  </si>
  <si>
    <t>Funil de NOVOS clientes (prospecção comercial).</t>
  </si>
  <si>
    <t>Valor ponderado é automático.</t>
  </si>
  <si>
    <t>Listas suspensas e parâmetros da planilha.</t>
  </si>
  <si>
    <t>Não apagar; edite só os valores.</t>
  </si>
  <si>
    <t>STATUS DO CLIENTE</t>
  </si>
  <si>
    <t>Ativo</t>
  </si>
  <si>
    <t>Cliente já operando com o produto.</t>
  </si>
  <si>
    <t>Lead</t>
  </si>
  <si>
    <t>Status da carteira.</t>
  </si>
  <si>
    <t>Período de teste</t>
  </si>
  <si>
    <t>Cliente em avaliação ou trial.</t>
  </si>
  <si>
    <t>Proposta comercial</t>
  </si>
  <si>
    <t>Proposta enviada; cliente em decisão.</t>
  </si>
  <si>
    <t>Prospecção</t>
  </si>
  <si>
    <t>Ainda em abordagem inicial.</t>
  </si>
  <si>
    <t>FATURAMENTO</t>
  </si>
  <si>
    <t>POC Sem Evolução</t>
  </si>
  <si>
    <t>Faturando</t>
  </si>
  <si>
    <t>Cliente gerando receita ativa.</t>
  </si>
  <si>
    <t>Sem faturar</t>
  </si>
  <si>
    <t>Faturamento inativo</t>
  </si>
  <si>
    <t>Cliente sem cobrança no momento.</t>
  </si>
  <si>
    <t>🟡 Atenção</t>
  </si>
  <si>
    <t>Diego</t>
  </si>
  <si>
    <t>Já faturou, mas está parado.</t>
  </si>
  <si>
    <t>NÍVEL DE ACESSO (TELEMETRIA)</t>
  </si>
  <si>
    <t>Contato feito</t>
  </si>
  <si>
    <t>Telemetria II</t>
  </si>
  <si>
    <t>Acesso e integração mais completos aos dados de telemetria.</t>
  </si>
  <si>
    <t>Telemetria I</t>
  </si>
  <si>
    <t>Acesso básico à telemetria.</t>
  </si>
  <si>
    <t>Sem acesso</t>
  </si>
  <si>
    <t>Sem integração de telemetria.</t>
  </si>
  <si>
    <t>SAÚDE DA CARTEIRA (HEALTH automático)</t>
  </si>
  <si>
    <t>Saudável</t>
  </si>
  <si>
    <t>Cliente em boa situação (verde).</t>
  </si>
  <si>
    <t>Calculado pelo sistema.</t>
  </si>
  <si>
    <t>Atenção</t>
  </si>
  <si>
    <t>Exige acompanhamento (amarelo).</t>
  </si>
  <si>
    <t>🔴 Risco</t>
  </si>
  <si>
    <t>Risco</t>
  </si>
  <si>
    <t>Risco de perda ou churn (vermelho).</t>
  </si>
  <si>
    <t>Ainda não é cliente efetivo.</t>
  </si>
  <si>
    <t>Sem dados (preencher)</t>
  </si>
  <si>
    <t>Faltam informações para calcular a saúde.</t>
  </si>
  <si>
    <t>FIDELIDADE, TREINAMENTO E EVOLUÇÃO</t>
  </si>
  <si>
    <t>Fidelidade 12 meses</t>
  </si>
  <si>
    <t>Diagnóstico agendado</t>
  </si>
  <si>
    <t>Contrato com fidelidade de 12 meses.</t>
  </si>
  <si>
    <t>Sem fidelidade</t>
  </si>
  <si>
    <t>Sem cláusula de fidelidade.</t>
  </si>
  <si>
    <t>Fidelizar</t>
  </si>
  <si>
    <t>Meta de conquistar a fidelidade do cliente.</t>
  </si>
  <si>
    <t>Módulos operando</t>
  </si>
  <si>
    <t>Módulos do produto em uso.</t>
  </si>
  <si>
    <t>Checar módulos</t>
  </si>
  <si>
    <t>Verificar quais módulos estão ativos.</t>
  </si>
  <si>
    <t>Atualizado</t>
  </si>
  <si>
    <t>Treinamento do cliente em dia.</t>
  </si>
  <si>
    <t>Desatualizado</t>
  </si>
  <si>
    <t>Treinamento pendente ou vencido.</t>
  </si>
  <si>
    <t>Com evolução</t>
  </si>
  <si>
    <t>Cliente evoluindo no uso do produto.</t>
  </si>
  <si>
    <t>Sem evolução</t>
  </si>
  <si>
    <t>Cliente estagnado no uso.</t>
  </si>
  <si>
    <t>SISTEMAS DE TELEMETRIA (fornecedores)</t>
  </si>
  <si>
    <t>07.453115/0001-80</t>
  </si>
  <si>
    <t>Luiz Fernando</t>
  </si>
  <si>
    <t>(31) 97202-5800</t>
  </si>
  <si>
    <t>administrtivo@solucoesaas.com.br</t>
  </si>
  <si>
    <t>AIKO</t>
  </si>
  <si>
    <t>Plataforma de rastreamento e telemetria.</t>
  </si>
  <si>
    <t>Trucks Control</t>
  </si>
  <si>
    <t>Sascar</t>
  </si>
  <si>
    <t>Link</t>
  </si>
  <si>
    <t>Acesso via link ou integração.</t>
  </si>
  <si>
    <t>Não faz</t>
  </si>
  <si>
    <t>Cliente não usa telemetria.</t>
  </si>
  <si>
    <t>ESTÁGIOS DO FUNIL (PIPELINE)</t>
  </si>
  <si>
    <t>Oportunidade inicial identificada.</t>
  </si>
  <si>
    <t>Probabilidade 5%.</t>
  </si>
  <si>
    <t>⚪ Sem dados</t>
  </si>
  <si>
    <t>Primeiro contato realizado.</t>
  </si>
  <si>
    <t>Probabilidade 10%.</t>
  </si>
  <si>
    <t>Reunião de diagnóstico marcada.</t>
  </si>
  <si>
    <t>Probabilidade 25%.</t>
  </si>
  <si>
    <t>Diagnóstico feito</t>
  </si>
  <si>
    <t>Diagnóstico concluído.</t>
  </si>
  <si>
    <t>Probabilidade 40%.</t>
  </si>
  <si>
    <t>Proposta enviada</t>
  </si>
  <si>
    <t>Proposta comercial enviada.</t>
  </si>
  <si>
    <t>Probabilidade 60%.</t>
  </si>
  <si>
    <t>Negociação</t>
  </si>
  <si>
    <t>Em negociação final.</t>
  </si>
  <si>
    <t>Probabilidade 80%.</t>
  </si>
  <si>
    <t>Fechado - Ganho</t>
  </si>
  <si>
    <t>Negócio fechado com sucesso.</t>
  </si>
  <si>
    <t>Probabilidade 100%.</t>
  </si>
  <si>
    <t>Fechado - Perdido</t>
  </si>
  <si>
    <t>Oportunidade perdida.</t>
  </si>
  <si>
    <t>Probabilidade 0%.</t>
  </si>
  <si>
    <t>CANAIS DE AQUISIÇÃO</t>
  </si>
  <si>
    <t>Telemetria suspensa</t>
  </si>
  <si>
    <t>Outbound LinkedIn</t>
  </si>
  <si>
    <t>Prospecção ativa via LinkedIn.</t>
  </si>
  <si>
    <t>Clientes Inativo</t>
  </si>
  <si>
    <t>Outbound e-mail</t>
  </si>
  <si>
    <t>Prospecção ativa via e-mail.</t>
  </si>
  <si>
    <t>Sem dados</t>
  </si>
  <si>
    <t>Contato direto por telefone.</t>
  </si>
  <si>
    <t>WhatsApp</t>
  </si>
  <si>
    <t>Contato direto por WhatsApp.</t>
  </si>
  <si>
    <t>Indicação</t>
  </si>
  <si>
    <t>Cliente veio por indicação.</t>
  </si>
  <si>
    <t>Evento</t>
  </si>
  <si>
    <t>Contato originado em evento.</t>
  </si>
  <si>
    <t>Parceria</t>
  </si>
  <si>
    <t>Origem via parceiro.</t>
  </si>
  <si>
    <t>TIPOS DE INTERAÇÃO</t>
  </si>
  <si>
    <t>POCs Sem Evolução</t>
  </si>
  <si>
    <t>Interação</t>
  </si>
  <si>
    <t>Contato genérico registrado.</t>
  </si>
  <si>
    <t>Reunião</t>
  </si>
  <si>
    <t>Encontro ou call.</t>
  </si>
  <si>
    <t>Sessão de capacitação.</t>
  </si>
  <si>
    <t>Condução assistida</t>
  </si>
  <si>
    <t>Acompanhamento operacional guiado.</t>
  </si>
  <si>
    <t>Inativado</t>
  </si>
  <si>
    <t>Cobrança</t>
  </si>
  <si>
    <t>Contato sobre pagamento.</t>
  </si>
  <si>
    <t>Suporte</t>
  </si>
  <si>
    <t>Atendimento de suporte.</t>
  </si>
  <si>
    <t>PRIORIDADE (PIPELINE)</t>
  </si>
  <si>
    <t>A</t>
  </si>
  <si>
    <t>Alta prioridade.</t>
  </si>
  <si>
    <t>ÁGUA BONITA</t>
  </si>
  <si>
    <t>Prospecção sem Sucesso</t>
  </si>
  <si>
    <t>B</t>
  </si>
  <si>
    <t>Média prioridade.</t>
  </si>
  <si>
    <t>C</t>
  </si>
  <si>
    <t>Baixa prioridade.</t>
  </si>
  <si>
    <t>MÉTRICAS E CONCEITOS</t>
  </si>
  <si>
    <t>Valor ponderado</t>
  </si>
  <si>
    <t>Receita esperada do funil: veículos x ticket x probabilidade do estágio.</t>
  </si>
  <si>
    <t>Coluna do Pipeline.</t>
  </si>
  <si>
    <t>Ticket (R$ por veículo ao mês)</t>
  </si>
  <si>
    <t>Preço médio por veículo por mês (premissa base).</t>
  </si>
  <si>
    <t>Definido na aba Config.</t>
  </si>
  <si>
    <t>Prospects (total)</t>
  </si>
  <si>
    <t>Total de oportunidades no funil.</t>
  </si>
  <si>
    <t>Indicador do Dashboard.</t>
  </si>
  <si>
    <t>Health (auto)</t>
  </si>
  <si>
    <t>Classificação automática de saúde do cliente.</t>
  </si>
  <si>
    <t>Coluna da aba Clientes.</t>
  </si>
  <si>
    <t>01.042.849/0001-90</t>
  </si>
  <si>
    <t>(31) 3147-0266 / 99619-5320</t>
  </si>
  <si>
    <t>Operação</t>
  </si>
  <si>
    <t>diegoapc@yahoo.com.br</t>
  </si>
  <si>
    <t>Total de veículos</t>
  </si>
  <si>
    <t>Prioridade</t>
  </si>
  <si>
    <t>Empresa</t>
  </si>
  <si>
    <t>Segmento</t>
  </si>
  <si>
    <t>UF/Região</t>
  </si>
  <si>
    <t>Nº veíc. (est.)</t>
  </si>
  <si>
    <t>Decisor-alvo</t>
  </si>
  <si>
    <t>Canal</t>
  </si>
  <si>
    <t>Valor ponderado (R$/mês)</t>
  </si>
  <si>
    <t>Estágio</t>
  </si>
  <si>
    <t>Próxima ação</t>
  </si>
  <si>
    <t>Realizar Capacitação</t>
  </si>
  <si>
    <t>Data próx. ação</t>
  </si>
  <si>
    <t>Dor / Gancho</t>
  </si>
  <si>
    <t>APERAM Carvão</t>
  </si>
  <si>
    <t>Guilherme</t>
  </si>
  <si>
    <t>Nº DA OS</t>
  </si>
  <si>
    <t>18.238.980/0094-20</t>
  </si>
  <si>
    <t>Ailton</t>
  </si>
  <si>
    <t>(33) 99849-3803</t>
  </si>
  <si>
    <t>ailton.azevedo@aperam.com.br</t>
  </si>
  <si>
    <t>STATUS</t>
  </si>
  <si>
    <t>Expresso Alvorada</t>
  </si>
  <si>
    <t>Interações registradas</t>
  </si>
  <si>
    <t>Granel sólido (cimento/siderurgia/coque)</t>
  </si>
  <si>
    <t>MG</t>
  </si>
  <si>
    <t>Diretor de Operações / Dono</t>
  </si>
  <si>
    <t>Capacitação Efetiva</t>
  </si>
  <si>
    <t>QUEM ABRIU</t>
  </si>
  <si>
    <t>APERAM Madeira</t>
  </si>
  <si>
    <t>EMPRESA</t>
  </si>
  <si>
    <t>Pablo</t>
  </si>
  <si>
    <t>SOLICITANTE</t>
  </si>
  <si>
    <t>Diagnóstico de risco Lei 13.103</t>
  </si>
  <si>
    <t>-</t>
  </si>
  <si>
    <t>Clientes p/ Diego</t>
  </si>
  <si>
    <t>João / Adilson Alves (Supervisor)</t>
  </si>
  <si>
    <t>CONTATO</t>
  </si>
  <si>
    <t>(33) 99915-4208 / (38) 9906-3301</t>
  </si>
  <si>
    <t>DATA</t>
  </si>
  <si>
    <t>adilsom.alvesfernandes@aperam.com</t>
  </si>
  <si>
    <t>HORA</t>
  </si>
  <si>
    <t>CRITICIDADE</t>
  </si>
  <si>
    <t>ANALISTA</t>
  </si>
  <si>
    <t>PRODUTO/SERVIÇO</t>
  </si>
  <si>
    <t>DESCRIÇÃO DA DEMANDA</t>
  </si>
  <si>
    <t>Clientes p/ Guilherme</t>
  </si>
  <si>
    <t>PLACA</t>
  </si>
  <si>
    <t>SLA (Objetivo)</t>
  </si>
  <si>
    <t>VENCIMENTO</t>
  </si>
  <si>
    <t>SOLUÇÃO/COMENTÁRIOS/EVOLUÇÃO</t>
  </si>
  <si>
    <t>CONCLUSÃO</t>
  </si>
  <si>
    <t>Clientes p/ Pablo</t>
  </si>
  <si>
    <t>2026000001</t>
  </si>
  <si>
    <t>Em POC</t>
  </si>
  <si>
    <t>BEIRA RIO</t>
  </si>
  <si>
    <t>16.883.860/0001-50</t>
  </si>
  <si>
    <t>Breno / Arthur</t>
  </si>
  <si>
    <t>(38) 98402-3720</t>
  </si>
  <si>
    <t>breno@grupobeirario.com.br / arthur@grupobeirario.com.br</t>
  </si>
  <si>
    <t>FINALIZADO</t>
  </si>
  <si>
    <t>MARLON</t>
  </si>
  <si>
    <t>Espelho da Aperam; já usa rastreamento satelital</t>
  </si>
  <si>
    <t>BRITO SERVIÇO</t>
  </si>
  <si>
    <t>GT Minas Transportes</t>
  </si>
  <si>
    <t>Granel / container</t>
  </si>
  <si>
    <t>Varginha-MG</t>
  </si>
  <si>
    <t>Gestor de Frota</t>
  </si>
  <si>
    <t>Eric Julian</t>
  </si>
  <si>
    <t>M1</t>
  </si>
  <si>
    <t>(31) 99228-1313</t>
  </si>
  <si>
    <t>ericjulian@britoservicos.com.br</t>
  </si>
  <si>
    <t>Enviar diagnóstico gratuito</t>
  </si>
  <si>
    <t>Deivson Figueredo</t>
  </si>
  <si>
    <t>Marca</t>
  </si>
  <si>
    <t>Modelo</t>
  </si>
  <si>
    <t>Ano Modelo</t>
  </si>
  <si>
    <t>ID Módulo Atual</t>
  </si>
  <si>
    <t>Chip</t>
  </si>
  <si>
    <t>Frota 100% rastreada, mid-market MG</t>
  </si>
  <si>
    <t>CONFINS</t>
  </si>
  <si>
    <t>Transportes Faraem</t>
  </si>
  <si>
    <t>Graneleiro (Sul/Sudeste)</t>
  </si>
  <si>
    <t>RS/SC</t>
  </si>
  <si>
    <t>Data Instalação</t>
  </si>
  <si>
    <t>Diretor de Operações</t>
  </si>
  <si>
    <t>ATENDIDO</t>
  </si>
  <si>
    <t>Situação</t>
  </si>
  <si>
    <t>Calculadora ROI diesel</t>
  </si>
  <si>
    <t>Observação</t>
  </si>
  <si>
    <t>Cadastrado no APP</t>
  </si>
  <si>
    <t>FALHA ENCONTRADA</t>
  </si>
  <si>
    <t>ULTIMO REPORT</t>
  </si>
  <si>
    <t>Graneleiro longa distância</t>
  </si>
  <si>
    <t>Sada Transportes</t>
  </si>
  <si>
    <t>Cegonha / siderurgia</t>
  </si>
  <si>
    <t>LNR TTP6B56 3769</t>
  </si>
  <si>
    <t>Betim-MG</t>
  </si>
  <si>
    <t>SUPORTE</t>
  </si>
  <si>
    <t>Case Aperam mesma região</t>
  </si>
  <si>
    <t>Relatório de rastreio</t>
  </si>
  <si>
    <t>COOPERAUTO</t>
  </si>
  <si>
    <t xml:space="preserve">TCR3G73
</t>
  </si>
  <si>
    <t>VOLVO</t>
  </si>
  <si>
    <t>Peer siderúrgico da Aperam</t>
  </si>
  <si>
    <t>FH 500 6X2T</t>
  </si>
  <si>
    <t>Transpanorama</t>
  </si>
  <si>
    <t>Granel líquido / químico</t>
  </si>
  <si>
    <t>RS</t>
  </si>
  <si>
    <t>COO</t>
  </si>
  <si>
    <t>ESEYE</t>
  </si>
  <si>
    <t>Diagnóstico de jornada (carga perigosa)</t>
  </si>
  <si>
    <t>LENARGE</t>
  </si>
  <si>
    <t>Longa distância + carga perigosa</t>
  </si>
  <si>
    <t>Expresso Nepomuceno</t>
  </si>
  <si>
    <t>Carga geral longa distância</t>
  </si>
  <si>
    <t>COOPERVALE</t>
  </si>
  <si>
    <t>Três Corações-MG</t>
  </si>
  <si>
    <t>Diretor / Dono</t>
  </si>
  <si>
    <t>Pedir indicação via cliente MG</t>
  </si>
  <si>
    <t>Enviei o relatorio</t>
  </si>
  <si>
    <t>ATIVO</t>
  </si>
  <si>
    <t>modulo cadastrado traccar</t>
  </si>
  <si>
    <t>Tradicional MG, frota própria</t>
  </si>
  <si>
    <t>LNR TTR5E46 5285</t>
  </si>
  <si>
    <t>Del Rey Transportes</t>
  </si>
  <si>
    <t>Carga geral</t>
  </si>
  <si>
    <t>BH-MG</t>
  </si>
  <si>
    <t>Dono / Diretor</t>
  </si>
  <si>
    <t>2026000002</t>
  </si>
  <si>
    <t>One-pager compliance + demo</t>
  </si>
  <si>
    <t>DELLMAR</t>
  </si>
  <si>
    <t>LNR RKP6D22 1425</t>
  </si>
  <si>
    <t>Gabriel Felipe Viana da Silva</t>
  </si>
  <si>
    <t>13.254.104/0001-74</t>
  </si>
  <si>
    <t>FH 460 6X2</t>
  </si>
  <si>
    <t>Rogerio</t>
  </si>
  <si>
    <t>(11) 99007-8588</t>
  </si>
  <si>
    <t>rogerio.souza@dellmar.com.br</t>
  </si>
  <si>
    <t>Mid-market MG</t>
  </si>
  <si>
    <t>Transmathias Transportes</t>
  </si>
  <si>
    <t>Disponibilizar acesso ao APP LENARGE</t>
  </si>
  <si>
    <t>Carga / granel</t>
  </si>
  <si>
    <t>Dono / Gestor de Frota</t>
  </si>
  <si>
    <t>Diagnóstico + indicação regional</t>
  </si>
  <si>
    <t>Acesso ao APP Lenarge concedido.</t>
  </si>
  <si>
    <t>DNA</t>
  </si>
  <si>
    <t>2026000003</t>
  </si>
  <si>
    <t>LNR RKP6D21 9759</t>
  </si>
  <si>
    <t>Tora Transportes</t>
  </si>
  <si>
    <t>Granel sólido longa distância</t>
  </si>
  <si>
    <t>Gabriel Fernandes inacio</t>
  </si>
  <si>
    <t>Nacional</t>
  </si>
  <si>
    <t>ROI por veículo</t>
  </si>
  <si>
    <t>Lentidão generalizada no App Lenarge</t>
  </si>
  <si>
    <t>RLR QPT0I86 6403</t>
  </si>
  <si>
    <t>21.479.020/0001-67</t>
  </si>
  <si>
    <t>Deivison</t>
  </si>
  <si>
    <t>SCANIA</t>
  </si>
  <si>
    <t>(31) 99731-9189</t>
  </si>
  <si>
    <t>FH 460 6X2T</t>
  </si>
  <si>
    <t>dna.deivson@gmail.com / dna.mariana93@gmail.com</t>
  </si>
  <si>
    <t>RLR</t>
  </si>
  <si>
    <t>Alto consumo diesel</t>
  </si>
  <si>
    <t>conferencia 24/04</t>
  </si>
  <si>
    <t>Rodovale / Rodocap</t>
  </si>
  <si>
    <t>Granel / carga</t>
  </si>
  <si>
    <t>MG / interior</t>
  </si>
  <si>
    <t>RLR QQO4500 7709</t>
  </si>
  <si>
    <t>Calculadora de ROI</t>
  </si>
  <si>
    <t>2026000004</t>
  </si>
  <si>
    <t>EMF LOGÍSTICA</t>
  </si>
  <si>
    <t>RLR RFC1I73 7024</t>
  </si>
  <si>
    <t>DAF</t>
  </si>
  <si>
    <t>XF105 FTS 460A 2020</t>
  </si>
  <si>
    <t>05.151.226/0001-07</t>
  </si>
  <si>
    <t>Rafael</t>
  </si>
  <si>
    <t>(31) 9377-1430</t>
  </si>
  <si>
    <t>rafael.oliveira@emflogistica.com.br / pedro.estrugiaki@emflogistica.com.br</t>
  </si>
  <si>
    <t>Graneleiro mid-market</t>
  </si>
  <si>
    <t>RLR RFC4C29 0679</t>
  </si>
  <si>
    <t>FH 460 6X2T 2021</t>
  </si>
  <si>
    <t>ARQIA</t>
  </si>
  <si>
    <t>Cooxupé</t>
  </si>
  <si>
    <t>Cooperativa de café</t>
  </si>
  <si>
    <t>Guaxupé-MG/SP</t>
  </si>
  <si>
    <t>RLR RMF3I15 7369</t>
  </si>
  <si>
    <t>Diretor de Logística</t>
  </si>
  <si>
    <t>EXPRESSO TRANSPORTE</t>
  </si>
  <si>
    <t>FH 500 6X2T 2021</t>
  </si>
  <si>
    <t>Assessment de safra + case MG</t>
  </si>
  <si>
    <t>TELEMETRIA</t>
  </si>
  <si>
    <t>Veiculos não estão reportando no tracking</t>
  </si>
  <si>
    <t>27.892.478/0001-20</t>
  </si>
  <si>
    <t>RLR RMW4I63 8562</t>
  </si>
  <si>
    <t>Marcos Gabriel</t>
  </si>
  <si>
    <t>(31) 97135-8694</t>
  </si>
  <si>
    <t>administrativo@expressotransporte.com</t>
  </si>
  <si>
    <t>R450 A6X2 2021</t>
  </si>
  <si>
    <t>QUX9C89</t>
  </si>
  <si>
    <t>Coop MG (quintal), pico de safra</t>
  </si>
  <si>
    <t>RLR RMW4I74 6744</t>
  </si>
  <si>
    <t>Enviei a config</t>
  </si>
  <si>
    <t>Coamo</t>
  </si>
  <si>
    <t>Cooperativa agro (grãos)</t>
  </si>
  <si>
    <t>Campo Mourão-PR</t>
  </si>
  <si>
    <t>Assessment safra + case Coopervale</t>
  </si>
  <si>
    <t>RLR RMW9G19 7192</t>
  </si>
  <si>
    <t>Capacitação em Desenvolvimento</t>
  </si>
  <si>
    <t>FASI</t>
  </si>
  <si>
    <t>Frota própria grande</t>
  </si>
  <si>
    <t>RLR RMY5C47 4086</t>
  </si>
  <si>
    <t>QOL5H74</t>
  </si>
  <si>
    <t>C.Vale</t>
  </si>
  <si>
    <t>Cooperativa agroindustrial</t>
  </si>
  <si>
    <t>Palotina-PR</t>
  </si>
  <si>
    <t>Gerente de Logística</t>
  </si>
  <si>
    <t>03.886.930/0001-82</t>
  </si>
  <si>
    <t>Fabiano / João</t>
  </si>
  <si>
    <t>Case de cooperativa</t>
  </si>
  <si>
    <t>(31) 99957-6831 / (31) 99305-0034</t>
  </si>
  <si>
    <t>fabianoalex@fasitransportes.com.br</t>
  </si>
  <si>
    <t>RLR RMY7H08 8713</t>
  </si>
  <si>
    <t>RLR RMY7H15 8779</t>
  </si>
  <si>
    <t>Grãos/insumos, frota própria</t>
  </si>
  <si>
    <t xml:space="preserve">QPQ2J79 </t>
  </si>
  <si>
    <t>Comigo</t>
  </si>
  <si>
    <t>Cooperativa agro</t>
  </si>
  <si>
    <t>Rio Verde-GO</t>
  </si>
  <si>
    <t>Assessment de safra</t>
  </si>
  <si>
    <t>RLR RMY7H16 5172</t>
  </si>
  <si>
    <t>RLR RMY7H19 6814</t>
  </si>
  <si>
    <t>Alto volume de safra</t>
  </si>
  <si>
    <t xml:space="preserve">QMT4G46 </t>
  </si>
  <si>
    <t>Coopercitrus</t>
  </si>
  <si>
    <t>Cooperativa de insumos agro</t>
  </si>
  <si>
    <t>Bebedouro-SP</t>
  </si>
  <si>
    <t>Gerente de Frota</t>
  </si>
  <si>
    <t>GERDAU LENARGE</t>
  </si>
  <si>
    <t>One-pager agro + ROI</t>
  </si>
  <si>
    <t>Inativo</t>
  </si>
  <si>
    <t>RLR RMY7H21 9620</t>
  </si>
  <si>
    <t>RLR RMY7H24 7270</t>
  </si>
  <si>
    <t>Frota própria de distribuição</t>
  </si>
  <si>
    <t>Cocamar / Frísia / Castrolanda</t>
  </si>
  <si>
    <t>Cooperativas agro</t>
  </si>
  <si>
    <t>PR</t>
  </si>
  <si>
    <t xml:space="preserve">RNU5H15 </t>
  </si>
  <si>
    <t>RLR TDN1C55 0074</t>
  </si>
  <si>
    <t>Entrada peer entre coops</t>
  </si>
  <si>
    <t>R450 A6X2 2022</t>
  </si>
  <si>
    <t>2026000005</t>
  </si>
  <si>
    <t>RLR RTK6G80 4826</t>
  </si>
  <si>
    <t>R450 A6X2</t>
  </si>
  <si>
    <t>Frota própria, safra</t>
  </si>
  <si>
    <t>GFM</t>
  </si>
  <si>
    <t>Maria Vieira</t>
  </si>
  <si>
    <t>PABLO</t>
  </si>
  <si>
    <t>TORRE</t>
  </si>
  <si>
    <t>RLR RTX3B48 5460</t>
  </si>
  <si>
    <t>Usiminas</t>
  </si>
  <si>
    <t>Siderurgia</t>
  </si>
  <si>
    <t>Disponibilizar acesso ao APP LENARGE e liberação de permissão a funcionalidade de troca de motorista</t>
  </si>
  <si>
    <t>Ipatinga-MG (Vale do Aço)</t>
  </si>
  <si>
    <t>FH 460 6X2T 2022</t>
  </si>
  <si>
    <t>Gerente de Logística (unidade)</t>
  </si>
  <si>
    <t>Case Aperam (mesma região)</t>
  </si>
  <si>
    <t>Acesso ao APP Lenarge concedido e permissão para troca de motorista liberada.</t>
  </si>
  <si>
    <t>RLR RTX3B56 7879</t>
  </si>
  <si>
    <t>2026000006</t>
  </si>
  <si>
    <t>RLR RUC9I08 1503</t>
  </si>
  <si>
    <t>Letícia Cristina</t>
  </si>
  <si>
    <t>VIZINHA da Aperam — melhor porta</t>
  </si>
  <si>
    <t>Falha freios / Falha elétrica / Perda de funcionalidade / Tacógrafo com defeito / Funcionalidade transmissão reduzida.</t>
  </si>
  <si>
    <t>RBE9D16</t>
  </si>
  <si>
    <t>ArcelorMittal</t>
  </si>
  <si>
    <t>RLR RUC9I17 7088</t>
  </si>
  <si>
    <t>MG / Nacional</t>
  </si>
  <si>
    <t>Piloto por unidade</t>
  </si>
  <si>
    <t>2026000007</t>
  </si>
  <si>
    <t>RLR RUD1B78 1392</t>
  </si>
  <si>
    <t>Vinicius Moraes</t>
  </si>
  <si>
    <t>GTS</t>
  </si>
  <si>
    <t>Peer setorial da Aperam</t>
  </si>
  <si>
    <t>RLR RUV8G70 5544</t>
  </si>
  <si>
    <t xml:space="preserve">Autorização de perimissão a trocca de motorista </t>
  </si>
  <si>
    <t>Gerdau</t>
  </si>
  <si>
    <t>Gerente de Logística regional</t>
  </si>
  <si>
    <t>Piloto regional pago</t>
  </si>
  <si>
    <t>Jânio</t>
  </si>
  <si>
    <t>(11) 94187-733</t>
  </si>
  <si>
    <t>janio.alves@gtstransportes.com.br</t>
  </si>
  <si>
    <t>Permissão liberada apos aurotização do setor de faturamento (Juliana)</t>
  </si>
  <si>
    <t>RLR RUZ6E78 5720</t>
  </si>
  <si>
    <t>Frota pesada própria</t>
  </si>
  <si>
    <t>2026000008</t>
  </si>
  <si>
    <t>Suzano</t>
  </si>
  <si>
    <t>Papel e celulose</t>
  </si>
  <si>
    <t>Gerente de Logística florestal</t>
  </si>
  <si>
    <t>João Machado</t>
  </si>
  <si>
    <t>Piloto em base florestal</t>
  </si>
  <si>
    <t>RLR RVE9F97 2006</t>
  </si>
  <si>
    <t>R450 A6X2 2023</t>
  </si>
  <si>
    <t>HERTEX</t>
  </si>
  <si>
    <t>RLR RVH7A75 8093</t>
  </si>
  <si>
    <t>Frota de toras (peer Aperam Madeira)</t>
  </si>
  <si>
    <t>2026000009</t>
  </si>
  <si>
    <t>Klabin</t>
  </si>
  <si>
    <t>PR/SC</t>
  </si>
  <si>
    <t>24.070.142/0001-93</t>
  </si>
  <si>
    <t>Lau</t>
  </si>
  <si>
    <t>Piloto regional</t>
  </si>
  <si>
    <t>(31) 98437-3092</t>
  </si>
  <si>
    <t>RLR RVH7A76 0247</t>
  </si>
  <si>
    <t>Auxilio para emitir relatório de premiação</t>
  </si>
  <si>
    <t>Usuário orientado quanto ao procedimento correto para emissão do relatório de premiação no sistema, com sucesso.</t>
  </si>
  <si>
    <t>Frota florestal longa distância</t>
  </si>
  <si>
    <t>RLR RVL9J51 8182</t>
  </si>
  <si>
    <t>2026000010</t>
  </si>
  <si>
    <t>Fastmine</t>
  </si>
  <si>
    <t>Votorantim Cimentos</t>
  </si>
  <si>
    <t>Cimento</t>
  </si>
  <si>
    <t>JAF</t>
  </si>
  <si>
    <t>Land em compliance</t>
  </si>
  <si>
    <t>RLR RVP7G23 0249</t>
  </si>
  <si>
    <t>09.185.563/0001-76</t>
  </si>
  <si>
    <t>Maria Clara</t>
  </si>
  <si>
    <t>(31) 99959-3176</t>
  </si>
  <si>
    <t>controle.diesel@jaftransporte.com.br</t>
  </si>
  <si>
    <t>Frota de distribuição pesada</t>
  </si>
  <si>
    <t>RLR RVS2G41 6834</t>
  </si>
  <si>
    <t>Raízen / São Martinho</t>
  </si>
  <si>
    <t>Atualizar app Betruck no Knox</t>
  </si>
  <si>
    <t>Sucroalcooleiro</t>
  </si>
  <si>
    <t>SP interior</t>
  </si>
  <si>
    <t>Gerente de Logística agrícola</t>
  </si>
  <si>
    <t>App foi atualizado</t>
  </si>
  <si>
    <t>SAT</t>
  </si>
  <si>
    <t>RLR RVU7E71 6439</t>
  </si>
  <si>
    <t>2026000011</t>
  </si>
  <si>
    <t>Frota de cana + etanol, alto diesel</t>
  </si>
  <si>
    <t>02.870.124/0001-53</t>
  </si>
  <si>
    <t>Matheus</t>
  </si>
  <si>
    <t>RLR RVV2J17 1595</t>
  </si>
  <si>
    <t>(31) 99969-5289</t>
  </si>
  <si>
    <t>matheus@lenarge.com.br</t>
  </si>
  <si>
    <t>JBS / Marfrig / Aurora</t>
  </si>
  <si>
    <t>Frigorífico / proteína</t>
  </si>
  <si>
    <t>Não está mostrando os comandos para o motorista</t>
  </si>
  <si>
    <t>Nacional / Sul</t>
  </si>
  <si>
    <t>RBE5G92</t>
  </si>
  <si>
    <t>Dor de perecível parado</t>
  </si>
  <si>
    <t>RLR RVV2J34 9655</t>
  </si>
  <si>
    <t>2026000012</t>
  </si>
  <si>
    <t>DIEGO</t>
  </si>
  <si>
    <t>FACSS</t>
  </si>
  <si>
    <t>Diego Sena</t>
  </si>
  <si>
    <t>Frota frigorificada própria</t>
  </si>
  <si>
    <t>RLR RVW3H68 2168</t>
  </si>
  <si>
    <t>Veiculos não estão reportando no tracking, Traccar e Dashboard</t>
  </si>
  <si>
    <t>41.568.245/0001-05</t>
  </si>
  <si>
    <t>Solicitada a troca dos módulos, pois o reenvio da config não foi aplicado com sucesso e os veículos não voltaram a reportar.</t>
  </si>
  <si>
    <t>RLR RVZ2C68 5910</t>
  </si>
  <si>
    <t>2026000013</t>
  </si>
  <si>
    <t>Leonardo Branco</t>
  </si>
  <si>
    <t>RLR RVZ2C72 1488</t>
  </si>
  <si>
    <t>MAGNO</t>
  </si>
  <si>
    <t>Criar usuario para P&amp;W</t>
  </si>
  <si>
    <t>Usuario criado com sucesso.</t>
  </si>
  <si>
    <t>34.391.213/0001-03</t>
  </si>
  <si>
    <t>Reinaldo</t>
  </si>
  <si>
    <t>RLR RVZ2C73 2022</t>
  </si>
  <si>
    <t>(31) 98793-0832</t>
  </si>
  <si>
    <t>magnotransportes777@gmail.com</t>
  </si>
  <si>
    <t>2026000014</t>
  </si>
  <si>
    <t>RLR RVZ2C77 3661</t>
  </si>
  <si>
    <t>FH 460 6X2T 2023</t>
  </si>
  <si>
    <t>Walker Rodrigues</t>
  </si>
  <si>
    <t>MALIBU</t>
  </si>
  <si>
    <t>Rastreador não funciona no app Lenarge.</t>
  </si>
  <si>
    <t>RLR SHY8G25 0555</t>
  </si>
  <si>
    <t xml:space="preserve">Por falta de retorno do solicitante o chamado foiu encerrado. </t>
  </si>
  <si>
    <t>97.442.123/0001-14</t>
  </si>
  <si>
    <t>Fernando</t>
  </si>
  <si>
    <t>fernando.miranda@malibutransportes.com.br</t>
  </si>
  <si>
    <t>RLR SIA8J54 0378</t>
  </si>
  <si>
    <t>IVECO</t>
  </si>
  <si>
    <t>S-WAY 480-6X2 2023</t>
  </si>
  <si>
    <t>2026000015</t>
  </si>
  <si>
    <t>Leandro Galdino</t>
  </si>
  <si>
    <t>RLR SIU9F47 9430</t>
  </si>
  <si>
    <t>S-WAY 480-6X2</t>
  </si>
  <si>
    <t>M&amp;J</t>
  </si>
  <si>
    <t>Veiculo não apresenta dados de telemetria</t>
  </si>
  <si>
    <t>RFZ4I84</t>
  </si>
  <si>
    <t>55.725.850/0001-49</t>
  </si>
  <si>
    <t>Será realizada a troca do módulo</t>
  </si>
  <si>
    <t>Nayara</t>
  </si>
  <si>
    <t>(31) 97500-6409</t>
  </si>
  <si>
    <t>nayara.moraes@lenarge.com.br</t>
  </si>
  <si>
    <t>RLR SJA2I72 5214</t>
  </si>
  <si>
    <t>R460 A6X2 2024</t>
  </si>
  <si>
    <t>2026000016</t>
  </si>
  <si>
    <t>RLR SJG8D23 5107</t>
  </si>
  <si>
    <t>Fernando Aristeu</t>
  </si>
  <si>
    <t>MRX</t>
  </si>
  <si>
    <t>Relatório completo de quilômetros rodados no mês de dezembro, bem como a quantidade de combustível consumida, discriminado por frota.</t>
  </si>
  <si>
    <t>RLR SJG8D25 5369</t>
  </si>
  <si>
    <t>G370 A6X2 2024</t>
  </si>
  <si>
    <t>26.586.645/001-41</t>
  </si>
  <si>
    <t>Paulo Sérgio</t>
  </si>
  <si>
    <t>Relatório enviado.</t>
  </si>
  <si>
    <t>(31) 99670-0159</t>
  </si>
  <si>
    <t>paulo.sergio@mrxtransportes.com</t>
  </si>
  <si>
    <t>RLR RVA4G63 5592</t>
  </si>
  <si>
    <t>2026000017</t>
  </si>
  <si>
    <t>Cavalo de teste</t>
  </si>
  <si>
    <t>RLR SJI8D74 7907</t>
  </si>
  <si>
    <t>NOVA MINERAIS</t>
  </si>
  <si>
    <t>Veículo apresenta dados de telemetria apenas vinculados à placa e não ao motorista, impedindo que o motorista visualize suas informações de condução.</t>
  </si>
  <si>
    <t>RKR7J21</t>
  </si>
  <si>
    <t>Veículo identificado em manutenção, sem transmissão de sinal desde 09/01 às 18:06. Última localização registrada na concessionária DAF, indicando possível desligamento durante o processo de manutenção. Performance do motorista encontra-se normal. Possível falha ou desligamento do rastreador durante a manutenção.</t>
  </si>
  <si>
    <t>RLR SYF1B41 6749</t>
  </si>
  <si>
    <t>2026000018</t>
  </si>
  <si>
    <t>RLR SYF1B47 4547</t>
  </si>
  <si>
    <t>Amanda</t>
  </si>
  <si>
    <t>P&amp;W</t>
  </si>
  <si>
    <t>Criar usuario para funcionário do controle de manutenção</t>
  </si>
  <si>
    <t>RLR SYF1B53 1122</t>
  </si>
  <si>
    <t>08.183.084/0001-58</t>
  </si>
  <si>
    <t>Kener</t>
  </si>
  <si>
    <t>R460 A6X2</t>
  </si>
  <si>
    <t>(31) 99484-0038</t>
  </si>
  <si>
    <t>kener.silva@pwtransporte.com.br</t>
  </si>
  <si>
    <t>RLR SYK3G01 4019</t>
  </si>
  <si>
    <t>2026000020</t>
  </si>
  <si>
    <t>Planilha</t>
  </si>
  <si>
    <t>PLENA</t>
  </si>
  <si>
    <t>RLR SYO4G93 0766</t>
  </si>
  <si>
    <t>42.722.360/0004-90</t>
  </si>
  <si>
    <t>Bruno</t>
  </si>
  <si>
    <t>(32) 99912-5086</t>
  </si>
  <si>
    <t>bruno.nascimento@grupomysa.com.br</t>
  </si>
  <si>
    <t>RLR SYO4G98 4969</t>
  </si>
  <si>
    <t>2026000021</t>
  </si>
  <si>
    <t>Falha no EBS</t>
  </si>
  <si>
    <t xml:space="preserve">TTR8H44 </t>
  </si>
  <si>
    <t>RLR SYR7C56 6401</t>
  </si>
  <si>
    <t>PORTINARI</t>
  </si>
  <si>
    <t>2026000022</t>
  </si>
  <si>
    <t>06.871.927/0001-83</t>
  </si>
  <si>
    <t>RLR SYR7C82 54794</t>
  </si>
  <si>
    <t>Warlen</t>
  </si>
  <si>
    <t>(31) 99942-4685</t>
  </si>
  <si>
    <t>comercial@portinaritransportes.com.br</t>
  </si>
  <si>
    <t>RLR SYR7C92 6377</t>
  </si>
  <si>
    <t>Inoprime</t>
  </si>
  <si>
    <t>2026000023</t>
  </si>
  <si>
    <t>R&amp;M</t>
  </si>
  <si>
    <t>RLR TCE0A10 9647</t>
  </si>
  <si>
    <t>Alessandro</t>
  </si>
  <si>
    <t>42.883.904/0001-52</t>
  </si>
  <si>
    <t>(31) 99961-1008</t>
  </si>
  <si>
    <t>rafael.morais@lenarge.com.br</t>
  </si>
  <si>
    <t>TCU5I71</t>
  </si>
  <si>
    <t>RLR TCU5I71 2047</t>
  </si>
  <si>
    <t>Houve a troca do ID do motorista, o sistema voltará a reportar normalmente após a atualização realizada.</t>
  </si>
  <si>
    <t>FH 500 6X2T 2025</t>
  </si>
  <si>
    <t>RLR TCU5I75 5536</t>
  </si>
  <si>
    <t>2026000024</t>
  </si>
  <si>
    <t>RLR TCW4I40 4768</t>
  </si>
  <si>
    <t>08.191.899/0001-89</t>
  </si>
  <si>
    <t>Laura</t>
  </si>
  <si>
    <t>Breno Vinícius</t>
  </si>
  <si>
    <t>(31)97223-1004</t>
  </si>
  <si>
    <t>fiscal@rlrtransporte.com.br</t>
  </si>
  <si>
    <t>GABRIEL</t>
  </si>
  <si>
    <t>TTR8H42</t>
  </si>
  <si>
    <t>RLR TDD5A74 2502</t>
  </si>
  <si>
    <t>Voltou a reportar no Dashboard.</t>
  </si>
  <si>
    <t>RODEIRO</t>
  </si>
  <si>
    <t>2026000025</t>
  </si>
  <si>
    <t>RLR TDD5A78 4758</t>
  </si>
  <si>
    <t>Jussara Sacramento</t>
  </si>
  <si>
    <t>PEDRO</t>
  </si>
  <si>
    <t>Telefone coorporativo sem internet</t>
  </si>
  <si>
    <t>RLR TDI5E39 6327</t>
  </si>
  <si>
    <t>Reiniciado pelo Knox</t>
  </si>
  <si>
    <t>2026000026</t>
  </si>
  <si>
    <t>RLR TDJ2G89 3637</t>
  </si>
  <si>
    <t>SATEL</t>
  </si>
  <si>
    <t>R460 A6X2 2025</t>
  </si>
  <si>
    <t>Salvador</t>
  </si>
  <si>
    <t>TTB0J88</t>
  </si>
  <si>
    <t>RLR TDN1C45 6443</t>
  </si>
  <si>
    <t>Houve a troca do rastreador e realizamos a atualização para o ID do rastreador atual no sistema.</t>
  </si>
  <si>
    <t>07/012026</t>
  </si>
  <si>
    <t>2026000027</t>
  </si>
  <si>
    <t>RLR TDN1C49 4474</t>
  </si>
  <si>
    <t>SEMPRE VOLTA</t>
  </si>
  <si>
    <t>Veículo não esta marcando a Inércia de forma correta</t>
  </si>
  <si>
    <t>20.786.711/0001-40</t>
  </si>
  <si>
    <t>Brenda</t>
  </si>
  <si>
    <t>SRM3D70</t>
  </si>
  <si>
    <t>LNR TUA0D34 1305</t>
  </si>
  <si>
    <t>(31) 99898-1729</t>
  </si>
  <si>
    <t>qualidade@semprevolta.net.br</t>
  </si>
  <si>
    <t>FH 540 6X4T</t>
  </si>
  <si>
    <t>LNR TTF1D32 4128</t>
  </si>
  <si>
    <t>A inicia desse veiculo foi resolvida, mas para a resolução ser definitiva é necessario passar essa alterção para o Torre de contole (A alteração feita foi retirar uma das validações que é feita para verificar se o veiculo esta em inecia, retiramos a validação do delta do speed maior que 0), também foi realizada a troca do módulo.</t>
  </si>
  <si>
    <t>Diário de Bordo</t>
  </si>
  <si>
    <t>2026000028</t>
  </si>
  <si>
    <t>TRANSFAL</t>
  </si>
  <si>
    <t>LNR TTF1D33 1897</t>
  </si>
  <si>
    <t>Mariana Martins</t>
  </si>
  <si>
    <t xml:space="preserve">Rastreador da sascar não esta reportando. </t>
  </si>
  <si>
    <t>TCL9B29</t>
  </si>
  <si>
    <t>LNR TUU0D09 4099</t>
  </si>
  <si>
    <t xml:space="preserve">Foi diagnosticado que o módulo da sasca estava apresentando falhas.  </t>
  </si>
  <si>
    <t>2026000029</t>
  </si>
  <si>
    <t>TRANSNIEL</t>
  </si>
  <si>
    <t>LNR TUA0D35 7956</t>
  </si>
  <si>
    <t>Criar usuario para Transportadora Beira Rio</t>
  </si>
  <si>
    <t>LNR TTE2C03 4810</t>
  </si>
  <si>
    <t>2026000030</t>
  </si>
  <si>
    <t>Heloiza Carvalho</t>
  </si>
  <si>
    <t>LNR TTQ0D36 7239</t>
  </si>
  <si>
    <t>TRANSPORTADORA IRMÃOS GOMES</t>
  </si>
  <si>
    <t>Veículos não estão sendo exibidos no login do vídeo monitoramento FACSS</t>
  </si>
  <si>
    <t>LNR TTC3A52 2385</t>
  </si>
  <si>
    <t>Adicionamos as frotas para o usuario do cliente</t>
  </si>
  <si>
    <t>LNR TTE2C07 9780</t>
  </si>
  <si>
    <t>Data</t>
  </si>
  <si>
    <t>2026000031</t>
  </si>
  <si>
    <t>Responsável</t>
  </si>
  <si>
    <t>Tipo</t>
  </si>
  <si>
    <t>Próximo passo</t>
  </si>
  <si>
    <t>Data próx. passo</t>
  </si>
  <si>
    <t>TRANSPORTADORA NOVA ERA</t>
  </si>
  <si>
    <t>LNR TTF1D34 7267</t>
  </si>
  <si>
    <t xml:space="preserve">RBE5G92 </t>
  </si>
  <si>
    <t>00.103.768/0001-90</t>
  </si>
  <si>
    <t>LNR TUJ0D00 4520</t>
  </si>
  <si>
    <t>Afranio</t>
  </si>
  <si>
    <t>(31) 99492-0164</t>
  </si>
  <si>
    <t>afraniocaetano@transportesnovaera.com.br</t>
  </si>
  <si>
    <t>LNR TTG0D30 3281</t>
  </si>
  <si>
    <t>Maxtrack</t>
  </si>
  <si>
    <t>2026000032</t>
  </si>
  <si>
    <t>ABERTA</t>
  </si>
  <si>
    <t>Todos os instrutores devidamente treinados.</t>
  </si>
  <si>
    <t>LNR TTE2C06 9539</t>
  </si>
  <si>
    <t>TRANSKOMPA</t>
  </si>
  <si>
    <t>Telemetria</t>
  </si>
  <si>
    <t>65.311.235/0001-40</t>
  </si>
  <si>
    <t>MELHORIA/EVOLUÇÃO</t>
  </si>
  <si>
    <t>NEILOR</t>
  </si>
  <si>
    <t>Adelson</t>
  </si>
  <si>
    <t>(11) 96377-7218</t>
  </si>
  <si>
    <t>adelson.sena@transkompa.com.br</t>
  </si>
  <si>
    <t>P&amp;D</t>
  </si>
  <si>
    <t>Mercedes Benz não reporta freio motor</t>
  </si>
  <si>
    <t>Reunião virtual</t>
  </si>
  <si>
    <t>Leonardo</t>
  </si>
  <si>
    <t>Reunião comercial presencial e apresentação dos resultados</t>
  </si>
  <si>
    <t>Boreal</t>
  </si>
  <si>
    <t>2026000033</t>
  </si>
  <si>
    <t>Reunião comercial</t>
  </si>
  <si>
    <t>TRANSMOREIRA</t>
  </si>
  <si>
    <t>LNR TTE2C04 7668</t>
  </si>
  <si>
    <t>23.266.026/0001-81</t>
  </si>
  <si>
    <t>Scania Super não reporta freio motor</t>
  </si>
  <si>
    <t>Reunião comercial para prospecção</t>
  </si>
  <si>
    <t>Condução assistida - Veículo QNK3665</t>
  </si>
  <si>
    <t>2026000034</t>
  </si>
  <si>
    <t>Condução assistida - Veículo TCK1C56</t>
  </si>
  <si>
    <t>TRANSODILON</t>
  </si>
  <si>
    <t>LNR TUK0D45 1181</t>
  </si>
  <si>
    <t>Condução assistida - Veículo RUK6F59</t>
  </si>
  <si>
    <t>Iveco não reporta freio motorFhor</t>
  </si>
  <si>
    <t>02.018.942/0001-22</t>
  </si>
  <si>
    <t>Visita</t>
  </si>
  <si>
    <t>Igor</t>
  </si>
  <si>
    <t>Condução assistida e aplicação dos parâmetros</t>
  </si>
  <si>
    <t>(31) 99986-1643</t>
  </si>
  <si>
    <t>igor@transodilon.com.br</t>
  </si>
  <si>
    <t>2026000035</t>
  </si>
  <si>
    <t>LNR TUJ0C99 3794</t>
  </si>
  <si>
    <t>TRANSPANORAMA</t>
  </si>
  <si>
    <t>Trocar módulo</t>
  </si>
  <si>
    <t>RUB4G45</t>
  </si>
  <si>
    <t>LNR TUU0D08 7833</t>
  </si>
  <si>
    <t>Sem solução temporariamente</t>
  </si>
  <si>
    <t>2026000036</t>
  </si>
  <si>
    <t>LNR TTE2C08 9298</t>
  </si>
  <si>
    <t>REINALDO</t>
  </si>
  <si>
    <t>TSA</t>
  </si>
  <si>
    <t>TDA1J81</t>
  </si>
  <si>
    <t>Cliente decidiu não prosseguir com a telemetria FACSS</t>
  </si>
  <si>
    <t>2026000037</t>
  </si>
  <si>
    <t>Condução assistida e aplicação dos parâmetros - Veículo SIM7H79</t>
  </si>
  <si>
    <t>LNR TUK0D47 4068</t>
  </si>
  <si>
    <t>SJK9G35</t>
  </si>
  <si>
    <t>VALLENCE</t>
  </si>
  <si>
    <t>Veiculo em manitenção após sinistro</t>
  </si>
  <si>
    <t>2026000038</t>
  </si>
  <si>
    <t>Falha de freio- reenviado config 30-10</t>
  </si>
  <si>
    <t>08.413.139/0001-79</t>
  </si>
  <si>
    <t>Flávio</t>
  </si>
  <si>
    <t>(31) 99629-1722</t>
  </si>
  <si>
    <t>flavio@vallence.com.br</t>
  </si>
  <si>
    <t xml:space="preserve">TDJ3D70 </t>
  </si>
  <si>
    <t>LNR TTC3A50 8760</t>
  </si>
  <si>
    <t>Visita comercial para início da POC</t>
  </si>
  <si>
    <t>2026000039</t>
  </si>
  <si>
    <t>WD AGROINDUSTRIAL</t>
  </si>
  <si>
    <t>LNR TTQ0D35 8328</t>
  </si>
  <si>
    <t xml:space="preserve">TCX5C15 </t>
  </si>
  <si>
    <t>Veiculo voltou a reportar</t>
  </si>
  <si>
    <t>2026000040</t>
  </si>
  <si>
    <t>ZERO CARBON</t>
  </si>
  <si>
    <t>LNR TTG0D28 2119</t>
  </si>
  <si>
    <t>21.545.694/0001-12</t>
  </si>
  <si>
    <t xml:space="preserve">RFA0E81 </t>
  </si>
  <si>
    <t>Luciene</t>
  </si>
  <si>
    <t>(31) 99199-5306</t>
  </si>
  <si>
    <t>luciene.carvalho@zerocarbongroup.com</t>
  </si>
  <si>
    <t>2026000041</t>
  </si>
  <si>
    <t>LNR TTE2C05 4690</t>
  </si>
  <si>
    <t>Condução assistida e aplicação dos parâmetros (TRANSAVANTE)</t>
  </si>
  <si>
    <t xml:space="preserve">RND2F57 </t>
  </si>
  <si>
    <t>LNR TTD2I71 7258</t>
  </si>
  <si>
    <t>2026000042</t>
  </si>
  <si>
    <t xml:space="preserve">RUU5F28 </t>
  </si>
  <si>
    <t>LNR TTG0D27 7816</t>
  </si>
  <si>
    <t>2026000043</t>
  </si>
  <si>
    <t xml:space="preserve">SWJ2H84 </t>
  </si>
  <si>
    <t>Cliente encerrou sua operação e isso desencadeou fim de contrato conosco</t>
  </si>
  <si>
    <t>LNR TUU0D10 2296</t>
  </si>
  <si>
    <t>2026000044</t>
  </si>
  <si>
    <t xml:space="preserve">TXA2B39 </t>
  </si>
  <si>
    <t>LNR TTD2I72 7515</t>
  </si>
  <si>
    <t xml:space="preserve">Empresa em fase de teste, não vamos mandar o tecnico averiguar a situação. </t>
  </si>
  <si>
    <t>2026000046</t>
  </si>
  <si>
    <t xml:space="preserve">SJO0F60 </t>
  </si>
  <si>
    <t>LNR SSE4I48 4737</t>
  </si>
  <si>
    <t xml:space="preserve">Validação com o cliente para avaliar se há interesse em caminhar conosco e obtive o retorno de que há interesse apenas na Torre </t>
  </si>
  <si>
    <t>2026000047</t>
  </si>
  <si>
    <t>Cliente desistiu da POC e não teve interesse em uma nova proposta</t>
  </si>
  <si>
    <t>LNR TTQ0D37 6821</t>
  </si>
  <si>
    <t>Dashboard da EMF não está mostrando o filtro de veículo cadastrado</t>
  </si>
  <si>
    <t>LNR TTF1D35 3815</t>
  </si>
  <si>
    <t>2026000048</t>
  </si>
  <si>
    <t>Reunião comercial e apresentação dos resultados</t>
  </si>
  <si>
    <t>Divergência com recebimento de iO's</t>
  </si>
  <si>
    <t>SIB6B68</t>
  </si>
  <si>
    <t>Reunião para esclarecer dúvidas sobre o Telemetria II e apresentar novas funcionalidades</t>
  </si>
  <si>
    <t>LNR TUK0D46 0009</t>
  </si>
  <si>
    <t>Início da POC</t>
  </si>
  <si>
    <t>2026000049</t>
  </si>
  <si>
    <t>LNR TTG0D29 1058</t>
  </si>
  <si>
    <t>RFC9A54</t>
  </si>
  <si>
    <t>Reunião para esclarecer dúvidas sobre a condução</t>
  </si>
  <si>
    <t>2026000050</t>
  </si>
  <si>
    <t>Visita comercial e treinamento da plataforma</t>
  </si>
  <si>
    <t>LNR TTC3A51 7524</t>
  </si>
  <si>
    <t xml:space="preserve">SJI3A97 </t>
  </si>
  <si>
    <t>APR RTK2D54 1227</t>
  </si>
  <si>
    <t>MERCEDES BENZ</t>
  </si>
  <si>
    <t>2026000051</t>
  </si>
  <si>
    <t>Axor 2544</t>
  </si>
  <si>
    <t>Reunião presencial para apresentação de proposta comercial</t>
  </si>
  <si>
    <t>Coleta de dados de performance dos veículos elétricos</t>
  </si>
  <si>
    <t>INCIDENTE NORMAL</t>
  </si>
  <si>
    <t>Cliente aguardando segurança viária para evoluir conosco</t>
  </si>
  <si>
    <t>Reportando baixo uso do freio motor</t>
  </si>
  <si>
    <t>Apresentação comercial dos resultados da POC</t>
  </si>
  <si>
    <t>OWQ3G00</t>
  </si>
  <si>
    <t>TREINAMENTO, DESENVOLVIMENTO &amp; ACOMPANHAMENTO</t>
  </si>
  <si>
    <t>Pablo interagiu com Ailton para migração e integração com a AIKO</t>
  </si>
  <si>
    <t>2026000052</t>
  </si>
  <si>
    <t>APR RTX1H314016</t>
  </si>
  <si>
    <t>Avaliar consumo total e média (Problema na litragem da mercedes)</t>
  </si>
  <si>
    <t>QPZ6021</t>
  </si>
  <si>
    <t>2026000053</t>
  </si>
  <si>
    <t>Apresentação comercial do sistema e dos resultados</t>
  </si>
  <si>
    <t>Rpm muito alto (Duvida)</t>
  </si>
  <si>
    <t>KVO6C97</t>
  </si>
  <si>
    <t>APR RTX1H32 9411</t>
  </si>
  <si>
    <t>2026000054</t>
  </si>
  <si>
    <t>Proposta comercial (Guilherme)</t>
  </si>
  <si>
    <t>OWJ0772</t>
  </si>
  <si>
    <t>Reunião virtual para entender dúvidas sobre o contrato</t>
  </si>
  <si>
    <t>APR RTX1H33 0657</t>
  </si>
  <si>
    <t>Reunião virtual para entender dúvidas sobre o sistema</t>
  </si>
  <si>
    <t>2026000055</t>
  </si>
  <si>
    <t>Sidney Alves</t>
  </si>
  <si>
    <t>Retirada dos módulos e suspensão da POC</t>
  </si>
  <si>
    <t>Km da viagem do dia 30/11/25 não bate com o Dashboard</t>
  </si>
  <si>
    <t>RUQ5133</t>
  </si>
  <si>
    <t>Houve uma atuação dos desenvolvedores para solucionar todos os problemas iguais a esse no cliente</t>
  </si>
  <si>
    <t>APR RTX2C42 9072</t>
  </si>
  <si>
    <t>2026000056</t>
  </si>
  <si>
    <t>Conversa em andamento para início da POC</t>
  </si>
  <si>
    <t>Carlos Eduardo</t>
  </si>
  <si>
    <t>Cliente mostrou intesse na Jornada de Trabalho</t>
  </si>
  <si>
    <t>Não está reportando freio motor</t>
  </si>
  <si>
    <t>SRF0D12</t>
  </si>
  <si>
    <t>Sem observações.</t>
  </si>
  <si>
    <t>2026000057</t>
  </si>
  <si>
    <t>Próximos da virada para Telemetria II.</t>
  </si>
  <si>
    <t>CLIENTES</t>
  </si>
  <si>
    <t>Validando apresentação comercial.</t>
  </si>
  <si>
    <t>SIN3G19</t>
  </si>
  <si>
    <t>Rebeca</t>
  </si>
  <si>
    <t>Iniciar faturamento.</t>
  </si>
  <si>
    <t>APR RTX2J94 7499</t>
  </si>
  <si>
    <t>Puxaremos a POC nessa semana.</t>
  </si>
  <si>
    <t>Agendar POC</t>
  </si>
  <si>
    <t>2026000058</t>
  </si>
  <si>
    <t>Retirada de módulos.</t>
  </si>
  <si>
    <t>Inércia muito alta</t>
  </si>
  <si>
    <t>RFC4C30</t>
  </si>
  <si>
    <t>Veiculo foi desvinculado</t>
  </si>
  <si>
    <t>2026000059</t>
  </si>
  <si>
    <t>APR RTX2J95 1457</t>
  </si>
  <si>
    <t>Reunião presencial para esclarecer dúvidas sobre o contrato</t>
  </si>
  <si>
    <t>CATERPILLAR</t>
  </si>
  <si>
    <t>Treinando sobre o uso da plataforma versão mobile</t>
  </si>
  <si>
    <t>Não está reportando inércia</t>
  </si>
  <si>
    <t>RBG8H66</t>
  </si>
  <si>
    <t>A inicia desse veiculo foi resolvida, mas para a resolução ser definitiva é necessario passar essa alterção para o Torre de contole (A alteração feita foi retirar uma das validações que é feita para verificar se o veiculo esta em inecia, retiramos a validação do delta do speed maior que 0)</t>
  </si>
  <si>
    <t>Tira dúvidas e treinamento sobre plataforma I</t>
  </si>
  <si>
    <t>APR RTX2J98 6574</t>
  </si>
  <si>
    <t>Apresentação da Jornada de Trabalho</t>
  </si>
  <si>
    <t>2026000060</t>
  </si>
  <si>
    <t>KOMATSU</t>
  </si>
  <si>
    <t>Gabriel</t>
  </si>
  <si>
    <t>Reunião online e suporte sobre o uso da vinculação retroativa</t>
  </si>
  <si>
    <t>Entender o porquê não estamos faturando</t>
  </si>
  <si>
    <t>Envolver Diego e Rebeca na conversa.</t>
  </si>
  <si>
    <t>APR RTX2J99 4559</t>
  </si>
  <si>
    <t>Conversa iniciada para começarmos o treinamento</t>
  </si>
  <si>
    <t>SANY</t>
  </si>
  <si>
    <t>2026000061</t>
  </si>
  <si>
    <t>Visita comercial ao cliente para tentar evoluir comercialmente</t>
  </si>
  <si>
    <t>TREINAMENTOS REALIZADOS</t>
  </si>
  <si>
    <t>Visita semanal de treinamento</t>
  </si>
  <si>
    <t>FROTAS EM TESTE</t>
  </si>
  <si>
    <t>ENG5C15</t>
  </si>
  <si>
    <t>APR RTX3A03 0948</t>
  </si>
  <si>
    <t>FROTAS EM PROSPECÇÃO</t>
  </si>
  <si>
    <t>Interação comercial</t>
  </si>
  <si>
    <t>Fazer contato para reunião</t>
  </si>
  <si>
    <t>Transição para o T2</t>
  </si>
  <si>
    <t>2026000062</t>
  </si>
  <si>
    <t>Empresa sem contrato e sem dados estratégicos</t>
  </si>
  <si>
    <t>Entender a relação ARJON &lt;&gt; FACSS com o Guilherme</t>
  </si>
  <si>
    <t>APR RTZ8A31 7083</t>
  </si>
  <si>
    <t>MAN</t>
  </si>
  <si>
    <t>RJD6F22</t>
  </si>
  <si>
    <t>Desinstalações</t>
  </si>
  <si>
    <t>Concluir desinstalações</t>
  </si>
  <si>
    <t>Dificuldade por parte da empresa no processo das desinstalações</t>
  </si>
  <si>
    <t>2026000063</t>
  </si>
  <si>
    <t>DEMANDAS EM ABERTO</t>
  </si>
  <si>
    <t>A própria empresa está retirando os módulos, devido dificuldades logísticas</t>
  </si>
  <si>
    <t>APR RUB7C44 8835</t>
  </si>
  <si>
    <t>2026000064</t>
  </si>
  <si>
    <t>APR RUD7F13 8892</t>
  </si>
  <si>
    <t>Iniciar processo das desinstalações</t>
  </si>
  <si>
    <t>MÓDULOS</t>
  </si>
  <si>
    <t>Instalações concluídas</t>
  </si>
  <si>
    <t>Iniciar processo de treinamento</t>
  </si>
  <si>
    <t>Média muito alta</t>
  </si>
  <si>
    <t>Veículo HND8D73 com problema na bomba de combustível e isso pode ser assunto para travar processos</t>
  </si>
  <si>
    <t>Cliente deve dar a manutenção devida</t>
  </si>
  <si>
    <t>APR RUQ5I33 7497</t>
  </si>
  <si>
    <t>Dificuldade em utilizar a plataforma</t>
  </si>
  <si>
    <t>Sugerir uma nova capacitação para utilizar o sistema</t>
  </si>
  <si>
    <t>2026000065</t>
  </si>
  <si>
    <t>Premiação dos motoristas</t>
  </si>
  <si>
    <t>Correção dos indicadores</t>
  </si>
  <si>
    <t>APR RVD6H55 2431</t>
  </si>
  <si>
    <t>Apresentação comercial da POC</t>
  </si>
  <si>
    <t>Contato do setor de proposta comercial</t>
  </si>
  <si>
    <t>RNG8H84</t>
  </si>
  <si>
    <t>Entrega de PDF com resumo da apresentação comercial presencial que ocorreu no dia 06/08</t>
  </si>
  <si>
    <t>Correr atrás de assinatura do contrato</t>
  </si>
  <si>
    <t>Procurar o Guilherme</t>
  </si>
  <si>
    <t>VOLKSWAGEN</t>
  </si>
  <si>
    <t>APR RVD6H56 3695</t>
  </si>
  <si>
    <t>2026000066</t>
  </si>
  <si>
    <t>DEMANDAS ATENDIDAS</t>
  </si>
  <si>
    <t>POCs SEM SUCESSO</t>
  </si>
  <si>
    <t>FROTAS INATIVAS</t>
  </si>
  <si>
    <t>RJH5G17</t>
  </si>
  <si>
    <t>JAC</t>
  </si>
  <si>
    <t>APR RVG1H77 7362</t>
  </si>
  <si>
    <t>2026000067</t>
  </si>
  <si>
    <t>NANJING</t>
  </si>
  <si>
    <t>APR RVG1H78 6913</t>
  </si>
  <si>
    <t>RNT6F54</t>
  </si>
  <si>
    <t>2026000068</t>
  </si>
  <si>
    <t>APR RVG1I81 2306</t>
  </si>
  <si>
    <t>DEMANDA</t>
  </si>
  <si>
    <t>ANDAMENTO</t>
  </si>
  <si>
    <t>Criar novo parâmetro para freio motor na Lenarge</t>
  </si>
  <si>
    <t>APR RVG1I83 3166</t>
  </si>
  <si>
    <t>2026000069</t>
  </si>
  <si>
    <t>APR RVG1I84 0855</t>
  </si>
  <si>
    <t>Analisar a % que o freio motor atuou acima de 1.800 rpm</t>
  </si>
  <si>
    <t>TTF4A67</t>
  </si>
  <si>
    <t>MONITORAMENTO</t>
  </si>
  <si>
    <t>2026000070</t>
  </si>
  <si>
    <t>APR RVG1I85 7388</t>
  </si>
  <si>
    <t>Inércia muito baixa</t>
  </si>
  <si>
    <t>FWF6A05</t>
  </si>
  <si>
    <t>APR RVG2D52 9906</t>
  </si>
  <si>
    <t>2026000071</t>
  </si>
  <si>
    <t xml:space="preserve">QNV4C44 </t>
  </si>
  <si>
    <t>Foi reenviada a config</t>
  </si>
  <si>
    <t>PROSPECÇÃO</t>
  </si>
  <si>
    <t>APR RVG2D53 4120</t>
  </si>
  <si>
    <t>2026000072</t>
  </si>
  <si>
    <t>Não está reportando dados</t>
  </si>
  <si>
    <t xml:space="preserve">RKR7J21 </t>
  </si>
  <si>
    <t>APR RVG9A51 7794</t>
  </si>
  <si>
    <t>2026000073</t>
  </si>
  <si>
    <t>Não está gerando performance</t>
  </si>
  <si>
    <t>APR RVH5D22 3869</t>
  </si>
  <si>
    <t>2026000074</t>
  </si>
  <si>
    <t>APR RVQ1H80 8778</t>
  </si>
  <si>
    <t>Rafael Paraense</t>
  </si>
  <si>
    <t>APR RVQ1H83 4669</t>
  </si>
  <si>
    <t>Módulos novos pra veiculos</t>
  </si>
  <si>
    <t>UHN9C67</t>
  </si>
  <si>
    <t>APR SHE9H23 5210</t>
  </si>
  <si>
    <t>Preparação de módulos e envio para o João Pedro</t>
  </si>
  <si>
    <t>APR SHF2I27 1845</t>
  </si>
  <si>
    <t>UHN9D07</t>
  </si>
  <si>
    <t>APR SJK0J80 4072</t>
  </si>
  <si>
    <t>VW 25.480 Constellation</t>
  </si>
  <si>
    <t>UHN9G67</t>
  </si>
  <si>
    <t>POC</t>
  </si>
  <si>
    <t>APR SJK1G21 1383</t>
  </si>
  <si>
    <t>UHN9D17</t>
  </si>
  <si>
    <t>APR SJK1H06 8938</t>
  </si>
  <si>
    <t>UHN9D27</t>
  </si>
  <si>
    <t>APR SJK1H07 7026</t>
  </si>
  <si>
    <t>APR SJK2E16 5513</t>
  </si>
  <si>
    <t>UHN9G97</t>
  </si>
  <si>
    <t>ESTUDO DE CASO</t>
  </si>
  <si>
    <t>APR SJK4G01 2589</t>
  </si>
  <si>
    <t>APR SJK5D52 3918</t>
  </si>
  <si>
    <t>UHN9E07</t>
  </si>
  <si>
    <t>2026000075</t>
  </si>
  <si>
    <t>TREINAMENTO / VISITA</t>
  </si>
  <si>
    <t>APLICAR A CONDUÇÃO FACSS, SANAR DÚVIDAS SURGIDAS E FAZER ESTUDO DE CASO</t>
  </si>
  <si>
    <t>APR SJK6B51 7132</t>
  </si>
  <si>
    <t>Veículo está reportando inércia de forma incorreta</t>
  </si>
  <si>
    <t xml:space="preserve">SRM3D70 </t>
  </si>
  <si>
    <t>Caso segue em análise na OS 2026000027</t>
  </si>
  <si>
    <t>APR SJK6F54 2951</t>
  </si>
  <si>
    <t>2026000076</t>
  </si>
  <si>
    <t>APR SJK7I20 1417</t>
  </si>
  <si>
    <t>Desenvolver estudo sobre trecho vs Dashboard</t>
  </si>
  <si>
    <t>Estudo de caso realizado e levado para pós análise junto ao P&amp;D.</t>
  </si>
  <si>
    <t>2026000077</t>
  </si>
  <si>
    <t>APR SJK8H34 6770</t>
  </si>
  <si>
    <t>Desenvolver resposta para o cliente</t>
  </si>
  <si>
    <t>APR SJK9G35 4305</t>
  </si>
  <si>
    <t>Respondido pelo CS, "conforme combinado a análise já foi concluída e confirmamos que a situação será solucionada até sexta-feira dia 23."</t>
  </si>
  <si>
    <t xml:space="preserve">DIREÇÃO ASSISTIDA </t>
  </si>
  <si>
    <t>2026000078</t>
  </si>
  <si>
    <t>APR SJK9J29 8782</t>
  </si>
  <si>
    <t>João Paulo</t>
  </si>
  <si>
    <t>Liberar acesso ao Tracking para o cliente</t>
  </si>
  <si>
    <t>APR SJL0H53 2744</t>
  </si>
  <si>
    <t>Acesso liberado</t>
  </si>
  <si>
    <t>2026000079</t>
  </si>
  <si>
    <t>APR SJL3H86 5356</t>
  </si>
  <si>
    <t>Formalizar por email o estudo de caso sobre a litragem do Mercedes Benz</t>
  </si>
  <si>
    <t>APR SJL5G12 0816</t>
  </si>
  <si>
    <t>Email enviado ao cliente no dia 15/jan e o cliente já interagiu e compreendeu</t>
  </si>
  <si>
    <t>APR SJL6D25 2986</t>
  </si>
  <si>
    <t>2026000080</t>
  </si>
  <si>
    <t>Leandro Galdono</t>
  </si>
  <si>
    <t>APR SJL6G72 3078</t>
  </si>
  <si>
    <t>Não está reportando telemetria</t>
  </si>
  <si>
    <t>SQV1D61</t>
  </si>
  <si>
    <t>Será realizado a substituuição do módulo, pois estava há 4 meses sem reportar</t>
  </si>
  <si>
    <t>APR SJL7D75 4111</t>
  </si>
  <si>
    <t>2026000081</t>
  </si>
  <si>
    <t>APR SJL8J64 5144</t>
  </si>
  <si>
    <t>Listas e parâmetros (não apagar) — edite o Ticket em P2</t>
  </si>
  <si>
    <t>APRESENTAR A OPERAÇÃO AO PM E FAZER ESTUDO DE CASO</t>
  </si>
  <si>
    <t>Veículo reportando no Traccar e no Dashboard.</t>
  </si>
  <si>
    <t>APR SJL9F05 9153</t>
  </si>
  <si>
    <t>2026000082</t>
  </si>
  <si>
    <t>Sistema de Jornada</t>
  </si>
  <si>
    <t>APR SJO0C34 3584</t>
  </si>
  <si>
    <t>TTQ9A79</t>
  </si>
  <si>
    <t>Estágio funil</t>
  </si>
  <si>
    <t>Probabilidade</t>
  </si>
  <si>
    <t>Tipo interação</t>
  </si>
  <si>
    <t>Ticket (R$/veículo/mês)</t>
  </si>
  <si>
    <t>APR SJO0F60 2845</t>
  </si>
  <si>
    <t>2026000083</t>
  </si>
  <si>
    <t>APR SJO0F93 4860</t>
  </si>
  <si>
    <t>Foi enviado a config e o módul voltou a reportar</t>
  </si>
  <si>
    <t>APR SJO0G09 5753</t>
  </si>
  <si>
    <t>Premissa: edite com seu ticket real. Usado no valor ponderado do Pipeline.</t>
  </si>
  <si>
    <t>2026000084</t>
  </si>
  <si>
    <t>APR SJO0H60 9290</t>
  </si>
  <si>
    <t>Melhoria: colocar o contador no ranking de veiculos/motoristas em todas as frotas (como na APERAM Carvão)</t>
  </si>
  <si>
    <t>2026000085</t>
  </si>
  <si>
    <t>APR SJO1I90 4963</t>
  </si>
  <si>
    <t xml:space="preserve">Falha freios / Falha elétrica / Perda de funcionalidade / Tacógrafo com defeito / Funcionalidade transmissão reduzida.                </t>
  </si>
  <si>
    <t>APR SJO2A12 1802</t>
  </si>
  <si>
    <t xml:space="preserve">Enviei a config                                        </t>
  </si>
  <si>
    <t>2026000086</t>
  </si>
  <si>
    <t>APR SJO2G22 4680</t>
  </si>
  <si>
    <t xml:space="preserve">Criar usuario para funcionário do controle de manutenção e espelhar acesso.              </t>
  </si>
  <si>
    <t>APR SJO3A09 6280</t>
  </si>
  <si>
    <t>Criei o usuario e espelhei o acesso.</t>
  </si>
  <si>
    <t>2026000087</t>
  </si>
  <si>
    <t>APR SJO3B33 1565</t>
  </si>
  <si>
    <t>Retirar módulos de teste</t>
  </si>
  <si>
    <t xml:space="preserve">TDA1J81 </t>
  </si>
  <si>
    <t>APR SJO3B75 5665</t>
  </si>
  <si>
    <t>Cliente ainda não definiu a retirada dos módulos</t>
  </si>
  <si>
    <t>2026000088</t>
  </si>
  <si>
    <t>APR SJO3H86 2811</t>
  </si>
  <si>
    <t>APRESENTAÇÃO DA TELEMETRIA E CONDUÇÃO FACSS</t>
  </si>
  <si>
    <t>Sistema próprio</t>
  </si>
  <si>
    <t>APR SJO4C14 9574</t>
  </si>
  <si>
    <t>2026000089</t>
  </si>
  <si>
    <t>APR SJO4C21 9376</t>
  </si>
  <si>
    <t xml:space="preserve">TXT6J11 </t>
  </si>
  <si>
    <t>APR SJO5F56 3148</t>
  </si>
  <si>
    <t>APR SJO6G72 9964</t>
  </si>
  <si>
    <t>2026000090</t>
  </si>
  <si>
    <t xml:space="preserve">TXT6J33 </t>
  </si>
  <si>
    <t>APR SJO6J79 6169</t>
  </si>
  <si>
    <t>2026000091</t>
  </si>
  <si>
    <t>APR SJO8H65 3792</t>
  </si>
  <si>
    <t xml:space="preserve">TXT7B52 </t>
  </si>
  <si>
    <t>APR SJO8H73 2703</t>
  </si>
  <si>
    <t>2026000092</t>
  </si>
  <si>
    <t>APR SJO9A04 3793</t>
  </si>
  <si>
    <t>APR SJO9B47 5277</t>
  </si>
  <si>
    <t>Conferir report do módulo. Cliente já deu retorno que o veículo está operando.</t>
  </si>
  <si>
    <t>APR SJO9D59 0769</t>
  </si>
  <si>
    <t>RBE7I37</t>
  </si>
  <si>
    <t>Encaminhado para o suporte para enviar config e avaliar se terá retorno do módulo.</t>
  </si>
  <si>
    <t>APR SHE1F11 0992</t>
  </si>
  <si>
    <t>RBE9E38</t>
  </si>
  <si>
    <t>APR SHE1F33 4851</t>
  </si>
  <si>
    <t>APR SHE1E84 1561</t>
  </si>
  <si>
    <t>APRESENTAÇÃO COMERCIAL E CONDUÇÃO FACSS</t>
  </si>
  <si>
    <t>RFE0H26</t>
  </si>
  <si>
    <t>APR SHE1E68 4877</t>
  </si>
  <si>
    <t>APR SJO9J30 4731</t>
  </si>
  <si>
    <t>RIV4D36</t>
  </si>
  <si>
    <t>DNA QMT4G46 5518</t>
  </si>
  <si>
    <t>DNA QOL5H74 9782</t>
  </si>
  <si>
    <t>FH 460 6X2T 2018</t>
  </si>
  <si>
    <t>RIY4J81</t>
  </si>
  <si>
    <t>DNA QPQ2J79 5350</t>
  </si>
  <si>
    <t>FH 460 6X2T 2019</t>
  </si>
  <si>
    <t>DNA QUX9289 2778</t>
  </si>
  <si>
    <t>FH 460 6X2T 2020</t>
  </si>
  <si>
    <t>Conferir report do módulo. Cliente já deu retorno que o veículo está operando. (Fica muito parado)</t>
  </si>
  <si>
    <t>RIZ7J85</t>
  </si>
  <si>
    <t>DNA RNU5H15 3149</t>
  </si>
  <si>
    <t>Veículo fica muito parado e por isso não está com muitos dias performando.</t>
  </si>
  <si>
    <t>XF FTS 480 2021</t>
  </si>
  <si>
    <t>DIREÇÃO ASSISTIDA E APLICAÇÃO DA TELEMETRIA</t>
  </si>
  <si>
    <t>DNA RUK6F59 3305</t>
  </si>
  <si>
    <t>FH 540 6X4T 2022</t>
  </si>
  <si>
    <t>RJO5B77</t>
  </si>
  <si>
    <t>DNA RVP7A76 2885</t>
  </si>
  <si>
    <t>DNA SIR6C72 8231</t>
  </si>
  <si>
    <t>FH 500 6X2T 2024</t>
  </si>
  <si>
    <t>RJS6E63</t>
  </si>
  <si>
    <t>DNA SIR6C74 6795</t>
  </si>
  <si>
    <t>DNA TCK1C56 1107</t>
  </si>
  <si>
    <t>RKV4J51</t>
  </si>
  <si>
    <t>M1 RMY4D88 0596</t>
  </si>
  <si>
    <t>M1 RVU9E84 3025</t>
  </si>
  <si>
    <t>M1 RTP2H66 0409</t>
  </si>
  <si>
    <t>SGC5D31</t>
  </si>
  <si>
    <t>M1 TCF7J73 5413</t>
  </si>
  <si>
    <t>M1 RUK9E08 3552</t>
  </si>
  <si>
    <t>MGN RMY4D91 1276</t>
  </si>
  <si>
    <t xml:space="preserve">FH 460 6X2T </t>
  </si>
  <si>
    <t>2026000093</t>
  </si>
  <si>
    <t>OK</t>
  </si>
  <si>
    <t>MGN RGD2H56 5952</t>
  </si>
  <si>
    <t>Ewerton Gonçalve</t>
  </si>
  <si>
    <t>OK / sem performance</t>
  </si>
  <si>
    <t>TTA3G82</t>
  </si>
  <si>
    <t>MGN RMY4D90 9618</t>
  </si>
  <si>
    <t>2026000094</t>
  </si>
  <si>
    <t>R&amp;M SHC5H54 2761</t>
  </si>
  <si>
    <t>RFJ2G29</t>
  </si>
  <si>
    <t>2026000095</t>
  </si>
  <si>
    <t>R&amp;M RTP1E60 5517</t>
  </si>
  <si>
    <t>Vanderley Abreu</t>
  </si>
  <si>
    <t xml:space="preserve">Criar usuario para acessar o app              </t>
  </si>
  <si>
    <t>R&amp;M TDS7F47 1479</t>
  </si>
  <si>
    <t>Criei o usuario</t>
  </si>
  <si>
    <t>2026000096</t>
  </si>
  <si>
    <t>WD TBC6I98 3136</t>
  </si>
  <si>
    <t>G560 A6X4 XT CS</t>
  </si>
  <si>
    <t>WD TBD0D92 5408</t>
  </si>
  <si>
    <t>Enviar config.</t>
  </si>
  <si>
    <t>VISITA TÉCNICA</t>
  </si>
  <si>
    <t>WD TBD1F97 6256</t>
  </si>
  <si>
    <t>WD TBD1F88 2666</t>
  </si>
  <si>
    <t>WD TBD1F92 8922</t>
  </si>
  <si>
    <t>BRT SIN7G80 2993</t>
  </si>
  <si>
    <t>FM 540 8X4R</t>
  </si>
  <si>
    <t>INATIVO</t>
  </si>
  <si>
    <t>ok</t>
  </si>
  <si>
    <t>BRT TDF8C78 2712</t>
  </si>
  <si>
    <t xml:space="preserve">G560 B8X4 XT CS </t>
  </si>
  <si>
    <t>VLT RFE4H86 9279</t>
  </si>
  <si>
    <t>ATRON 1635</t>
  </si>
  <si>
    <t>LNR TTA3G80 3883</t>
  </si>
  <si>
    <t xml:space="preserve">FH 500 6X2T </t>
  </si>
  <si>
    <t>BRITO SERVIÇOS</t>
  </si>
  <si>
    <t>LNR TTA3G81 0137</t>
  </si>
  <si>
    <t>LNR TTP3J05 4767</t>
  </si>
  <si>
    <t>LNR TTP3J06 2066</t>
  </si>
  <si>
    <t>LNR TTA3G78 9179</t>
  </si>
  <si>
    <t>LNR TTO4B70 3438</t>
  </si>
  <si>
    <t>202600097</t>
  </si>
  <si>
    <t>LNR TTR2A44 2456</t>
  </si>
  <si>
    <t>Walker</t>
  </si>
  <si>
    <t>Rastreio do celular</t>
  </si>
  <si>
    <t>LNR TTR2A45 7310</t>
  </si>
  <si>
    <t>Foi enviado a localização do celular</t>
  </si>
  <si>
    <t>LNR TTR2A46 2963</t>
  </si>
  <si>
    <t>202600098</t>
  </si>
  <si>
    <t>MGN RVB9J03 7544</t>
  </si>
  <si>
    <t>Motorista não consegue acessar o super app</t>
  </si>
  <si>
    <t>MGN TCN6F55 5584</t>
  </si>
  <si>
    <t>Foi solicitado que o motorista faça a substituição do aparelho</t>
  </si>
  <si>
    <t>202600099</t>
  </si>
  <si>
    <t>LNR TTS4B17 6653</t>
  </si>
  <si>
    <t>Jorge Menezes</t>
  </si>
  <si>
    <t>EMF SHQ5I16 6457</t>
  </si>
  <si>
    <t>Atualizar lista de postos no APP</t>
  </si>
  <si>
    <t>Lista foi atualizada no app</t>
  </si>
  <si>
    <t>202600100</t>
  </si>
  <si>
    <t>EMF SHM3C03 4139</t>
  </si>
  <si>
    <t>DIREÇÃO ASSISTIDA (LENARGE)</t>
  </si>
  <si>
    <t>João Pedro</t>
  </si>
  <si>
    <t>Correção de placa no App Lenarge. Placa exibida incorretamente como HBG0216 correto HBG0C16. Cadastro no Rodopar está correto, porém o erro persiste no app.</t>
  </si>
  <si>
    <t>HBG0C16</t>
  </si>
  <si>
    <t>EMF TKT8C48 0572</t>
  </si>
  <si>
    <t>correção da busca de cadastro</t>
  </si>
  <si>
    <t>FH 460  4X2T</t>
  </si>
  <si>
    <t>2026000101</t>
  </si>
  <si>
    <t>EMF RND2F53 2792</t>
  </si>
  <si>
    <t>Kessia Braga</t>
  </si>
  <si>
    <t>Criar usuarios para brito serviços</t>
  </si>
  <si>
    <t>Usuário foi criado com sucesso</t>
  </si>
  <si>
    <t>EMF RNB2I86 0408</t>
  </si>
  <si>
    <t>R460 A6X4</t>
  </si>
  <si>
    <t>LNR LTQ9A65 2479</t>
  </si>
  <si>
    <t>EMF SHS6G41 2179</t>
  </si>
  <si>
    <t>EMF SWZ7C27 8054</t>
  </si>
  <si>
    <t>EMF STY0I07 0906</t>
  </si>
  <si>
    <t>XF FTS 480</t>
  </si>
  <si>
    <t>EMF SHM3C00 8328</t>
  </si>
  <si>
    <t>MGN RMZ2A45 6650</t>
  </si>
  <si>
    <t>APR SJO6H10 1653</t>
  </si>
  <si>
    <t>25.480 CTM 6X2</t>
  </si>
  <si>
    <t>AGB SJE9I29 1940</t>
  </si>
  <si>
    <t>AGB QPY0H93 2613</t>
  </si>
  <si>
    <t>R 440 A6X2</t>
  </si>
  <si>
    <t/>
  </si>
  <si>
    <t>AGB OPZ6B12 0477</t>
  </si>
  <si>
    <t>R 440 A6X3</t>
  </si>
  <si>
    <t>DIREÇÃO ASSISTIDA</t>
  </si>
  <si>
    <t>AGB HBN5J33 7064</t>
  </si>
  <si>
    <t>G 420 A4X2</t>
  </si>
  <si>
    <t>AGB PKC0E98 5647</t>
  </si>
  <si>
    <t>AGB RUO4G02 4627</t>
  </si>
  <si>
    <t>APR RUB4G45 6325</t>
  </si>
  <si>
    <t>2026000102</t>
  </si>
  <si>
    <t>AXOR 2544 LS</t>
  </si>
  <si>
    <t>Criar usuario para novo funcionário</t>
  </si>
  <si>
    <t>LNR SRZ4A68 8674</t>
  </si>
  <si>
    <t>2026000103</t>
  </si>
  <si>
    <t>LNR RBE9A72 4492</t>
  </si>
  <si>
    <t>Nilson Silva</t>
  </si>
  <si>
    <t>LNR RJH5F82 8378</t>
  </si>
  <si>
    <t>2026000104</t>
  </si>
  <si>
    <t>RLR TXM3I70 7083</t>
  </si>
  <si>
    <t>R420 A6X2</t>
  </si>
  <si>
    <t>Veiculo não apresenta dados de monitomaneto de cameras</t>
  </si>
  <si>
    <t xml:space="preserve">TTU5A51
</t>
  </si>
  <si>
    <t>Veiculo incluido na plataforma</t>
  </si>
  <si>
    <t>RLR TXM3I76 2963</t>
  </si>
  <si>
    <t>2026000105</t>
  </si>
  <si>
    <t>RLR TXM3I89 1737</t>
  </si>
  <si>
    <t>Foi orientado a procurar a Mariana do setor de jornada</t>
  </si>
  <si>
    <t>RLR TXM3I86 0678</t>
  </si>
  <si>
    <t>2026000106</t>
  </si>
  <si>
    <t>EMF RNT3J18 0632</t>
  </si>
  <si>
    <t>RLR TXM3I64 7182</t>
  </si>
  <si>
    <t>EMF SIB6B68 9780</t>
  </si>
  <si>
    <t>Veículo não está aparecendo no Tracking do cliente</t>
  </si>
  <si>
    <t>EMF SUR9B75 5392</t>
  </si>
  <si>
    <t>RVK8J91</t>
  </si>
  <si>
    <t>Veiculo incluido no tracking</t>
  </si>
  <si>
    <t>EMF RUU5F27 7561</t>
  </si>
  <si>
    <t>2026000107</t>
  </si>
  <si>
    <t>LNR TTP6B55 8914</t>
  </si>
  <si>
    <t>TCR3G73</t>
  </si>
  <si>
    <t>LNR TTP6B54 7312</t>
  </si>
  <si>
    <t>2026000108</t>
  </si>
  <si>
    <t>RLR TXM3I80 0819</t>
  </si>
  <si>
    <t>Aletrar a nomenclatura de placa de monitoramento de câmeras para TAG</t>
  </si>
  <si>
    <t xml:space="preserve">Placas foram renomeadas para as que o cliente solicitou </t>
  </si>
  <si>
    <t>LNR SGD6C07 4391</t>
  </si>
  <si>
    <t>FH 500 6X4T</t>
  </si>
  <si>
    <t>2026000110</t>
  </si>
  <si>
    <t>RLR TYF9I36 7158</t>
  </si>
  <si>
    <t>Config enviada</t>
  </si>
  <si>
    <t>2026000111</t>
  </si>
  <si>
    <t>LNR SQW0F90 2712</t>
  </si>
  <si>
    <t>OXK9J56</t>
  </si>
  <si>
    <t>M1 TCR3G73 3470</t>
  </si>
  <si>
    <t>2026000112</t>
  </si>
  <si>
    <t>Veiculo vendido para M1</t>
  </si>
  <si>
    <t>RVU7B19</t>
  </si>
  <si>
    <t>LNR RBE7I13 3495</t>
  </si>
  <si>
    <t>2026000113</t>
  </si>
  <si>
    <t>EMF SIE6G04 8824</t>
  </si>
  <si>
    <t>RNO9B68</t>
  </si>
  <si>
    <t>EMF RND2F60 1839</t>
  </si>
  <si>
    <t>R460 A6X3</t>
  </si>
  <si>
    <t>2026000114</t>
  </si>
  <si>
    <t>EMF RND2F57 0413</t>
  </si>
  <si>
    <t>QXC5H87</t>
  </si>
  <si>
    <t>EMF SVX8F93 0897</t>
  </si>
  <si>
    <t>2026000115</t>
  </si>
  <si>
    <t>EMF SWY5C55 4312</t>
  </si>
  <si>
    <t>Não está reportando corretamente no Dashboard / iOs chegando irregularmente.</t>
  </si>
  <si>
    <t>TET2I33</t>
  </si>
  <si>
    <t>XF FTS 480 SSC</t>
  </si>
  <si>
    <t>EMF RFC9A54 3909</t>
  </si>
  <si>
    <t>2026000116</t>
  </si>
  <si>
    <t>EMF QWZ5F39 1695</t>
  </si>
  <si>
    <t>Está reportando inércia muito baixa</t>
  </si>
  <si>
    <t>RLR TXN4A60 2323</t>
  </si>
  <si>
    <t>2026000117</t>
  </si>
  <si>
    <t>RLR TXN4A63 8741</t>
  </si>
  <si>
    <t>Atualiazar app Betruck e Trato</t>
  </si>
  <si>
    <t>Apps foram atualizados</t>
  </si>
  <si>
    <t>PTNR KVO6C97 3280</t>
  </si>
  <si>
    <t>24.250 CNC 6X2</t>
  </si>
  <si>
    <t>2026000118</t>
  </si>
  <si>
    <t>Adair</t>
  </si>
  <si>
    <t>Vincular rastreador da Sascar ao veiculo</t>
  </si>
  <si>
    <t>PTNR RKN3J88 5935</t>
  </si>
  <si>
    <t>Vinculei o rastreador</t>
  </si>
  <si>
    <t>2026000119</t>
  </si>
  <si>
    <t>PTNR SYC6B91 2688</t>
  </si>
  <si>
    <t>Sistema estava com o FLUXO //sabara x cariaciaca ES.
Por isso não estava aparecendo para o cliente Anglogold</t>
  </si>
  <si>
    <t>PTNR OLP5021 4015</t>
  </si>
  <si>
    <t>Subiu a PR e voltou ao normal para o cliente</t>
  </si>
  <si>
    <t>2026000120</t>
  </si>
  <si>
    <t>PARADO</t>
  </si>
  <si>
    <t>PTNR RJB9A44 9741</t>
  </si>
  <si>
    <t>O aplicativo Lernager está apresentando um bug de localização. O sistema indica que o motorista está em um local, porém ele se encontra em outro diferente.</t>
  </si>
  <si>
    <t>LUS7H14</t>
  </si>
  <si>
    <t>PTNR OLP4849 3603</t>
  </si>
  <si>
    <t xml:space="preserve">Veiculo estava parado, por isso não estava reportando </t>
  </si>
  <si>
    <t>2026000121</t>
  </si>
  <si>
    <t>PTNR QNV4C44 8063</t>
  </si>
  <si>
    <t>ATRON 1635 S</t>
  </si>
  <si>
    <t>Usuário criado com sucesso.</t>
  </si>
  <si>
    <t>PTNR QPZ6021 5318</t>
  </si>
  <si>
    <t xml:space="preserve"> </t>
  </si>
  <si>
    <t>RLR TXP9B97 6356</t>
  </si>
  <si>
    <t xml:space="preserve">TUM2H80
</t>
  </si>
  <si>
    <t>PTNR QPV8A11 2290</t>
  </si>
  <si>
    <t>2026000123</t>
  </si>
  <si>
    <t>LNR RFZ9J35 1464</t>
  </si>
  <si>
    <t>Rastrear celular no knox</t>
  </si>
  <si>
    <t>Falha Freio 22/10/2025 - Reenvio de Config</t>
  </si>
  <si>
    <t>Rastreei e enviei a localização para o Wlaker</t>
  </si>
  <si>
    <t>LNR TTO6E08 1541</t>
  </si>
  <si>
    <t>2026000124</t>
  </si>
  <si>
    <t>EMF OWQ3G00 7040</t>
  </si>
  <si>
    <t>P 360 A6X2</t>
  </si>
  <si>
    <t>Vincular rastreador da Autotrac ao veiculo</t>
  </si>
  <si>
    <t>TYF9I36</t>
  </si>
  <si>
    <t>Rastreador vinculado</t>
  </si>
  <si>
    <t>EMF QUX6C00 8469</t>
  </si>
  <si>
    <t>2026000125</t>
  </si>
  <si>
    <t>Thalita Martins</t>
  </si>
  <si>
    <t>EMF SWC9C31 6512</t>
  </si>
  <si>
    <t>CARLOS EDUARDO</t>
  </si>
  <si>
    <t>Colocar essa cerca TRECHO DE ACESSO - LNG SOLID - ITABIRITO - MG dentro dos ALERTAS GSM PREMIAÇÂO</t>
  </si>
  <si>
    <t>EMF QWZ5F35 1216</t>
  </si>
  <si>
    <t>2026000126</t>
  </si>
  <si>
    <t>EMF TKU7H47 0848</t>
  </si>
  <si>
    <t>Não esta reportando dados de telemetria</t>
  </si>
  <si>
    <t>Veículo está reportando normalmente,</t>
  </si>
  <si>
    <t>TSM TCH1H19 8537</t>
  </si>
  <si>
    <t>MPOLO SENIOR FR</t>
  </si>
  <si>
    <t>2026000127</t>
  </si>
  <si>
    <t>TSM TEU4I80 4841</t>
  </si>
  <si>
    <t xml:space="preserve">Bloquear o controle de folgas para a apuração das diárias </t>
  </si>
  <si>
    <t>Subiu a PR e foi realizada a trava para o cliente</t>
  </si>
  <si>
    <t>TSM TET2I15 7810</t>
  </si>
  <si>
    <t>2026000128</t>
  </si>
  <si>
    <t>TSM TET2I33 6375</t>
  </si>
  <si>
    <t>Aperam Carvão</t>
  </si>
  <si>
    <t>TSM TCI9H15 0392</t>
  </si>
  <si>
    <t>Desenvolver estudo de caso da quilometragem divergente</t>
  </si>
  <si>
    <t>TSM TET2I57 3009</t>
  </si>
  <si>
    <t>Estudo em desenvolvimento junto à torre e desenvolvedores</t>
  </si>
  <si>
    <t>TSM TCD9I24 3842</t>
  </si>
  <si>
    <t>TSM TET2I49 8156</t>
  </si>
  <si>
    <t>TSM TXA2B39 2746</t>
  </si>
  <si>
    <t>2026000129</t>
  </si>
  <si>
    <t>TSM TET2I41 9866</t>
  </si>
  <si>
    <t>Marcha lenta do Volkswagen está muito diferente do Mercedes Benz</t>
  </si>
  <si>
    <t>FROTA VOLKSWAGEN</t>
  </si>
  <si>
    <t>https://docs.google.com/document/d/1DQYKmIs3mNK9p_aRtIggju05WJDqvvo-aerRKXeiO2Q/edit?usp=sharing</t>
  </si>
  <si>
    <t>LNR TTR5E43 0020</t>
  </si>
  <si>
    <t>LNR TTR5E45 5160</t>
  </si>
  <si>
    <t>LNR TTQ5H23 3982</t>
  </si>
  <si>
    <t>LNR TTR5E44 3485</t>
  </si>
  <si>
    <t>2026000130</t>
  </si>
  <si>
    <t>EM ANÁLISE</t>
  </si>
  <si>
    <t>LNR TTQ5H21 7783</t>
  </si>
  <si>
    <t>Henrique Cavinato</t>
  </si>
  <si>
    <t>Validação do horímetro</t>
  </si>
  <si>
    <t>LNR TTQ5H20 8311</t>
  </si>
  <si>
    <t>2026000131</t>
  </si>
  <si>
    <t>LNR TTT5B73 0440</t>
  </si>
  <si>
    <t>Ricardo Ferreira</t>
  </si>
  <si>
    <t xml:space="preserve">App trizy com erro no knox </t>
  </si>
  <si>
    <t>Mandei a atualização no app</t>
  </si>
  <si>
    <t>LNR TTT5B71 8974</t>
  </si>
  <si>
    <t>2026000132</t>
  </si>
  <si>
    <t>LNR TTT5B70 5604</t>
  </si>
  <si>
    <t>Magda Alberto</t>
  </si>
  <si>
    <t>Erro ao logar no app lenarge</t>
  </si>
  <si>
    <t>LNR TTT5B72 3493</t>
  </si>
  <si>
    <t>Foi feita criado o usuario de denuncia</t>
  </si>
  <si>
    <t>2026000133</t>
  </si>
  <si>
    <t>LNR TTV3F88 3842</t>
  </si>
  <si>
    <t>App colaborador não quer logar</t>
  </si>
  <si>
    <t>LNR TTU3G71 8436</t>
  </si>
  <si>
    <t>2026000134</t>
  </si>
  <si>
    <t>LNR TTV3F89 3867</t>
  </si>
  <si>
    <t>LNR SRK3E30 2997</t>
  </si>
  <si>
    <t xml:space="preserve"> XF FTS 480</t>
  </si>
  <si>
    <t>Atualizar lista de postos</t>
  </si>
  <si>
    <t>Lista foi atualizada</t>
  </si>
  <si>
    <t>2026000135</t>
  </si>
  <si>
    <t>APR TYK2F93 8352</t>
  </si>
  <si>
    <t xml:space="preserve">Criar usuário para canal de denuncias </t>
  </si>
  <si>
    <t>SIM</t>
  </si>
  <si>
    <t>Criado o acesso</t>
  </si>
  <si>
    <t>GTS TXT6J33 2983</t>
  </si>
  <si>
    <t>2026000136</t>
  </si>
  <si>
    <t xml:space="preserve">Gabriel </t>
  </si>
  <si>
    <t>GFM QUR5D10 6489</t>
  </si>
  <si>
    <t xml:space="preserve">Alterar o nome de chassi para placa na plataforma de monitoramento </t>
  </si>
  <si>
    <t>LNR RJH5F77 8062</t>
  </si>
  <si>
    <t>2026000137</t>
  </si>
  <si>
    <t>LNR TTS5F13 1367</t>
  </si>
  <si>
    <t>Solicito o envio do relatório contendo as seguintes informações:
Consumo de combustível
Tempo de viagem
Quilometragem rodada (KM rodado)</t>
  </si>
  <si>
    <t>RTX2J95</t>
  </si>
  <si>
    <t>FH 500 6X2</t>
  </si>
  <si>
    <t>Relatório enviado</t>
  </si>
  <si>
    <t>EMF SWJ2H84 8351</t>
  </si>
  <si>
    <t>2026000138</t>
  </si>
  <si>
    <t>EMF SWD2I25 9599</t>
  </si>
  <si>
    <t>Criar usuário e espelhar acesso</t>
  </si>
  <si>
    <t>Usuário Criado</t>
  </si>
  <si>
    <t>EMF SUU8I34 6209</t>
  </si>
  <si>
    <t>2026000139</t>
  </si>
  <si>
    <t xml:space="preserve">Walker Rodrigues </t>
  </si>
  <si>
    <t>EMF STE3E44 6580</t>
  </si>
  <si>
    <t>Ele queria acesso ao tracking, mas a Lenarge não tem veiculos cadastrados no tracking</t>
  </si>
  <si>
    <t>FASI TCA5F75 9360</t>
  </si>
  <si>
    <t>2026000140</t>
  </si>
  <si>
    <t>FASI RVL9A71 9361</t>
  </si>
  <si>
    <t xml:space="preserve">Vincular rastreador da sascar </t>
  </si>
  <si>
    <t>TUM2H79
 TUD2J31</t>
  </si>
  <si>
    <t xml:space="preserve">Rastreadores foram vinculados </t>
  </si>
  <si>
    <t>2026000141</t>
  </si>
  <si>
    <t>Clarice Felipe</t>
  </si>
  <si>
    <t>FASI SYJ3A48 0558</t>
  </si>
  <si>
    <t>Folga bugada no app</t>
  </si>
  <si>
    <t>O cliente foi orientado a excluir e incluir o motorista novamente.</t>
  </si>
  <si>
    <t>FASI RNW5B87 5291</t>
  </si>
  <si>
    <t>ATEGO 2426 CE</t>
  </si>
  <si>
    <t>2026000142</t>
  </si>
  <si>
    <t>Thalita</t>
  </si>
  <si>
    <t>GFM TCG3C41 6887</t>
  </si>
  <si>
    <t>Bug ao acessar telemetria (Relatório de eventos de seguranção) no nome do colaborador que já foi demetido a mais de 3 meses</t>
  </si>
  <si>
    <t>Atualização cadastro do motorista no banco</t>
  </si>
  <si>
    <t>GFM RMF2J70 6661</t>
  </si>
  <si>
    <t>2026000143</t>
  </si>
  <si>
    <t>LNR TUU2E51 8022</t>
  </si>
  <si>
    <t>GFM TDO1J93 9848</t>
  </si>
  <si>
    <t>EMF SWO3B16 9086</t>
  </si>
  <si>
    <t>2026000144</t>
  </si>
  <si>
    <t>Thiago Moraes</t>
  </si>
  <si>
    <t>Não esta aparencendo condução</t>
  </si>
  <si>
    <t>EMF TKX3B16 3826</t>
  </si>
  <si>
    <t>TYH2H32</t>
  </si>
  <si>
    <t>Veiculo está com iOs anômalas e deve ser direcionado para o suporte.</t>
  </si>
  <si>
    <t>EMF QWZ5F76 5193</t>
  </si>
  <si>
    <t>2026000145</t>
  </si>
  <si>
    <t>EMF SVE1I03 0780</t>
  </si>
  <si>
    <t>DEV</t>
  </si>
  <si>
    <t>Fazer as avaliações solicitadas</t>
  </si>
  <si>
    <t>EMF QWZ5F69 3693</t>
  </si>
  <si>
    <t>Avaliaçãões sobre o App do motorista realizadas e enviadas para Andrezza</t>
  </si>
  <si>
    <t>Avaliação do</t>
  </si>
  <si>
    <t>2026000146</t>
  </si>
  <si>
    <t>EMF RNG4B34 6523</t>
  </si>
  <si>
    <t>Bruno Alves</t>
  </si>
  <si>
    <t>Criar usuário</t>
  </si>
  <si>
    <t>EMF QWZ5F32 9865</t>
  </si>
  <si>
    <t>Usuário criado</t>
  </si>
  <si>
    <t>EMF QUX6C01  2560</t>
  </si>
  <si>
    <t>2026000147</t>
  </si>
  <si>
    <t>VISITA TÉCNICA E TREINAMENTO TEÓRICO</t>
  </si>
  <si>
    <t>EMF TKR6H71 1423</t>
  </si>
  <si>
    <t xml:space="preserve">Criar usuário </t>
  </si>
  <si>
    <t>EMF RNG4B37 9045</t>
  </si>
  <si>
    <t xml:space="preserve">EMF RUU5F28 7042 </t>
  </si>
  <si>
    <t>2026000148</t>
  </si>
  <si>
    <t>LNR TTQ5H22 3037</t>
  </si>
  <si>
    <t>Não está retornando dados</t>
  </si>
  <si>
    <t>Foi enviada a config.</t>
  </si>
  <si>
    <t>RLR RMI6A15 3575</t>
  </si>
  <si>
    <t>2026000149</t>
  </si>
  <si>
    <t>Hiann Nunes</t>
  </si>
  <si>
    <t>LNR TUE0I42 1540</t>
  </si>
  <si>
    <t>TUW2I55</t>
  </si>
  <si>
    <t>Rastreador foi vinculado</t>
  </si>
  <si>
    <t>RLR RUV8G79 6464</t>
  </si>
  <si>
    <t>2026000150</t>
  </si>
  <si>
    <t>LNR TTG8A44 7785</t>
  </si>
  <si>
    <t>TTP7F79</t>
  </si>
  <si>
    <t>LNR RQT5E87 3784</t>
  </si>
  <si>
    <t>P&amp;W RUM7C82 0459</t>
  </si>
  <si>
    <t xml:space="preserve">TTT9J27 </t>
  </si>
  <si>
    <t>P&amp;W RNH7D37 9980</t>
  </si>
  <si>
    <t>P&amp;W RNG8H84 2191</t>
  </si>
  <si>
    <t xml:space="preserve">TTT9J30 </t>
  </si>
  <si>
    <t>P&amp;W TXL1H75 3346</t>
  </si>
  <si>
    <t>P&amp;W TXI1A66 4973</t>
  </si>
  <si>
    <t>P&amp;W TXL4D77 1425</t>
  </si>
  <si>
    <t xml:space="preserve">TTT9J31 </t>
  </si>
  <si>
    <t>P&amp;W TDN6D36 2412</t>
  </si>
  <si>
    <t>R560 A6X4</t>
  </si>
  <si>
    <t xml:space="preserve">TUL2H49 </t>
  </si>
  <si>
    <t>P&amp;W TEL7C91 2117</t>
  </si>
  <si>
    <t>P&amp;W DEL7I24 9830</t>
  </si>
  <si>
    <t xml:space="preserve">TUM2H79 </t>
  </si>
  <si>
    <t>P&amp;W HIV9A88 6770</t>
  </si>
  <si>
    <t>P&amp;W SHU6G15 8248</t>
  </si>
  <si>
    <t xml:space="preserve">TUW2I51 </t>
  </si>
  <si>
    <t>P&amp;W RVU7B19 5549</t>
  </si>
  <si>
    <t>P&amp;W TCX5C15 7331</t>
  </si>
  <si>
    <t xml:space="preserve">TUW2I52 </t>
  </si>
  <si>
    <t>P&amp;W SHQ5A87 0913</t>
  </si>
  <si>
    <t>P&amp;W QMZ0H05 6318</t>
  </si>
  <si>
    <t xml:space="preserve">TUW2I53 </t>
  </si>
  <si>
    <t>P&amp;W SJI7H66 3629</t>
  </si>
  <si>
    <t xml:space="preserve">TUW2I55 </t>
  </si>
  <si>
    <t>LNR SRQ6H42 7520</t>
  </si>
  <si>
    <t>2026000151</t>
  </si>
  <si>
    <t>P&amp;W RVO7J44 5342</t>
  </si>
  <si>
    <t>Pedro Estrugiaki</t>
  </si>
  <si>
    <t>Durante uma viagem de instrução realizada por nossa Master Drive, foi identificada uma divergência de informações entre as plataformas Telemetria FACCS e Scania Fleet. Solicita-se a avaliação do cenário e o esclarecimento da metodologia de apuração e comparação dos dados utilizada por cada uma das ferramentas, a fim de identificar a origem das diferenças observadas.</t>
  </si>
  <si>
    <t>P&amp;W HFL0H70 5459</t>
  </si>
  <si>
    <t>Mudança de label em resolução, controle de volume já resolvido. Dia 10/02/26 data para resolver filmagem da madrugada.
(Caso muito confuso, não foi possivel fazer a analise, porem a descrição diz que ficou muito divegente do scania fleet o nosso app não apresa dados do scania fleet são dados unicos e calculados de formas diferente então nunca vai dar a mesma coisa )</t>
  </si>
  <si>
    <t>DIREÇÃO ASSISTIDA E APLICAÇÃO DA TELEMETRIA (WALISSON)</t>
  </si>
  <si>
    <t>P&amp;W SHR3J87 0434</t>
  </si>
  <si>
    <t>2026000152</t>
  </si>
  <si>
    <t>Atualizar cadastro na plataforma videocameras facss</t>
  </si>
  <si>
    <t>P&amp;W TDC4B13 4916</t>
  </si>
  <si>
    <t xml:space="preserve">TUD2J30
TUW2I54
TUD2J29
TUE2J52
TUE2J53
TTU6D98
TTV6E70
TTU6D93
TTV6E71
TTU6D99
TTU6E00
TUW2I50 </t>
  </si>
  <si>
    <t xml:space="preserve">Alteração foi realizada. </t>
  </si>
  <si>
    <t>P&amp;W TCL9B34 9681</t>
  </si>
  <si>
    <t>2026000153</t>
  </si>
  <si>
    <t>P&amp;W TCL6C47 1748</t>
  </si>
  <si>
    <t>DIREÇÃO ASSISTIDA E APLICAÇÃO DA TELEMETRIA (HIAGO)</t>
  </si>
  <si>
    <t>Enviei a localização para ele.</t>
  </si>
  <si>
    <t>P&amp;W OXK9J56 7521</t>
  </si>
  <si>
    <t>2026000154</t>
  </si>
  <si>
    <t>Breno</t>
  </si>
  <si>
    <t>LNR SGD6C24 4640</t>
  </si>
  <si>
    <t xml:space="preserve">Não está conseguindo concluir as demandas DOLOCAL
</t>
  </si>
  <si>
    <t>RKP8D05</t>
  </si>
  <si>
    <t>Concluído - Cognisense resetado e a demanda voltou a finalizar</t>
  </si>
  <si>
    <t>LNR SRX9C58 6393</t>
  </si>
  <si>
    <t>2026000155</t>
  </si>
  <si>
    <t>LNR TTN6B99 0723</t>
  </si>
  <si>
    <t>DIREÇÃO ASSISTIDA E APLICAÇÃO DA TELEMETRIA (LUCAS)</t>
  </si>
  <si>
    <t>SSA2A11</t>
  </si>
  <si>
    <t>LNR TTS5F10 4879</t>
  </si>
  <si>
    <t>2026000156</t>
  </si>
  <si>
    <t>LNR TTV3F87 9097</t>
  </si>
  <si>
    <t>LNR TTV3F86 5336</t>
  </si>
  <si>
    <t>Divergência de Km JUSEZO ANTONIO OLIVEIRA 28/01</t>
  </si>
  <si>
    <t>Demanda duplicada</t>
  </si>
  <si>
    <t>LNR TUK1B76 2081</t>
  </si>
  <si>
    <t>LNR SRV7B86 4585</t>
  </si>
  <si>
    <t>LNR SSA2A17 6406</t>
  </si>
  <si>
    <t>2026000157</t>
  </si>
  <si>
    <t>LNR SRV7B84 0625</t>
  </si>
  <si>
    <t>Divergência de Km SIDNEY ALVES 28/01</t>
  </si>
  <si>
    <t>SJL7D75</t>
  </si>
  <si>
    <t>AAS TDF6B12 0649</t>
  </si>
  <si>
    <t>2026000158</t>
  </si>
  <si>
    <t>LNR TTR8H44 6934</t>
  </si>
  <si>
    <t>Avaliar a possibilidade de criar um filtro por letra (turma)</t>
  </si>
  <si>
    <t>LNR TTR8H42 7487</t>
  </si>
  <si>
    <t>2026000159</t>
  </si>
  <si>
    <t>LNR TTR8H43 3642</t>
  </si>
  <si>
    <t>TUN2J37</t>
  </si>
  <si>
    <t>TBR QXQ9D00 5744</t>
  </si>
  <si>
    <t>AXOR 2041 S</t>
  </si>
  <si>
    <t>2026000160</t>
  </si>
  <si>
    <t>TBR QPS4I84 6548</t>
  </si>
  <si>
    <t>AXOR 2036 S</t>
  </si>
  <si>
    <t>Lista atializada</t>
  </si>
  <si>
    <t>TBR QPI5640 6448</t>
  </si>
  <si>
    <t>AXOR 2036S</t>
  </si>
  <si>
    <t>2026000161</t>
  </si>
  <si>
    <t>TBR RUB5I32 0010</t>
  </si>
  <si>
    <t>AXOR 2544 S</t>
  </si>
  <si>
    <t>Espelhar acesso da Mariana para André Freitas</t>
  </si>
  <si>
    <t>Acesso espelhado</t>
  </si>
  <si>
    <t>TBR RFA0E81 3014</t>
  </si>
  <si>
    <t>2026000162</t>
  </si>
  <si>
    <t>TBR SYU9D28 4236</t>
  </si>
  <si>
    <t>DIREÇÃO ASSISTIDA E APLICAÇÃO DA TELEMETRIA (JOÃO)</t>
  </si>
  <si>
    <t>CF FT 370</t>
  </si>
  <si>
    <t xml:space="preserve">Bruno Alves </t>
  </si>
  <si>
    <t>Software das cameras (Lenarge sinalizando que não está rodando de forma completa)</t>
  </si>
  <si>
    <t>TBR SYV3E19 5988</t>
  </si>
  <si>
    <t>2026000163</t>
  </si>
  <si>
    <t>TBR SIA7A32 8412</t>
  </si>
  <si>
    <t>CF FT 371</t>
  </si>
  <si>
    <t>Indicador de Marcha Lenta no produto telemetria (retornar com o indicador no app pois não está aparecendo no painel da Lenarge)</t>
  </si>
  <si>
    <t>LNR TTS5F11 3809</t>
  </si>
  <si>
    <t>habilitar o indicador</t>
  </si>
  <si>
    <t>2026000164</t>
  </si>
  <si>
    <t>EXT QXC5H87 6983</t>
  </si>
  <si>
    <t>Reclamou que ele não está tendo mudança na estatística, porém tem report de iOs</t>
  </si>
  <si>
    <t>EXT PYR9E25 0053</t>
  </si>
  <si>
    <t>2026000165</t>
  </si>
  <si>
    <t>"ACTROS 2646LS6X4</t>
  </si>
  <si>
    <t>EXT GBR0A93 5754</t>
  </si>
  <si>
    <t>Filmagem na madrugada
Mudança da label da câmera traseira
Controle do volume no áudio da cabine</t>
  </si>
  <si>
    <t>LNR TTT9J28 3160</t>
  </si>
  <si>
    <t xml:space="preserve">Mudança de label em resolução, controle de volume já resolvido. Dia 10/02/26 data para resolver filmagem da madrugada </t>
  </si>
  <si>
    <t>rever</t>
  </si>
  <si>
    <t>2026000166</t>
  </si>
  <si>
    <t>LNR TUI1C94 0781</t>
  </si>
  <si>
    <t>TUM2H81</t>
  </si>
  <si>
    <t>LNR TTU5A51 9092</t>
  </si>
  <si>
    <t>vinculei o rastreador a placa</t>
  </si>
  <si>
    <t>LNR TUV2I88 3600</t>
  </si>
  <si>
    <t>2026000167</t>
  </si>
  <si>
    <t>LNR TTT9J22 4764</t>
  </si>
  <si>
    <t>Criar usuario</t>
  </si>
  <si>
    <t>Duplicado</t>
  </si>
  <si>
    <t>Crie usuário</t>
  </si>
  <si>
    <t>LNR TUV2I87 5838</t>
  </si>
  <si>
    <t>LNR TTU5A49 2407</t>
  </si>
  <si>
    <t>LNR TTU5A50 5183</t>
  </si>
  <si>
    <t>2026000168</t>
  </si>
  <si>
    <t>LNR TTW3C63 3824</t>
  </si>
  <si>
    <t>Melhoria no contador de "liberados"</t>
  </si>
  <si>
    <t>LNR TTT9J26 7296</t>
  </si>
  <si>
    <t>Foi realizado melhoria no contador com a regra nova</t>
  </si>
  <si>
    <t>2026000169</t>
  </si>
  <si>
    <t>LNR TTT9J21 9972</t>
  </si>
  <si>
    <t>TTR8H44</t>
  </si>
  <si>
    <t>LNR TTU5A48 8847</t>
  </si>
  <si>
    <t>2026000170</t>
  </si>
  <si>
    <t>MELHORIA / SUPORTE</t>
  </si>
  <si>
    <t>COLOCAR CASE DE SUCESSO NA APRESENTAÇÃO COMERCIAL</t>
  </si>
  <si>
    <t>DNA RVK8J91 7258</t>
  </si>
  <si>
    <t>Ian</t>
  </si>
  <si>
    <t>TUD2J29</t>
  </si>
  <si>
    <t>Veiculo vendido para DNA</t>
  </si>
  <si>
    <t>LNR TYF0G06 5127</t>
  </si>
  <si>
    <t>VM 290 6X2 R</t>
  </si>
  <si>
    <t>2026000171</t>
  </si>
  <si>
    <t>VLT RNA8H22 8946</t>
  </si>
  <si>
    <t>verificar a quetsão da cãmera do veiculo com sinistro</t>
  </si>
  <si>
    <t>VLT RMZ2F26 3469</t>
  </si>
  <si>
    <t>CRIAR ROTEIRO DOS INDICADORES FACSS</t>
  </si>
  <si>
    <t>VLT TYH3F58 4071</t>
  </si>
  <si>
    <t>2026000172</t>
  </si>
  <si>
    <t>LNR RFZ4I84 8592</t>
  </si>
  <si>
    <t>Motorista; Alexandre Lança Junior não consegue acompanhar seu telemetria no aplicativo pelo nome.
Com a placa aparece pelo nome não.</t>
  </si>
  <si>
    <t>VLT TYH3F39 2620</t>
  </si>
  <si>
    <t>Motorista voltou a reportar</t>
  </si>
  <si>
    <t>2026000173</t>
  </si>
  <si>
    <t>GFM RTJ4H99 0872</t>
  </si>
  <si>
    <t>Bruno Facss</t>
  </si>
  <si>
    <t>TBR RFU8B48 9748</t>
  </si>
  <si>
    <r>
      <rPr>
        <rFont val="Calibri"/>
        <b/>
        <color rgb="FF434343"/>
        <sz val="8.0"/>
      </rPr>
      <t>Descrição do Problema:</t>
    </r>
    <r>
      <rPr>
        <rFont val="Calibri"/>
        <color rgb="FF434343"/>
        <sz val="8.0"/>
      </rPr>
      <t xml:space="preserve">
Foi identificado que este equipamento está registrando um consumo superior a 44.000 litros apenas neste mês, valor considerado atípico.
Essa inconsistência está impactando negativamente o resultado de performance, prejudicando diretamente os motoristas Adilson e Marcos José, que estão vinculados ao equipamento.
</t>
    </r>
    <r>
      <rPr>
        <rFont val="Calibri"/>
        <b/>
        <color rgb="FF434343"/>
        <sz val="8.0"/>
      </rPr>
      <t>Solicitação:</t>
    </r>
    <r>
      <rPr>
        <rFont val="Calibri"/>
        <color rgb="FF434343"/>
        <sz val="8.0"/>
      </rPr>
      <t xml:space="preserve">
Solicitamos a verificação do equipamento e dos dados registrados no sistema, a fim de identificar a causa do consumo elevado apontado e realizar a devida correção, caso seja confirmada alguma inconsistência.</t>
    </r>
  </si>
  <si>
    <t>RVV2J17</t>
  </si>
  <si>
    <t>GFM RME6J90 4203</t>
  </si>
  <si>
    <t>As questões já foram sanadas</t>
  </si>
  <si>
    <t xml:space="preserve">QUT1A22 </t>
  </si>
  <si>
    <t>REAVALIAR APRESENTAÇÃO AAS</t>
  </si>
  <si>
    <t>2026000174</t>
  </si>
  <si>
    <t>EMF UHN9D07 4566</t>
  </si>
  <si>
    <t>REQUISITO DE SERVIÇO</t>
  </si>
  <si>
    <t>quanto ao acesso ao canal de denúncia, pois o acesso encaminhado não está funcionando</t>
  </si>
  <si>
    <t>EMF UHN9G17 4932</t>
  </si>
  <si>
    <t>FM 380 4X2T</t>
  </si>
  <si>
    <t>2026000175</t>
  </si>
  <si>
    <t>EMF UHN9D27 8238</t>
  </si>
  <si>
    <t>Sidnei</t>
  </si>
  <si>
    <t>EMF UHN9G97 0566</t>
  </si>
  <si>
    <r>
      <rPr>
        <rFont val="Calibri"/>
        <b/>
        <color rgb="FF434343"/>
        <sz val="8.0"/>
      </rPr>
      <t>Descrição do Problema:</t>
    </r>
    <r>
      <rPr>
        <rFont val="Calibri"/>
        <color rgb="FF434343"/>
        <sz val="8.0"/>
      </rPr>
      <t xml:space="preserve">
Solicitamos a verificação do motivo pelo qual o veículo Volkswagen está apresentando registros de marcha lenta e excesso de RPM no sistema.
De acordo com as informações recebidas, o veículo não permaneceu ligado e parado por um período prolongado que justificasse a ocorrência de marcha lenta.
</t>
    </r>
    <r>
      <rPr>
        <rFont val="Calibri"/>
        <b/>
        <color rgb="FF434343"/>
        <sz val="8.0"/>
      </rPr>
      <t>Solicitação:</t>
    </r>
    <r>
      <rPr>
        <rFont val="Calibri"/>
        <color rgb="FF434343"/>
        <sz val="8.0"/>
      </rPr>
      <t xml:space="preserve">
Verificar a origem dessas marcações no sistema/telemetria e validar se há alguma inconsistência na leitura dos dados do veículo.</t>
    </r>
  </si>
  <si>
    <t>TXT3J98, SJO9B47</t>
  </si>
  <si>
    <t>Não foram verificadas anomalias.</t>
  </si>
  <si>
    <t>EMF UHN9G67 5168</t>
  </si>
  <si>
    <t>2026000176</t>
  </si>
  <si>
    <t>MGN TYH2H32 3503</t>
  </si>
  <si>
    <t>espelhar o sacar no app lenarge</t>
  </si>
  <si>
    <t>TTT9J28, TUD2J28, TUW2I50</t>
  </si>
  <si>
    <t>Espelhei as placas e rodei o magic fix</t>
  </si>
  <si>
    <t>REAVALIAR APRESENTAÇÃO FASI</t>
  </si>
  <si>
    <t>LNR TUM2H79 3003</t>
  </si>
  <si>
    <t>2026000177</t>
  </si>
  <si>
    <t>LNR TUW2I50 2234</t>
  </si>
  <si>
    <t>Veiculos estão nos liberados em demanda interna</t>
  </si>
  <si>
    <t>Orientação ao cliente</t>
  </si>
  <si>
    <t>LNR TUM2H81 1489</t>
  </si>
  <si>
    <t>2026000178</t>
  </si>
  <si>
    <t>LNR TUM2H80 6992</t>
  </si>
  <si>
    <t>LNR TUW2I51 2415</t>
  </si>
  <si>
    <r>
      <rPr>
        <rFont val="Calibri"/>
        <b/>
        <color rgb="FF434343"/>
        <sz val="8.0"/>
      </rPr>
      <t>Descrição do Problema:</t>
    </r>
    <r>
      <rPr>
        <rFont val="Calibri"/>
        <color rgb="FF434343"/>
        <sz val="8.0"/>
      </rPr>
      <t xml:space="preserve">
Foi identificado que a quilometragem registrada no sistema está incompleta para o dia de ontem. O sistema marcou apenas o trajeto de ida, totalizando 154 km, não computando a quilometragem referente ao retorno.
</t>
    </r>
    <r>
      <rPr>
        <rFont val="Calibri"/>
        <b/>
        <color rgb="FF434343"/>
        <sz val="8.0"/>
      </rPr>
      <t>Solicitação:</t>
    </r>
    <r>
      <rPr>
        <rFont val="Calibri"/>
        <color rgb="FF434343"/>
        <sz val="8.0"/>
      </rPr>
      <t xml:space="preserve">
Solicitamos a verificação da inconsistência no registro de quilometragem e a validação do motivo pelo qual o trajeto de retorno não foi computado no sistema.</t>
    </r>
  </si>
  <si>
    <t>RVG1H78</t>
  </si>
  <si>
    <t>Foi sinalizado que precisariamos de mais dados para entender a questão, precisamos dos dados de ponto do motorista e saber qual KM deveria ter sido computado. Demanda está com Marlon (Pode ser que esse seja o caminhão vendido e não temos como apurar o KM)</t>
  </si>
  <si>
    <t>REAVALIAR APRESENTAÇÃO TRANSMOREIRA</t>
  </si>
  <si>
    <t>LNR TUW2I53 6676</t>
  </si>
  <si>
    <t>2026000179</t>
  </si>
  <si>
    <t>LNR TTT9J30 9842</t>
  </si>
  <si>
    <t>coloco a demanda de entregar na carreta.
 Mais quando lancamos a demanda a demanda cai no cavalo temos que alterar manualmente</t>
  </si>
  <si>
    <t>orientação de uso ao usuário</t>
  </si>
  <si>
    <t>2026000180</t>
  </si>
  <si>
    <t>LNR TTT9J29 3052</t>
  </si>
  <si>
    <t xml:space="preserve">Gaspar </t>
  </si>
  <si>
    <t>DESENVOLVER EM UM NOVO COMPARATIVO PARA PERDA DE TORQUE NO SLIDE</t>
  </si>
  <si>
    <t>LNR TTT9J31 8709</t>
  </si>
  <si>
    <t>Criar usuario para Ana Severino</t>
  </si>
  <si>
    <t>LNR TUW2I55 5755</t>
  </si>
  <si>
    <t xml:space="preserve">Usuario criado </t>
  </si>
  <si>
    <t>GFM RNA7B47 6440</t>
  </si>
  <si>
    <t>2026000181</t>
  </si>
  <si>
    <t>P&amp;W TYI3E93 3883</t>
  </si>
  <si>
    <t>Está com a localização travada somente no APP</t>
  </si>
  <si>
    <t>SVV4B76</t>
  </si>
  <si>
    <t>foi realizado um troca do rastreador mudando o id do rastreador. Atualizamos a placa para o novo id.</t>
  </si>
  <si>
    <t>P&amp;W SHU1G30 8444</t>
  </si>
  <si>
    <t>2026000182</t>
  </si>
  <si>
    <t>P&amp;W SHS4I56 0314</t>
  </si>
  <si>
    <t>Veiculo não esta reportando oa dados de telemetria</t>
  </si>
  <si>
    <t xml:space="preserve">RTK2D54 </t>
  </si>
  <si>
    <t>APLICAR FEEDBACKS DE JANEIRO</t>
  </si>
  <si>
    <t xml:space="preserve">Enviei a config, agurando para ver se os dados voltam a rerpotar </t>
  </si>
  <si>
    <t>P&amp;W TYH9G44 6920</t>
  </si>
  <si>
    <t>2026000183</t>
  </si>
  <si>
    <t>P&amp;W SHS7B74 3003</t>
  </si>
  <si>
    <t>Everton Dias</t>
  </si>
  <si>
    <t>Criar um contador/ Filtro de quantidade de veiculos vencidos e a vencer de troca de oleo e filtro motor</t>
  </si>
  <si>
    <t>LNR TUD2J31 5145</t>
  </si>
  <si>
    <t>Habilitados os dois filtros e criado mais dois para mostrar o que estão perto de vencer.</t>
  </si>
  <si>
    <t>2026000184</t>
  </si>
  <si>
    <t>P&amp;W SHT6I75 3022</t>
  </si>
  <si>
    <t>Walisson</t>
  </si>
  <si>
    <t>A performance na sexta de 13 computou 7 km  rodados e no sábado não apareceu nada. con</t>
  </si>
  <si>
    <t>P&amp;W SHS4I44 3048</t>
  </si>
  <si>
    <t>TDD5A74</t>
  </si>
  <si>
    <t>Veículo reportando, foi enviado uma config para o mesmo.</t>
  </si>
  <si>
    <t>P&amp;W SHE3J92 3265</t>
  </si>
  <si>
    <t>2026000185</t>
  </si>
  <si>
    <t>LNR TTT9J27 2872</t>
  </si>
  <si>
    <t>Não apareceu nada neste mês, apenas no 1º dia do mês. motorista ROMARIO JOSÉ DA SILVA</t>
  </si>
  <si>
    <t>TXM3I70</t>
  </si>
  <si>
    <t>Atualizado a config e voltou a reportar os dados. dados dos dias 14 a 18 não irão aparecer pelo módulo ter ficado off</t>
  </si>
  <si>
    <t>LNR TUD2J29 4594</t>
  </si>
  <si>
    <t>2026000186</t>
  </si>
  <si>
    <t>Cicero</t>
  </si>
  <si>
    <t>LNR TUN2J37 8420</t>
  </si>
  <si>
    <t>ATUALIZAR APRESENTAÇÃO COMERCIAL</t>
  </si>
  <si>
    <t xml:space="preserve"> Os dados do cliente estão corretos, mas está ocorrendo erro de login ao validar.
 No app novo, aparece que os dados não foram autenticados. 
Gabriel: Preciso de uma melhor discrição do erro (qual o caminho para estar acontecendo isso com o cliente ?)</t>
  </si>
  <si>
    <t>LNR TUD2J28 6585</t>
  </si>
  <si>
    <t>R&amp;M TUD2J27 6150</t>
  </si>
  <si>
    <t>Gabriel: Preciso de uma melhor discrição do erro (qual o caminho para estar acontecendo isso com o cliente ?</t>
  </si>
  <si>
    <t>2026000187</t>
  </si>
  <si>
    <t>GFM RMT0G48 4724</t>
  </si>
  <si>
    <t>Aparece no traccar e no tracking mas não no app</t>
  </si>
  <si>
    <t>TCF7J73</t>
  </si>
  <si>
    <t>LNR TTU6D94 8545</t>
  </si>
  <si>
    <t>LNR TUE2J53 9384</t>
  </si>
  <si>
    <t>2026000188</t>
  </si>
  <si>
    <t>LNR TTU6D93 5787</t>
  </si>
  <si>
    <t>Motorista não consegue acessar o app Lenarge</t>
  </si>
  <si>
    <t>LNR TUE2J52 9419</t>
  </si>
  <si>
    <t>Foi concedido acesso ao app</t>
  </si>
  <si>
    <t>2026000189</t>
  </si>
  <si>
    <t>BRT SIO7G75 4323</t>
  </si>
  <si>
    <t>Cintia Santos</t>
  </si>
  <si>
    <t>APRESENTAÇÃO DE PERFORMANCE PORTINARI</t>
  </si>
  <si>
    <t>Criar acesso ao app Lenarge</t>
  </si>
  <si>
    <t>APR TYK2F94 7612</t>
  </si>
  <si>
    <t>Acesso criado</t>
  </si>
  <si>
    <t>2026000190</t>
  </si>
  <si>
    <t>LNR SVA2F51 8485</t>
  </si>
  <si>
    <t xml:space="preserve">Desativar o audio das câmeras </t>
  </si>
  <si>
    <t>TUE2J53
TTU6D95</t>
  </si>
  <si>
    <t>Audios foram desativados.</t>
  </si>
  <si>
    <t>BRT SIP1D79 5578</t>
  </si>
  <si>
    <t>2026000191</t>
  </si>
  <si>
    <t>LNR SVO0F88 5948</t>
  </si>
  <si>
    <t>Reclassificar o alerta Bocejar</t>
  </si>
  <si>
    <t>GFM RNG5G31 0524</t>
  </si>
  <si>
    <t>Alerta criado</t>
  </si>
  <si>
    <t>2026000192</t>
  </si>
  <si>
    <t>BRT TDO6B00 3115</t>
  </si>
  <si>
    <t>G560 B8X4 XT CS</t>
  </si>
  <si>
    <t xml:space="preserve">Junior Gaspar </t>
  </si>
  <si>
    <t>Criar dois acessos ao app Lenarge</t>
  </si>
  <si>
    <t>LNR SVV4B76 8854</t>
  </si>
  <si>
    <t>DESENVOLVER PROPOSTA COMERCIAL</t>
  </si>
  <si>
    <t>LNR SVU1E02 6432</t>
  </si>
  <si>
    <t>Usuários foram criados</t>
  </si>
  <si>
    <t>O módulo EBS do Veículo SVU1E02 não está respondendo, foi identificado falha devido a interferência do módulo FACSS</t>
  </si>
  <si>
    <t>TBR QNN6I16 3632</t>
  </si>
  <si>
    <t>2026000193</t>
  </si>
  <si>
    <t>TBR RUQ7E34 7486</t>
  </si>
  <si>
    <t>TDO1J56</t>
  </si>
  <si>
    <t>TBR QOG3016 6635</t>
  </si>
  <si>
    <t>XF105 FTS 460A</t>
  </si>
  <si>
    <t>2026000194</t>
  </si>
  <si>
    <t>Ariadne</t>
  </si>
  <si>
    <t>TBR QUS5681 8588</t>
  </si>
  <si>
    <t>Senha do app lenarge</t>
  </si>
  <si>
    <t>Alterei as informações que estavam erradas no cadastro e orientei a troca de senha</t>
  </si>
  <si>
    <t>TBR RFZ6G68 5637</t>
  </si>
  <si>
    <t>2026000195</t>
  </si>
  <si>
    <t>TBR RGB9G50 2373</t>
  </si>
  <si>
    <t>DESENVOLVER CALCULADORA SHEETS</t>
  </si>
  <si>
    <t>o ambiente da MRX, o novo Telemetria puxou um veículo da Valence. Verificar e retirar.</t>
  </si>
  <si>
    <t>RND1B55</t>
  </si>
  <si>
    <t>TBR RFU8B66 5807</t>
  </si>
  <si>
    <t>TBR RFA0E84 0381</t>
  </si>
  <si>
    <t>TBR RVA6G12 5728</t>
  </si>
  <si>
    <t>AXOR 2536 S</t>
  </si>
  <si>
    <t>2026000196</t>
  </si>
  <si>
    <t>JAF QQM6C93 6122</t>
  </si>
  <si>
    <t>Gestão de Riscos</t>
  </si>
  <si>
    <t>FH 460 8X2T</t>
  </si>
  <si>
    <t>Desativar o alerta de saída de faixa dos veiculos</t>
  </si>
  <si>
    <t>TTT9J28</t>
  </si>
  <si>
    <t>JAF SJE0C58 9084</t>
  </si>
  <si>
    <t>Alerta desativado</t>
  </si>
  <si>
    <t>ACTROS 2548S</t>
  </si>
  <si>
    <t>2026000197</t>
  </si>
  <si>
    <t>LNR TCL9B29 9015</t>
  </si>
  <si>
    <t>APRESENTAÇÃO DA CONDUÇÃO DO DIA 23/01/25</t>
  </si>
  <si>
    <t>RIZ7J77</t>
  </si>
  <si>
    <t>MRX PZB6F55 5892</t>
  </si>
  <si>
    <t>2026000198</t>
  </si>
  <si>
    <t>MRX RND9B82 6361</t>
  </si>
  <si>
    <t>VLT RMZ2F32 9220</t>
  </si>
  <si>
    <t>Avaliar performance do motorista (Robson Peixoto de Freitas), pois não apareceu os dias 25/02 - 26/02 - 27/02 - 28/02</t>
  </si>
  <si>
    <t xml:space="preserve">RVZ2C77 </t>
  </si>
  <si>
    <t>VLT TYL6C70 1018</t>
  </si>
  <si>
    <t>Veículos estavam com o cadastro errado na base de dados dos módulos, com isso ao atualizar a config, foram enviados os comandos divergerte à configuração dos veículos. Lembrando que no dia 09 e 10 pode ser que ainda não esteja coerente devido a hora que o caminhão atualizou a config no módulo. Motoristas e placas não terão histórico passado, devido ao problema e os dados não terem chegado ao nosso banco.</t>
  </si>
  <si>
    <t>PLN RVD3G95 6438</t>
  </si>
  <si>
    <t>2026000199</t>
  </si>
  <si>
    <t>G450 A6X2</t>
  </si>
  <si>
    <t>Sâmela Santos</t>
  </si>
  <si>
    <t>PLN RVE4E39 3665</t>
  </si>
  <si>
    <t>DEMANDA INTERNA</t>
  </si>
  <si>
    <t>CLIENTE CIENTE DO ANALISTA DE DEMANDAS</t>
  </si>
  <si>
    <t>Usuario criado - samela.santos@lenarge.com.br</t>
  </si>
  <si>
    <t>PLN RVD3G67 6396</t>
  </si>
  <si>
    <t>2026000200</t>
  </si>
  <si>
    <t>PLN SYM8J05 3947</t>
  </si>
  <si>
    <t xml:space="preserve">Usuario criado - luis.rodrigues@lenarge.com.br
</t>
  </si>
  <si>
    <t>PLN SYL7G77 3541</t>
  </si>
  <si>
    <t>2026000201</t>
  </si>
  <si>
    <t>SUPER APP</t>
  </si>
  <si>
    <t>PLN RVE4E81 6446</t>
  </si>
  <si>
    <t>O motorista Joel Januário está enfrentando problemas em seu aplicativo da Lenarge. Há vários dias, vem sendo exibida uma informação incorreta no campo de demanda, a qual não corresponde à sua demanda atual. O motorista solicita orientações sobre como proceder diante dessa situação, uma vez que o problema está impactando diretamente em sua jornada de trabalho. - 319 9579 1379</t>
  </si>
  <si>
    <t>Foi aconselhado que o motorista trocasse de aparelho</t>
  </si>
  <si>
    <t>LNR TUN2J38 5332</t>
  </si>
  <si>
    <t>2026000202</t>
  </si>
  <si>
    <t>VLT RND1B55 8081</t>
  </si>
  <si>
    <r>
      <rPr>
        <rFont val="Calibri"/>
        <color rgb="FF434343"/>
        <sz val="8.0"/>
      </rPr>
      <t xml:space="preserve">Foi identificado que a performance do motorista Jeferson Henrique Miranda Oliveira, veículo placa SYF1B47, não apresenta resultados desde a última quarta-feira, dia 25/02, permanecendo sem atualização até a presente data.
</t>
    </r>
    <r>
      <rPr>
        <rFont val="Calibri"/>
        <b/>
        <color rgb="FF434343"/>
        <sz val="8.0"/>
      </rPr>
      <t xml:space="preserve">Solicitação:
</t>
    </r>
    <r>
      <rPr>
        <rFont val="Calibri"/>
        <color rgb="FF434343"/>
        <sz val="8.0"/>
      </rPr>
      <t>Solicitamos a verificação da inconsistência no sistema e a regularização da exibição dos dados de performance, bem como a validação do motivo pelo qual as informações não estão sendo processadas ou apresentadas corretamente.</t>
    </r>
  </si>
  <si>
    <t>SYF1B47</t>
  </si>
  <si>
    <t>PTNR RIZ8A56 3749</t>
  </si>
  <si>
    <t>2026000203</t>
  </si>
  <si>
    <t>LNR TUO3D32 2994</t>
  </si>
  <si>
    <t>Desativar audio das câmeras</t>
  </si>
  <si>
    <t>TTX7H80 
TTU6D95</t>
  </si>
  <si>
    <t>LNR TTV6E70 6338</t>
  </si>
  <si>
    <t>Audios desativados.</t>
  </si>
  <si>
    <t>2026000204</t>
  </si>
  <si>
    <t>LNR TTV6E72 7397</t>
  </si>
  <si>
    <t>LNR TTU6D92 1384</t>
  </si>
  <si>
    <r>
      <rPr>
        <rFont val="Calibri"/>
        <color rgb="FF434343"/>
        <sz val="8.0"/>
      </rPr>
      <t xml:space="preserve">O motorista Pedro Henrique Prado Moreira, vinculado ao veículo placa RVZ2C77, não apresentou registro de performance desde o dia 25/02. Contudo, informamos que o motorista esteve operando em outro equipamento, placa TCE0A10, durante o período mencionado.
</t>
    </r>
    <r>
      <rPr>
        <rFont val="Calibri"/>
        <b/>
        <color rgb="FF434343"/>
        <sz val="8.0"/>
      </rPr>
      <t xml:space="preserve">Solicitação:
</t>
    </r>
    <r>
      <rPr>
        <rFont val="Calibri"/>
        <color rgb="FF434343"/>
        <sz val="8.0"/>
      </rPr>
      <t>Solicitamos a verificação da inconsistência quanto ao não cômputo da performance, considerando a troca de equipamento, bem como a regularização das informações no sistema.</t>
    </r>
  </si>
  <si>
    <t>RVZ2C77 
TCE0A10</t>
  </si>
  <si>
    <t>LNR TTU6E00 7447</t>
  </si>
  <si>
    <t>2026000205</t>
  </si>
  <si>
    <t>LNR TTU6D95 2556</t>
  </si>
  <si>
    <t>Criar novas frotas/operações no app lenarge</t>
  </si>
  <si>
    <t>Foram criadas as frotas</t>
  </si>
  <si>
    <t>LNR TTU6D99 3193</t>
  </si>
  <si>
    <t>2026000206</t>
  </si>
  <si>
    <t>LNR TTU6D98 8565</t>
  </si>
  <si>
    <r>
      <rPr>
        <rFont val="Calibri"/>
        <b/>
        <color rgb="FF434343"/>
        <sz val="8.0"/>
      </rPr>
      <t xml:space="preserve">Solicitação:
</t>
    </r>
    <r>
      <rPr>
        <rFont val="Calibri"/>
        <color rgb="FF434343"/>
        <sz val="8.0"/>
      </rPr>
      <t xml:space="preserve">Solicitamos a liberação de acesso no AppLenarge / Controle de Folga, concedendo a possibilidade de utilização do flag no campo de validação de folga para os colaboradores abaixo:
</t>
    </r>
    <r>
      <rPr>
        <rFont val="Calibri"/>
        <b/>
        <color rgb="FF434343"/>
        <sz val="8.0"/>
      </rPr>
      <t xml:space="preserve">Acessos:
</t>
    </r>
    <r>
      <rPr>
        <rFont val="Calibri"/>
        <color rgb="FF434343"/>
        <sz val="8.0"/>
      </rPr>
      <t xml:space="preserve">vitor.carvalho@lenarge.com.br
pedro.moura@lenarge.com.br
ana.severino@lenarge.com.br
</t>
    </r>
    <r>
      <rPr>
        <rFont val="Calibri"/>
        <b/>
        <color rgb="FF434343"/>
        <sz val="8.0"/>
      </rPr>
      <t xml:space="preserve">Replicar acesso para:
</t>
    </r>
    <r>
      <rPr>
        <rFont val="Calibri"/>
        <color rgb="FF434343"/>
        <sz val="8.0"/>
      </rPr>
      <t>paulo.lima@lenarge.com.br</t>
    </r>
  </si>
  <si>
    <t>Permissões Liberadas</t>
  </si>
  <si>
    <t>LNR TTV6E71 8745</t>
  </si>
  <si>
    <t>2026000207</t>
  </si>
  <si>
    <t>LNR TTX7H80 8375</t>
  </si>
  <si>
    <t xml:space="preserve">Valor de perda de torque incorreto -  Motorista: William Augusto Placa: RIQ7B73
</t>
  </si>
  <si>
    <t>LNR TTV6E73 2740</t>
  </si>
  <si>
    <t>LNR TUA4D71 1442</t>
  </si>
  <si>
    <t>CLIENTE NÃO DESEJA PROSSEGUIR CONOSCO</t>
  </si>
  <si>
    <t>Foi verificado e não apresentou o dado do print.</t>
  </si>
  <si>
    <t>TBR PYU9123 5563</t>
  </si>
  <si>
    <t>2026000208</t>
  </si>
  <si>
    <t>TBR QQP7169 1166</t>
  </si>
  <si>
    <t>Motorista Cleisson Felipe Silva Araujo também nao computou performance este mês de março.</t>
  </si>
  <si>
    <t>TBR QUS5G82 2477</t>
  </si>
  <si>
    <t>RTK6G80</t>
  </si>
  <si>
    <t>TBR QOG3006 8872</t>
  </si>
  <si>
    <t>TBR RUA4E73 7551</t>
  </si>
  <si>
    <t>2026000209</t>
  </si>
  <si>
    <t>Yuri Lourenço</t>
  </si>
  <si>
    <t>TBR RFZ6G65 6911</t>
  </si>
  <si>
    <t>Foi identificado um possível bug no sistema do App Lenarge, relacionado à exibição do KM do veículo. O odômetro apresentado no aplicativo está oscilando, excluindo temporariamente o último número informado e, em seguida, retornando ao valor normal.</t>
  </si>
  <si>
    <t>LUT6A37</t>
  </si>
  <si>
    <t>TBR QXI4099 6833</t>
  </si>
  <si>
    <t>Foi normalizado</t>
  </si>
  <si>
    <t>TBR QQW2H06 0167</t>
  </si>
  <si>
    <t>2026000210</t>
  </si>
  <si>
    <t>INTERAÇÃO REALIZADA, PORÉM SEM RESPOSTA</t>
  </si>
  <si>
    <t>TBR PYP6749 6684</t>
  </si>
  <si>
    <t>Criar acesso ao app Lenarge para: lucila.ferreira@lenarge.com.br</t>
  </si>
  <si>
    <t>TBR RFB1C38 4499</t>
  </si>
  <si>
    <t>2026000211</t>
  </si>
  <si>
    <t>LNR RKJ6I87 1060</t>
  </si>
  <si>
    <t>Sávio Gonçalves Rodrigues</t>
  </si>
  <si>
    <t>LNR SRM3D70 1259</t>
  </si>
  <si>
    <t>Celular travado</t>
  </si>
  <si>
    <t>Reiniciei pelo Knox</t>
  </si>
  <si>
    <t>JAF QQK0A78 6743</t>
  </si>
  <si>
    <t>2026000212</t>
  </si>
  <si>
    <t xml:space="preserve">Alline Fátima Nunes </t>
  </si>
  <si>
    <t>Criar acesso ao app lenarge para: aline.nunes@lenarge.com.br</t>
  </si>
  <si>
    <t>JAF QQK0A81 6594</t>
  </si>
  <si>
    <t>2026000213</t>
  </si>
  <si>
    <t>JAF RNU2D60 9085</t>
  </si>
  <si>
    <t>Desabiliatr audio da câmera</t>
  </si>
  <si>
    <t>TUM2H79</t>
  </si>
  <si>
    <t>Audio Desabilitado</t>
  </si>
  <si>
    <t>INTERAÇÃO REALIZADA</t>
  </si>
  <si>
    <t>JAF QQK0A87 4772</t>
  </si>
  <si>
    <t>2026000214</t>
  </si>
  <si>
    <t>Alterar nomenclatura das frotas</t>
  </si>
  <si>
    <t>JAF RNW5F64 7972</t>
  </si>
  <si>
    <t>VW/28.460 METEOR 6X2</t>
  </si>
  <si>
    <t>Nomenclatura foi alterada</t>
  </si>
  <si>
    <t>2026000215</t>
  </si>
  <si>
    <t>JAF RNM9G61 9787</t>
  </si>
  <si>
    <t>Falta possibilidade de Flag no Sistema de folga</t>
  </si>
  <si>
    <t>JAF RTF6I98 0777</t>
  </si>
  <si>
    <t>2026000216</t>
  </si>
  <si>
    <t>JAF RNW3I06 9241</t>
  </si>
  <si>
    <t>28.460 METEOR 6X2</t>
  </si>
  <si>
    <t>O motorista Gustavo Neto Felix retornou de férias nesta semana e, há 3 dias, não apresenta nenhuma informação computada no campo de performance no sistema. Verificar a inconsistência e a análise do motivo pelo qual os dados de performance do motorista não estão sendo registrados após o retorno de férias, bem como a regularização das informações no sistema.</t>
  </si>
  <si>
    <t>SYF1B53</t>
  </si>
  <si>
    <t>EXT OUQ7J18 8844</t>
  </si>
  <si>
    <t>2026000217</t>
  </si>
  <si>
    <t>CLIENTE NÃO DESEJA PROSSEGUIR CONOSCO, MAS QUER CONHECER A TORRE</t>
  </si>
  <si>
    <t>EXT PYR9E23 5892</t>
  </si>
  <si>
    <t>ACTROS 2646LS6X4</t>
  </si>
  <si>
    <r>
      <rPr>
        <rFont val="Calibri"/>
        <b/>
        <color rgb="FF434343"/>
        <sz val="8.0"/>
      </rPr>
      <t>Descrição do Problema:</t>
    </r>
    <r>
      <rPr>
        <rFont val="Calibri"/>
        <color rgb="FF434343"/>
        <sz val="8.0"/>
      </rPr>
      <t xml:space="preserve">
Os problemas relacionados ao registro de performance dos motoristas ainda persistem. Foram identificadas as seguintes ocorrências:
</t>
    </r>
    <r>
      <rPr>
        <rFont val="Calibri"/>
        <b/>
        <color rgb="FF434343"/>
        <sz val="8.0"/>
      </rPr>
      <t>Motorista:</t>
    </r>
    <r>
      <rPr>
        <rFont val="Calibri"/>
        <color rgb="FF434343"/>
        <sz val="8.0"/>
      </rPr>
      <t xml:space="preserve"> Gustavo Felix – sem registro de performance desde 04/03 – </t>
    </r>
    <r>
      <rPr>
        <rFont val="Calibri"/>
        <b/>
        <color rgb="FF434343"/>
        <sz val="8.0"/>
      </rPr>
      <t xml:space="preserve">Placa: </t>
    </r>
    <r>
      <rPr>
        <rFont val="Calibri"/>
        <color rgb="FF434343"/>
        <sz val="8.0"/>
      </rPr>
      <t xml:space="preserve">SYF1B53.
</t>
    </r>
    <r>
      <rPr>
        <rFont val="Calibri"/>
        <b/>
        <color rgb="FF434343"/>
        <sz val="8.0"/>
      </rPr>
      <t>Motorista:</t>
    </r>
    <r>
      <rPr>
        <rFont val="Calibri"/>
        <color rgb="FF434343"/>
        <sz val="8.0"/>
      </rPr>
      <t xml:space="preserve"> Reinaldo Nepomuceno – sem registro de performance desde 04/03 – </t>
    </r>
    <r>
      <rPr>
        <rFont val="Calibri"/>
        <b/>
        <color rgb="FF434343"/>
        <sz val="8.0"/>
      </rPr>
      <t xml:space="preserve">Placa: </t>
    </r>
    <r>
      <rPr>
        <rFont val="Calibri"/>
        <color rgb="FF434343"/>
        <sz val="8.0"/>
      </rPr>
      <t xml:space="preserve">TCE0A10.
</t>
    </r>
    <r>
      <rPr>
        <rFont val="Calibri"/>
        <b/>
        <color rgb="FF434343"/>
        <sz val="8.0"/>
      </rPr>
      <t>Motorista:</t>
    </r>
    <r>
      <rPr>
        <rFont val="Calibri"/>
        <color rgb="FF434343"/>
        <sz val="8.0"/>
      </rPr>
      <t xml:space="preserve"> Cleisson Felipe – sem nenhuma informação de performance durante todo o mês de março – </t>
    </r>
    <r>
      <rPr>
        <rFont val="Calibri"/>
        <b/>
        <color rgb="FF434343"/>
        <sz val="8.0"/>
      </rPr>
      <t xml:space="preserve">Placa: </t>
    </r>
    <r>
      <rPr>
        <rFont val="Calibri"/>
        <color rgb="FF434343"/>
        <sz val="8.0"/>
      </rPr>
      <t xml:space="preserve">RTK6G80.
</t>
    </r>
    <r>
      <rPr>
        <rFont val="Calibri"/>
        <b/>
        <color rgb="FF434343"/>
        <sz val="8.0"/>
      </rPr>
      <t>Solicitação:</t>
    </r>
    <r>
      <rPr>
        <rFont val="Calibri"/>
        <color rgb="FF434343"/>
        <sz val="8.0"/>
      </rPr>
      <t xml:space="preserve">
Solicitamos a verificação da inconsistência no sistema e a regularização do processamento das informações de performance dos motoristas mencionados.</t>
    </r>
  </si>
  <si>
    <t>Veículos estavam com o cadastro errado na base de dados dos módulos, com isso ao atualizar a config, foram enviados os comandos divergerte à configuração dos veículos.</t>
  </si>
  <si>
    <t>EXT PVJ8106 5464</t>
  </si>
  <si>
    <t>2026000218</t>
  </si>
  <si>
    <t>Criar acesso para o Flavio da Vallence</t>
  </si>
  <si>
    <t>EXT PPV9A45 3640</t>
  </si>
  <si>
    <t>2026000219</t>
  </si>
  <si>
    <t>Criar acesso para o Paulo da BS</t>
  </si>
  <si>
    <t>EXT RCZ7D96 5983</t>
  </si>
  <si>
    <t>29.520 METEOR 6X4</t>
  </si>
  <si>
    <t>2026000220</t>
  </si>
  <si>
    <t>EXT OLR9734 1644</t>
  </si>
  <si>
    <t>FM 370 4X2T</t>
  </si>
  <si>
    <t>Criar acesso para o Ricardo da BS</t>
  </si>
  <si>
    <t>2026000221</t>
  </si>
  <si>
    <t>EXT HND8D73 8930</t>
  </si>
  <si>
    <t>FH 440 6X2T</t>
  </si>
  <si>
    <t>divergência de horário no sistema das câmeras</t>
  </si>
  <si>
    <t>Foi resolvido no app Facss de câmeras</t>
  </si>
  <si>
    <t>LNR RNA7B51 3467</t>
  </si>
  <si>
    <t>2026000222</t>
  </si>
  <si>
    <t>Paulo Queiroz</t>
  </si>
  <si>
    <t>Falha Freio 26/09/2025 - Reenvio de Config</t>
  </si>
  <si>
    <t>Acesso ao sistema parou - pauloqueiroz@britoservicos.com.br</t>
  </si>
  <si>
    <t xml:space="preserve">Acesso Restabelecido </t>
  </si>
  <si>
    <t>P&amp;W SHR5A28 7063</t>
  </si>
  <si>
    <t>2026000223</t>
  </si>
  <si>
    <t>P&amp;W SHT3E63 7922</t>
  </si>
  <si>
    <t>Artur</t>
  </si>
  <si>
    <r>
      <rPr>
        <rFont val="Calibri"/>
        <color rgb="FF434343"/>
        <sz val="8.0"/>
      </rPr>
      <t xml:space="preserve">Gostaria de esclarecer algumas dúvidas sobre o funcionamento das medições dos índices de condução dos veículos. Cheguei a conversar rapidamente com o Diego agora há pouco, e ele me ajudou em alguns pontos, mas gostaria de entender um pouco mais detalhadamente.
Minha principal dúvida é em relação ao índice de perda de torque. Como exatamente é feita essa medição? Por exemplo: o sistema considera uma faixa correta de rotação do motor e, sempre que o veículo opera fora dessa faixa, é contabilizado como perda de torque? Ou essa análise está relacionada ao comportamento da turbina/torque do motor?
Também gostaria de entender se essas faixas de rotação são padronizadas para todos os veículos ou se cada tipo/modelo de veículo possui uma faixa específica configurada.
Por fim, queria saber como funciona essa parte nas configurações dos módulos:
essas faixas são definidas como padrão para a frota ou existe uma configuração individual por veículo/modelo?
Telefone de contato do Artur: 3898402-3720 
</t>
    </r>
    <r>
      <rPr>
        <rFont val="Calibri"/>
        <b/>
        <color rgb="FF434343"/>
        <sz val="8.0"/>
      </rPr>
      <t>OBS:</t>
    </r>
    <r>
      <rPr>
        <rFont val="Calibri"/>
        <color rgb="FF434343"/>
        <sz val="8.0"/>
      </rPr>
      <t xml:space="preserve"> Esse texto são palavras do Artur</t>
    </r>
  </si>
  <si>
    <t>P&amp;W TYU4G99 4151</t>
  </si>
  <si>
    <t>Ele considera o esforço do motor. Se o motor passar de um determinado número de esforço com a junção dos parametros de RPM, pedal de acelerador, marcha, turbina e motor chegamos no indicativo de Perda de Torque.</t>
  </si>
  <si>
    <t>Alterar chassi para placa</t>
  </si>
  <si>
    <t>P&amp;W TYK1J60 3567</t>
  </si>
  <si>
    <t>2026000224</t>
  </si>
  <si>
    <t>paulo Queiroz</t>
  </si>
  <si>
    <t>RD TCH4A95 1447</t>
  </si>
  <si>
    <r>
      <rPr>
        <rFont val="Calibri"/>
        <b/>
        <color rgb="FF434343"/>
        <sz val="8.0"/>
      </rPr>
      <t>Descrição do Problema:</t>
    </r>
    <r>
      <rPr>
        <rFont val="Calibri"/>
        <color rgb="FF434343"/>
        <sz val="8.0"/>
      </rPr>
      <t xml:space="preserve">
No aplicativo, ao visualizar os dados, existe a coluna “Horas” disponível na tabela. Porém, ao realizar a exportação do relatório para arquivo Excel, essa coluna não aparece no arquivo gerado.
</t>
    </r>
    <r>
      <rPr>
        <rFont val="Calibri"/>
        <b/>
        <color rgb="FF434343"/>
        <sz val="8.0"/>
      </rPr>
      <t xml:space="preserve">
Impacto:</t>
    </r>
    <r>
      <rPr>
        <rFont val="Calibri"/>
        <color rgb="FF434343"/>
        <sz val="8.0"/>
      </rPr>
      <t xml:space="preserve">
A ausência dessa informação no Excel dificulta a análise completa dos dados exportados, já que a coluna está disponível apenas na visualização dentro do aplicativo.
</t>
    </r>
    <r>
      <rPr>
        <rFont val="Calibri"/>
        <b/>
        <color rgb="FF434343"/>
        <sz val="8.0"/>
      </rPr>
      <t xml:space="preserve">
Solicitação:</t>
    </r>
    <r>
      <rPr>
        <rFont val="Calibri"/>
        <color rgb="FF434343"/>
        <sz val="8.0"/>
      </rPr>
      <t xml:space="preserve">
Solicitamos a verificação dessa inconsistência na exportação do relatório para Excel, para que a coluna “Horas” também seja incluída no arquivo exportado, assim como é exibida no aplicativo.</t>
    </r>
  </si>
  <si>
    <t>ATIVO SEM VEÍCULO</t>
  </si>
  <si>
    <t>Foi disponibilizado o acesso as horas</t>
  </si>
  <si>
    <t>LNR RJF7C63 8912</t>
  </si>
  <si>
    <t>2026000225</t>
  </si>
  <si>
    <t>Breno Souza</t>
  </si>
  <si>
    <t>TKP GHZ7C43 4948</t>
  </si>
  <si>
    <r>
      <rPr>
        <rFont val="Calibri"/>
        <b/>
        <color rgb="FF434343"/>
        <sz val="8.0"/>
      </rPr>
      <t xml:space="preserve">Descrição do Problema:
</t>
    </r>
    <r>
      <rPr>
        <rFont val="Calibri"/>
        <color rgb="FF434343"/>
        <sz val="8.0"/>
      </rPr>
      <t xml:space="preserve">O App Lenarge vem apresentando lentidão significativa para qualquer tipo de lançamento ou atualização, situação que tem se agravado. Atualmente, está muito difícil realizar as atividades no sistema devido ao tempo elevado de resposta.
</t>
    </r>
    <r>
      <rPr>
        <rFont val="Calibri"/>
        <b/>
        <color rgb="FF434343"/>
        <sz val="8.0"/>
      </rPr>
      <t xml:space="preserve">Os principais impactos relatados são:
</t>
    </r>
    <r>
      <rPr>
        <rFont val="Calibri"/>
        <color rgb="FF434343"/>
        <sz val="8.0"/>
      </rPr>
      <t xml:space="preserve">Lentidão para realizar lançamentos;
Lentidão para concluir demandas;
Desempenho geral do aplicativo muito lento, prejudicando a operação.
</t>
    </r>
    <r>
      <rPr>
        <rFont val="Calibri"/>
        <b/>
        <color rgb="FF434343"/>
        <sz val="8.0"/>
      </rPr>
      <t xml:space="preserve">Solicitação:
</t>
    </r>
    <r>
      <rPr>
        <rFont val="Calibri"/>
        <color rgb="FF434343"/>
        <sz val="8.0"/>
      </rPr>
      <t>Solicitamos a verificação do desempenho do App Lenarge, a fim de identificar a causa da lentidão e realizar as devidas correções para normalização do funcionamento do aplicativo.</t>
    </r>
  </si>
  <si>
    <t>Foi realizada uma manutenção pela equipe de DevOps. Conforme informado por Neilor, o Matheus efetuou a validação e confirmou a resolução da demanda com sucesso.</t>
  </si>
  <si>
    <t>BRT SIN7G75 7263</t>
  </si>
  <si>
    <t>2026000226</t>
  </si>
  <si>
    <t>Leticia Cristina</t>
  </si>
  <si>
    <t>BRT SIO7G68 1830</t>
  </si>
  <si>
    <t>Falha elétrica / Perda de funcionalidade - Reenviar config</t>
  </si>
  <si>
    <t>RBE7I30</t>
  </si>
  <si>
    <t>Módulo será substituido</t>
  </si>
  <si>
    <t>2026000227</t>
  </si>
  <si>
    <t>LNR RBE7I37 6092</t>
  </si>
  <si>
    <t>Thalita Silva</t>
  </si>
  <si>
    <t>modulo cadastrado traccar (chip cadastrado aqia</t>
  </si>
  <si>
    <t>EXT EIJ1F62 5811</t>
  </si>
  <si>
    <r>
      <rPr>
        <rFont val="Calibri"/>
        <b/>
        <color rgb="FF434343"/>
        <sz val="8.0"/>
      </rPr>
      <t xml:space="preserve">Descrição do Problema:
</t>
    </r>
    <r>
      <rPr>
        <rFont val="Calibri"/>
        <color rgb="FF434343"/>
        <sz val="8.0"/>
      </rPr>
      <t xml:space="preserve">Foi identificado que não gerando performance para alguns motoristas.
Como exemplo, citamos os seguintes casos:
</t>
    </r>
    <r>
      <rPr>
        <rFont val="Calibri"/>
        <b/>
        <color rgb="FF434343"/>
        <sz val="8.0"/>
      </rPr>
      <t>Motorista:</t>
    </r>
    <r>
      <rPr>
        <rFont val="Calibri"/>
        <color rgb="FF434343"/>
        <sz val="8.0"/>
      </rPr>
      <t xml:space="preserve"> Álvaro Mayke França Marinho – </t>
    </r>
    <r>
      <rPr>
        <rFont val="Calibri"/>
        <b/>
        <color rgb="FF434343"/>
        <sz val="8.0"/>
      </rPr>
      <t>Placa:</t>
    </r>
    <r>
      <rPr>
        <rFont val="Calibri"/>
        <color rgb="FF434343"/>
        <sz val="8.0"/>
      </rPr>
      <t xml:space="preserve"> SGD6C30
</t>
    </r>
    <r>
      <rPr>
        <rFont val="Calibri"/>
        <b/>
        <color rgb="FF434343"/>
        <sz val="8.0"/>
      </rPr>
      <t>Motorista:</t>
    </r>
    <r>
      <rPr>
        <rFont val="Calibri"/>
        <color rgb="FF434343"/>
        <sz val="8.0"/>
      </rPr>
      <t xml:space="preserve"> José Aparecido de Freitas – </t>
    </r>
    <r>
      <rPr>
        <rFont val="Calibri"/>
        <b/>
        <color rgb="FF434343"/>
        <sz val="8.0"/>
      </rPr>
      <t>Placa:</t>
    </r>
    <r>
      <rPr>
        <rFont val="Calibri"/>
        <color rgb="FF434343"/>
        <sz val="8.0"/>
      </rPr>
      <t xml:space="preserve"> SRV7B85
</t>
    </r>
    <r>
      <rPr>
        <rFont val="Calibri"/>
        <b/>
        <color rgb="FF434343"/>
        <sz val="8.0"/>
      </rPr>
      <t>Motorista:</t>
    </r>
    <r>
      <rPr>
        <rFont val="Calibri"/>
        <color rgb="FF434343"/>
        <sz val="8.0"/>
      </rPr>
      <t xml:space="preserve"> Geziel Nascimento de Souza –</t>
    </r>
    <r>
      <rPr>
        <rFont val="Calibri"/>
        <b/>
        <color rgb="FF434343"/>
        <sz val="8.0"/>
      </rPr>
      <t xml:space="preserve"> Placa: </t>
    </r>
    <r>
      <rPr>
        <rFont val="Calibri"/>
        <color rgb="FF434343"/>
        <sz val="8.0"/>
      </rPr>
      <t xml:space="preserve">RJH5G28
De acordo com informação repassada pela Thalis, essa situação não ocorre apenas com esses motoristas, havendo vários outros casos semelhantes. Os nomes mencionados foram utilizados apenas como exemplo da inconsistência.
</t>
    </r>
    <r>
      <rPr>
        <rFont val="Calibri"/>
        <b/>
        <color rgb="FF434343"/>
        <sz val="8.0"/>
      </rPr>
      <t xml:space="preserve">Solicitação:
</t>
    </r>
    <r>
      <rPr>
        <rFont val="Calibri"/>
        <color rgb="FF434343"/>
        <sz val="8.0"/>
      </rPr>
      <t>Solicitamos a verificação da regra de cálculo da performance, pois o sistema não está aplicando os descontos conforme esperado para os motoristas, e a validação dos casos afetados para correção do problema.</t>
    </r>
  </si>
  <si>
    <t>SGD6C30
SRV7B85
RJH5G28</t>
  </si>
  <si>
    <t>Após a analise o sistema, a performance dos motoristas voltou ao normal.</t>
  </si>
  <si>
    <t>EXT QNN9G54 7690</t>
  </si>
  <si>
    <t>2026000228</t>
  </si>
  <si>
    <t>AXOR 2644 LS 6X4</t>
  </si>
  <si>
    <t>Kayky Souza</t>
  </si>
  <si>
    <t>RBE7J52</t>
  </si>
  <si>
    <t>EXT OXE0546 7874</t>
  </si>
  <si>
    <t>EXT SIT8G84 7849</t>
  </si>
  <si>
    <t>2026000229</t>
  </si>
  <si>
    <t>S-WAY 540-6X4</t>
  </si>
  <si>
    <t>EXT PYT4F25 6165</t>
  </si>
  <si>
    <r>
      <rPr>
        <rFont val="Calibri"/>
        <b/>
        <color rgb="FF434343"/>
        <sz val="8.0"/>
      </rPr>
      <t xml:space="preserve">Solicitação:
</t>
    </r>
    <r>
      <rPr>
        <rFont val="Calibri"/>
        <color rgb="FF434343"/>
        <sz val="8.0"/>
      </rPr>
      <t xml:space="preserve">Solicitamos que os alertas de velocidade de 40 km/h, referentes ao trecho Trevo de Alphaville – Nova Lima/MG, sejam incluídos na apuração dos alertas GSM.
</t>
    </r>
    <r>
      <rPr>
        <rFont val="Calibri"/>
        <b/>
        <color rgb="FF434343"/>
        <sz val="8.0"/>
      </rPr>
      <t xml:space="preserve">Objetivo:
</t>
    </r>
    <r>
      <rPr>
        <rFont val="Calibri"/>
        <color rgb="FF434343"/>
        <sz val="8.0"/>
      </rPr>
      <t>Garantir que os eventos de excesso de velocidade nesse trecho específico também sejam considerados no processo de apuração dos alertas GSM, para fins de monitoramento e controle.</t>
    </r>
  </si>
  <si>
    <t>AXOR 2644S6X4</t>
  </si>
  <si>
    <t>Realizamos a inclusão do alerta de 40 km/h no trecho do Trevo de Alphaville – Nova Lima/MG na apuração dos alertas GSM, conforme solicitado. A partir de agora, sempre que houver ocorrência nesse trecho, o evento passará a ser considerado normalmente na apuração dos alertas.</t>
  </si>
  <si>
    <t>EXT RFB7F59 9931</t>
  </si>
  <si>
    <t>2026000230</t>
  </si>
  <si>
    <t xml:space="preserve">Walisson </t>
  </si>
  <si>
    <t>TSV SYT9D27 5976</t>
  </si>
  <si>
    <r>
      <rPr>
        <rFont val="Calibri"/>
        <b/>
        <color rgb="FF434343"/>
        <sz val="8.0"/>
      </rPr>
      <t xml:space="preserve">Descrição do Problema:
</t>
    </r>
    <r>
      <rPr>
        <rFont val="Calibri"/>
        <color rgb="FF434343"/>
        <sz val="8.0"/>
      </rPr>
      <t xml:space="preserve">Foi identificado que dois motoristas recém-iniciados na operação ainda não apresentam informações de performance registradas no sistema, mesmo após alguns dias de atividade.
</t>
    </r>
    <r>
      <rPr>
        <rFont val="Calibri"/>
        <b/>
        <color rgb="FF434343"/>
        <sz val="8.0"/>
      </rPr>
      <t>Casos identificados:
Motorista:</t>
    </r>
    <r>
      <rPr>
        <rFont val="Calibri"/>
        <color rgb="FF434343"/>
        <sz val="8.0"/>
      </rPr>
      <t xml:space="preserve"> Filipe Eduardo Braga Santos – </t>
    </r>
    <r>
      <rPr>
        <rFont val="Calibri"/>
        <b/>
        <color rgb="FF434343"/>
        <sz val="8.0"/>
      </rPr>
      <t>Placa: SYK3G01</t>
    </r>
    <r>
      <rPr>
        <rFont val="Calibri"/>
        <color rgb="FF434343"/>
        <sz val="8.0"/>
      </rPr>
      <t xml:space="preserve"> – Motorista iniciou há 3 dias e nenhuma condução foi computada na performance até o momento.
</t>
    </r>
    <r>
      <rPr>
        <rFont val="Calibri"/>
        <b/>
        <color rgb="FF434343"/>
        <sz val="8.0"/>
      </rPr>
      <t>Motorista:</t>
    </r>
    <r>
      <rPr>
        <rFont val="Calibri"/>
        <color rgb="FF434343"/>
        <sz val="8.0"/>
      </rPr>
      <t xml:space="preserve"> Cristiano Antonio Teixeira de Morais – </t>
    </r>
    <r>
      <rPr>
        <rFont val="Calibri"/>
        <b/>
        <color rgb="FF434343"/>
        <sz val="8.0"/>
      </rPr>
      <t>Placa: TCW4I40</t>
    </r>
    <r>
      <rPr>
        <rFont val="Calibri"/>
        <color rgb="FF434343"/>
        <sz val="8.0"/>
      </rPr>
      <t xml:space="preserve"> – Também motorista novato e sem registro de informações de performance no sistema.
</t>
    </r>
    <r>
      <rPr>
        <rFont val="Calibri"/>
        <b/>
        <color rgb="FF434343"/>
        <sz val="8.0"/>
      </rPr>
      <t xml:space="preserve">Solicitação:
</t>
    </r>
    <r>
      <rPr>
        <rFont val="Calibri"/>
        <color rgb="FF434343"/>
        <sz val="8.0"/>
      </rPr>
      <t>Solicitamos a verificação da inconsistência no registro de dados de performance desses motoristas, bem como a validação da integração/configuração para que as conduções realizadas passem a ser corretamente computadas no sistema.</t>
    </r>
  </si>
  <si>
    <t>TCW4I40
SYK3G01</t>
  </si>
  <si>
    <t>TSV SYT9D30 6280</t>
  </si>
  <si>
    <t>2026000231</t>
  </si>
  <si>
    <t>TSV TCI3J29 6801</t>
  </si>
  <si>
    <r>
      <rPr>
        <rFont val="Calibri"/>
        <b/>
        <color rgb="FF434343"/>
        <sz val="8.0"/>
      </rPr>
      <t xml:space="preserve">Descrição do Problema:
</t>
    </r>
    <r>
      <rPr>
        <rFont val="Calibri"/>
        <color rgb="FF434343"/>
        <sz val="8.0"/>
      </rPr>
      <t xml:space="preserve">Foi identificado que, quando o motorista excede a velocidade, deveria ser gerado um desconto de R$ 5,00 por ocorrência na performance.
No entanto, o sistema não está apresentando corretamente o valor total do desconto referente às pontadas contabilizadas.
</t>
    </r>
    <r>
      <rPr>
        <rFont val="Calibri"/>
        <b/>
        <color rgb="FF434343"/>
        <sz val="8.0"/>
      </rPr>
      <t xml:space="preserve">Exemplo:
</t>
    </r>
    <r>
      <rPr>
        <rFont val="Calibri"/>
        <color rgb="FF434343"/>
        <sz val="8.0"/>
      </rPr>
      <t xml:space="preserve">11 ocorrências de velocidade em pista seca deveriam gerar o cálculo: 11 pontadas = R$ 55,00 de desconto, porém o valor não está sendo demonstrado corretamente no sistema.
</t>
    </r>
    <r>
      <rPr>
        <rFont val="Calibri"/>
        <b/>
        <color rgb="FF434343"/>
        <sz val="8.0"/>
      </rPr>
      <t xml:space="preserve">Datas das ocorrências:
</t>
    </r>
    <r>
      <rPr>
        <rFont val="Calibri"/>
        <color rgb="FF434343"/>
        <sz val="8.0"/>
      </rPr>
      <t xml:space="preserve">06/03/2026
08/03/2026
09/03/2026
</t>
    </r>
    <r>
      <rPr>
        <rFont val="Calibri"/>
        <b/>
        <color rgb="FF434343"/>
        <sz val="8.0"/>
      </rPr>
      <t xml:space="preserve">Motoristas afetados:
</t>
    </r>
    <r>
      <rPr>
        <rFont val="Calibri"/>
        <color rgb="FF434343"/>
        <sz val="8.0"/>
      </rPr>
      <t xml:space="preserve">Geziel Nascimento de Souza – Placa RJH5G28
José Aparecido de Freitas – Placa SRV7B85
Álvaro Mayke França Marinho – Placa SGD6C30
</t>
    </r>
    <r>
      <rPr>
        <rFont val="Calibri"/>
        <b/>
        <color rgb="FF434343"/>
        <sz val="8.0"/>
      </rPr>
      <t xml:space="preserve">Solicitação:
</t>
    </r>
    <r>
      <rPr>
        <rFont val="Calibri"/>
        <color rgb="FF434343"/>
        <sz val="8.0"/>
      </rPr>
      <t>Solicitamos a verificação da regra de cálculo dos descontos por excesso de velocidade, para validar se as pontadas estão sendo corretamente contabilizadas e refletidas no valor total de desconto na performance dos motoristas.</t>
    </r>
  </si>
  <si>
    <t>TSV TCI7J42 4334</t>
  </si>
  <si>
    <t>Realizamos a correção das informações e o calculo na premiação.</t>
  </si>
  <si>
    <t>17/03/202226</t>
  </si>
  <si>
    <t>2026000232</t>
  </si>
  <si>
    <t>TSV RVW5E97 5660</t>
  </si>
  <si>
    <t>Bruno - Facss</t>
  </si>
  <si>
    <r>
      <rPr>
        <rFont val="Calibri"/>
        <b/>
        <color rgb="FF434343"/>
        <sz val="8.0"/>
      </rPr>
      <t>Descrição do Problema:</t>
    </r>
    <r>
      <rPr>
        <rFont val="Calibri"/>
        <color rgb="FF434343"/>
        <sz val="8.0"/>
      </rPr>
      <t xml:space="preserve">
Os veículos da Expresso Transportes não estão apresentando dados corretamente no App FACSS. Ao consultar a frota, foi identificado que as colunas de litros e horas aparecem praticamente zeradas, mesmo havendo operação no período.
A consulta foi realizada considerando o intervalo de 26/02 até 12/03, e os dados continuam inconsistentes.
</t>
    </r>
    <r>
      <rPr>
        <rFont val="Calibri"/>
        <b/>
        <color rgb="FF434343"/>
        <sz val="8.0"/>
      </rPr>
      <t>Exemplos de veículos afetados:</t>
    </r>
    <r>
      <rPr>
        <rFont val="Calibri"/>
        <color rgb="FF434343"/>
        <sz val="8.0"/>
      </rPr>
      <t xml:space="preserve">
HND8D73
QXC5H87
OUQ7J18
OLR9734
</t>
    </r>
    <r>
      <rPr>
        <rFont val="Calibri"/>
        <b/>
        <color rgb="FF434343"/>
        <sz val="8.0"/>
      </rPr>
      <t>Solicitação:</t>
    </r>
    <r>
      <rPr>
        <rFont val="Calibri"/>
        <color rgb="FF434343"/>
        <sz val="8.0"/>
      </rPr>
      <t xml:space="preserve">
Solicitamos a verificação da inconsistência no registro ou processamento dos dados de litros e horas desses veículos no sistema, a fim de identificar a causa do problema e realizar a devida correção.</t>
    </r>
  </si>
  <si>
    <t>HND8D73
QXC5H87
OUQ7J18
OLR9734</t>
  </si>
  <si>
    <t>TSV RVA4I65 5736</t>
  </si>
  <si>
    <t>Os veículos são antigos, a principio nosso módulo não da suporte a esses veículos. Porém o Reinaldo está tentando alguma solução, esse retorno já pode ser passado para o cliente, caso consigamos alguma alternativa, comunicamos.</t>
  </si>
  <si>
    <t>2026000233</t>
  </si>
  <si>
    <t>JAF TXP3H18 6792</t>
  </si>
  <si>
    <t>Criar o acesso do usuário Bruno (Transmoreira) no Novo Telemetria.
Realizar a migração da Transmoreira para o Novo Telemetria.
Após a conclusão, validar se o acesso está funcionando corretamente.
Solicitação:
Criar acesso para Bruno, da Transmoreira, no Novo Telemetria e realizar a migração da Transmoreira para o Novo Telemetria.</t>
  </si>
  <si>
    <t>JAF TXH8G76 0522</t>
  </si>
  <si>
    <t>E-mail coletivo02@transmoreira.com.br, foi o e-mail indicado pelo comercial</t>
  </si>
  <si>
    <t>2026000234</t>
  </si>
  <si>
    <t>JAF TDU6F03 0000</t>
  </si>
  <si>
    <t>Lentidão generalizada no app Lenarge</t>
  </si>
  <si>
    <t>JAF QUD3H93 6905</t>
  </si>
  <si>
    <t>App foi normalizado</t>
  </si>
  <si>
    <t>2026000235</t>
  </si>
  <si>
    <t>JAF RTE0C32 1219</t>
  </si>
  <si>
    <r>
      <rPr>
        <rFont val="Calibri"/>
        <b/>
        <color rgb="FF434343"/>
        <sz val="8.0"/>
      </rPr>
      <t xml:space="preserve">Descrição do Problema:
</t>
    </r>
    <r>
      <rPr>
        <rFont val="Calibri"/>
        <color rgb="FF434343"/>
        <sz val="8.0"/>
      </rPr>
      <t xml:space="preserve">Diversos motoristas relataram dificuldades para acessar o App Colaborador nos celulares FACSS, apresentando problemas de conexão.
Além disso, foi identificado que o acesso ao Google dentro do aplicativo, utilizado para realizar a solicitação de reembolso, está bloqueado, impossibilitando a abertura de solicitações.
</t>
    </r>
    <r>
      <rPr>
        <rFont val="Calibri"/>
        <b/>
        <color rgb="FF434343"/>
        <sz val="8.0"/>
      </rPr>
      <t xml:space="preserve">Impacto:
</t>
    </r>
    <r>
      <rPr>
        <rFont val="Calibri"/>
        <color rgb="FF434343"/>
        <sz val="8.0"/>
      </rPr>
      <t xml:space="preserve">As falhas estão impedindo o uso adequado do aplicativo, afetando diretamente atividades operacionais, como o acesso ao sistema e a realização de solicitações de reembolso.
</t>
    </r>
    <r>
      <rPr>
        <rFont val="Calibri"/>
        <b/>
        <color rgb="FF434343"/>
        <sz val="8.0"/>
      </rPr>
      <t xml:space="preserve">Solicitação:
</t>
    </r>
    <r>
      <rPr>
        <rFont val="Calibri"/>
        <color rgb="FF434343"/>
        <sz val="8.0"/>
      </rPr>
      <t>Solicitamos a verificação dos problemas de conectividade no App Colaborador e a liberação/acesso ao Google dentro do aplicativo, para que os usuários consigam realizar suas atividades normalmente.</t>
    </r>
  </si>
  <si>
    <t>JAF TEL8C09 9036</t>
  </si>
  <si>
    <t xml:space="preserve">Realizei todas as configurações no Knox e os motoristas conseguiram acessar o aplicativo Colaborador. </t>
  </si>
  <si>
    <t>2026000236</t>
  </si>
  <si>
    <t>JAF TCX2B17 4487</t>
  </si>
  <si>
    <r>
      <rPr>
        <rFont val="Calibri"/>
        <b/>
        <color rgb="FF434343"/>
        <sz val="8.0"/>
      </rPr>
      <t xml:space="preserve">Descrição do Problema:
</t>
    </r>
    <r>
      <rPr>
        <rFont val="Calibri"/>
        <color rgb="FF434343"/>
        <sz val="8.0"/>
      </rPr>
      <t xml:space="preserve">Foi identificado um conflito de informações nos registros de velocidade entre os sistemas.
Os eventos de velocidade registrados na janela do AutoTrac não estão sendo considerados no FACSS, sendo que apenas os registros provenientes da janela do FACSS estão sendo contabilizados para fins de desconto na performance.
</t>
    </r>
    <r>
      <rPr>
        <rFont val="Calibri"/>
        <b/>
        <color rgb="FF434343"/>
        <sz val="8.0"/>
      </rPr>
      <t xml:space="preserve">Impacto:
</t>
    </r>
    <r>
      <rPr>
        <rFont val="Calibri"/>
        <color rgb="FF434343"/>
        <sz val="8.0"/>
      </rPr>
      <t xml:space="preserve">Essa divergência pode gerar inconsistências na apuração dos eventos de velocidade e, consequentemente, nos descontos aplicados na performance dos motoristas.
</t>
    </r>
    <r>
      <rPr>
        <rFont val="Calibri"/>
        <b/>
        <color rgb="FF434343"/>
        <sz val="8.0"/>
      </rPr>
      <t xml:space="preserve">Solicitação:
</t>
    </r>
    <r>
      <rPr>
        <rFont val="Calibri"/>
        <color rgb="FF434343"/>
        <sz val="8.0"/>
      </rPr>
      <t>Solicitamos a verificação da integração e regras de apuração entre AutoTrac e FACSS, para garantir que todos os registros de velocidade sejam corretamente considerados no cálculo da performance.</t>
    </r>
  </si>
  <si>
    <t>Foi alinhado com o Alessandro.</t>
  </si>
  <si>
    <t>JAF BYZ9A34 8186</t>
  </si>
  <si>
    <t>2026000237</t>
  </si>
  <si>
    <t>ACTROS 2651S 6X4</t>
  </si>
  <si>
    <t>JAF RTC9I25 3756</t>
  </si>
  <si>
    <r>
      <rPr>
        <rFont val="Calibri"/>
        <b/>
        <color rgb="FF434343"/>
        <sz val="8.0"/>
      </rPr>
      <t xml:space="preserve">Solicitação:
</t>
    </r>
    <r>
      <rPr>
        <rFont val="Calibri"/>
        <color rgb="FF434343"/>
        <sz val="8.0"/>
      </rPr>
      <t xml:space="preserve">Solicitamos a inclusão/ajuste da funcionalidade de exportação para Excel no relatório de telemetria, permitindo a extração dos dados filtrados pelo nome do motorista.
</t>
    </r>
    <r>
      <rPr>
        <rFont val="Calibri"/>
        <b/>
        <color rgb="FF434343"/>
        <sz val="8.0"/>
      </rPr>
      <t xml:space="preserve">Necessidade:
</t>
    </r>
    <r>
      <rPr>
        <rFont val="Calibri"/>
        <color rgb="FF434343"/>
        <sz val="8.0"/>
      </rPr>
      <t xml:space="preserve">Extrair relatórios contendo os seguintes eventos por motorista:
Excesso de velocidade
Força G
Frenagem brusca
</t>
    </r>
    <r>
      <rPr>
        <rFont val="Calibri"/>
        <b/>
        <color rgb="FF434343"/>
        <sz val="8.0"/>
      </rPr>
      <t xml:space="preserve">Objetivo:
</t>
    </r>
    <r>
      <rPr>
        <rFont val="Calibri"/>
        <color rgb="FF434343"/>
        <sz val="8.0"/>
      </rPr>
      <t>Possibilitar a análise detalhada do comportamento dos motoristas por meio de relatórios em Excel, facilitando o acompanhamento e controle dos indicadores de telemetria.
Observação:
Atualmente, não é possível obter essas informações de forma consolidada por motorista no arquivo exportado.</t>
    </r>
  </si>
  <si>
    <t>JAF TCC9H45 2816</t>
  </si>
  <si>
    <t>2026000238</t>
  </si>
  <si>
    <t>28.480 MTM 6X2</t>
  </si>
  <si>
    <t>Geisson Souza</t>
  </si>
  <si>
    <t>JAF TED6G08 3592</t>
  </si>
  <si>
    <r>
      <rPr>
        <rFont val="Calibri"/>
        <b/>
        <color rgb="FF434343"/>
        <sz val="8.0"/>
      </rPr>
      <t xml:space="preserve">Solicitação:
</t>
    </r>
    <r>
      <rPr>
        <rFont val="Calibri"/>
        <color rgb="FF434343"/>
        <sz val="8.0"/>
      </rPr>
      <t xml:space="preserve">Sugerimos a criação de uma nova aba/funcionalidade no aplicativo que permita a divisão das operações por grupos, sem alterar os grupos já existentes no sistema.
</t>
    </r>
    <r>
      <rPr>
        <rFont val="Calibri"/>
        <b/>
        <color rgb="FF434343"/>
        <sz val="8.0"/>
      </rPr>
      <t xml:space="preserve">Necessidade:
</t>
    </r>
    <r>
      <rPr>
        <rFont val="Calibri"/>
        <color rgb="FF434343"/>
        <sz val="8.0"/>
      </rPr>
      <t xml:space="preserve">Possibilitar o filtro e lançamento de demandas de programação por grupo, facilitando a organização operacional.
</t>
    </r>
    <r>
      <rPr>
        <rFont val="Calibri"/>
        <b/>
        <color rgb="FF434343"/>
        <sz val="8.0"/>
      </rPr>
      <t xml:space="preserve">Contexto da Operação:
</t>
    </r>
    <r>
      <rPr>
        <rFont val="Calibri"/>
        <color rgb="FF434343"/>
        <sz val="8.0"/>
      </rPr>
      <t xml:space="preserve">Atualmente, a operação possui 3 pontos fixos de início:
Garagem
Itabirito
Congonhas
A ideia é permitir a segmentação por grupos, por exemplo:
Garagem → Programação: Mina Pau Branco
Congonhas → Programação: Herculano
Itabirito → Programação: Ferro Puro
</t>
    </r>
    <r>
      <rPr>
        <rFont val="Calibri"/>
        <b/>
        <color rgb="FF434343"/>
        <sz val="8.0"/>
      </rPr>
      <t xml:space="preserve">Objetivo:
</t>
    </r>
    <r>
      <rPr>
        <rFont val="Calibri"/>
        <color rgb="FF434343"/>
        <sz val="8.0"/>
      </rPr>
      <t xml:space="preserve">Melhorar a organização e agilidade no lançamento das demandas, permitindo uma gestão mais eficiente ao trabalhar por grupos específicos dentro da operação.
</t>
    </r>
    <r>
      <rPr>
        <rFont val="Calibri"/>
        <b/>
        <color rgb="FF434343"/>
        <sz val="8.0"/>
      </rPr>
      <t xml:space="preserve">Observação:
</t>
    </r>
    <r>
      <rPr>
        <rFont val="Calibri"/>
        <color rgb="FF434343"/>
        <sz val="8.0"/>
      </rPr>
      <t>A funcionalidade deve ser implementada sem impactar ou alterar os grupos já existentes no sistema.</t>
    </r>
  </si>
  <si>
    <t>JAF RTE1F25 7349</t>
  </si>
  <si>
    <t>2026000239</t>
  </si>
  <si>
    <t>Bruno-Facss</t>
  </si>
  <si>
    <t>JAF SIG3I04 1437</t>
  </si>
  <si>
    <r>
      <rPr>
        <rFont val="Calibri"/>
        <b/>
        <color rgb="FF434343"/>
        <sz val="8.0"/>
      </rPr>
      <t>Descrição do Problema</t>
    </r>
    <r>
      <rPr>
        <rFont val="Calibri"/>
        <color rgb="FF434343"/>
        <sz val="8.0"/>
      </rPr>
      <t xml:space="preserve">:
A placa RNA7B51, pertencente à empresa GFM, até o momento não está aparecendo no sistema e também não foi incluída na nova telemetria.
</t>
    </r>
    <r>
      <rPr>
        <rFont val="Calibri"/>
        <b/>
        <color rgb="FF434343"/>
        <sz val="8.0"/>
      </rPr>
      <t xml:space="preserve">Solicitação:
</t>
    </r>
    <r>
      <rPr>
        <rFont val="Calibri"/>
        <color rgb="FF434343"/>
        <sz val="8.0"/>
      </rPr>
      <t xml:space="preserve">Solicitamos a subida/inclusão manual do veículo no sistema de telemetria, garantindo que a placa RNA7B51 passe a ser reconhecida e tenha seus dados devidamente registrados.
</t>
    </r>
    <r>
      <rPr>
        <rFont val="Calibri"/>
        <b/>
        <color rgb="FF434343"/>
        <sz val="8.0"/>
      </rPr>
      <t xml:space="preserve">Objetivo:
</t>
    </r>
    <r>
      <rPr>
        <rFont val="Calibri"/>
        <color rgb="FF434343"/>
        <sz val="8.0"/>
      </rPr>
      <t>Regularizar a integração do veículo no sistema para que seja possível o acompanhamento e monitoramento das informações de telemetria.</t>
    </r>
  </si>
  <si>
    <t>RNA7B51</t>
  </si>
  <si>
    <t>JAF TXP5B47 3229</t>
  </si>
  <si>
    <t>JAF TXN8A49 4938</t>
  </si>
  <si>
    <t>2026000240</t>
  </si>
  <si>
    <t>Lucila Ferreira</t>
  </si>
  <si>
    <t>JAF RTP1D08 4359</t>
  </si>
  <si>
    <r>
      <rPr>
        <rFont val="Calibri"/>
        <b/>
        <color rgb="FF434343"/>
        <sz val="8.0"/>
      </rPr>
      <t xml:space="preserve">Solicitação:
</t>
    </r>
    <r>
      <rPr>
        <rFont val="Calibri"/>
        <color rgb="FF434343"/>
        <sz val="8.0"/>
      </rPr>
      <t xml:space="preserve">Foi solicitado o vínculo do rastreador 2159500 (Sascar) à placa TUK0D45.
</t>
    </r>
    <r>
      <rPr>
        <rFont val="Calibri"/>
        <b/>
        <color rgb="FF434343"/>
        <sz val="8.0"/>
      </rPr>
      <t xml:space="preserve">Problema:
</t>
    </r>
    <r>
      <rPr>
        <rFont val="Calibri"/>
        <color rgb="FF434343"/>
        <sz val="8.0"/>
      </rPr>
      <t xml:space="preserve">Ao tentar realizar a vinculação, o sistema informa que o veículo já está vinculado ao rastreador 2158253 (Sascar).
Além disso, no caminho Arquivo → Sascar → Veículos, a placa TUK0D45 aparece cadastrada três vezes.
</t>
    </r>
    <r>
      <rPr>
        <rFont val="Calibri"/>
        <b/>
        <color rgb="FF434343"/>
        <sz val="8.0"/>
      </rPr>
      <t xml:space="preserve">Verificação:
</t>
    </r>
    <r>
      <rPr>
        <rFont val="Calibri"/>
        <color rgb="FF434343"/>
        <sz val="8.0"/>
      </rPr>
      <t xml:space="preserve">No portal de serviços da Sascar, consta que o veículo está vinculado ao rastreador 2159500, porém essa informação não está refletindo corretamente no sistema interno.
</t>
    </r>
    <r>
      <rPr>
        <rFont val="Calibri"/>
        <b/>
        <color rgb="FF434343"/>
        <sz val="8.0"/>
      </rPr>
      <t xml:space="preserve">Impacto:
</t>
    </r>
    <r>
      <rPr>
        <rFont val="Calibri"/>
        <color rgb="FF434343"/>
        <sz val="8.0"/>
      </rPr>
      <t xml:space="preserve">Devido à inconsistência no vínculo dos rastreadores, não está sendo gerada performance para o veículo, o que está impactando diretamente a operação do motorista.
</t>
    </r>
    <r>
      <rPr>
        <rFont val="Calibri"/>
        <b/>
        <color rgb="FF434343"/>
        <sz val="8.0"/>
      </rPr>
      <t xml:space="preserve">Objetivo:
</t>
    </r>
    <r>
      <rPr>
        <rFont val="Calibri"/>
        <color rgb="FF434343"/>
        <sz val="8.0"/>
      </rPr>
      <t xml:space="preserve">Realizar a correção da duplicidade de cadastro da placa e ajustar o vínculo correto do rastreador, garantindo a sincronização entre o sistema interno e o portal da Sascar.
</t>
    </r>
    <r>
      <rPr>
        <rFont val="Calibri"/>
        <b/>
        <color rgb="FF434343"/>
        <sz val="8.0"/>
      </rPr>
      <t xml:space="preserve">Observação:
</t>
    </r>
    <r>
      <rPr>
        <rFont val="Calibri"/>
        <color rgb="FF434343"/>
        <sz val="8.0"/>
      </rPr>
      <t>Necessário validar possíveis inconsistências de integração entre o sistema e a Sascar para evitar recorrência do problema.</t>
    </r>
  </si>
  <si>
    <t>TUK0D45</t>
  </si>
  <si>
    <t>JAF TEL4H71 6623</t>
  </si>
  <si>
    <t>Realizada correção no ID para compatibilidade com a Sascar, além de melhorias na funcionalidade do MagicFix, especificamente no processo de vinculação de placa/rastreador.</t>
  </si>
  <si>
    <t>2026000241</t>
  </si>
  <si>
    <t>JAF TEM4E97 7754</t>
  </si>
  <si>
    <r>
      <rPr>
        <rFont val="Calibri"/>
        <b/>
        <color rgb="FF434343"/>
        <sz val="8.0"/>
      </rPr>
      <t xml:space="preserve">Solicitação:
</t>
    </r>
    <r>
      <rPr>
        <rFont val="Calibri"/>
        <color rgb="FF434343"/>
        <sz val="8.0"/>
      </rPr>
      <t xml:space="preserve">Verificar a ausência de geração de dados de telemetria e performance para a placa RIW1D53, vinculada ao motorista Diego Samuel.
</t>
    </r>
    <r>
      <rPr>
        <rFont val="Calibri"/>
        <b/>
        <color rgb="FF434343"/>
        <sz val="8.0"/>
      </rPr>
      <t xml:space="preserve">Problema:
</t>
    </r>
    <r>
      <rPr>
        <rFont val="Calibri"/>
        <color rgb="FF434343"/>
        <sz val="8.0"/>
      </rPr>
      <t xml:space="preserve">O veículo não está gerando dados de telemetria e performance corretamente. Foi identificado que na última terça-feira houve registro de mais de 400 km rodados, porém no dia seguinte (ontem) não houve marcação de dados.
</t>
    </r>
    <r>
      <rPr>
        <rFont val="Calibri"/>
        <b/>
        <color rgb="FF434343"/>
        <sz val="8.0"/>
      </rPr>
      <t xml:space="preserve">Verificação:
</t>
    </r>
    <r>
      <rPr>
        <rFont val="Calibri"/>
        <color rgb="FF434343"/>
        <sz val="8.0"/>
      </rPr>
      <t xml:space="preserve">Ao realizar a análise no aplicativo Lenarge, a placa RIW1D53 aparece duplicada, indicando possível inconsistência, como se os dados estivessem sendo divididos ou complementados entre dois cadastros.
</t>
    </r>
    <r>
      <rPr>
        <rFont val="Calibri"/>
        <b/>
        <color rgb="FF434343"/>
        <sz val="8.0"/>
      </rPr>
      <t xml:space="preserve">Impacto:
</t>
    </r>
    <r>
      <rPr>
        <rFont val="Calibri"/>
        <color rgb="FF434343"/>
        <sz val="8.0"/>
      </rPr>
      <t xml:space="preserve">A falha na geração de dados compromete o acompanhamento de telemetria e performance do veículo, impactando diretamente a análise operacional e o desempenho do motorista.
</t>
    </r>
    <r>
      <rPr>
        <rFont val="Calibri"/>
        <b/>
        <color rgb="FF434343"/>
        <sz val="8.0"/>
      </rPr>
      <t xml:space="preserve">Objetivo:
</t>
    </r>
    <r>
      <rPr>
        <rFont val="Calibri"/>
        <color rgb="FF434343"/>
        <sz val="8.0"/>
      </rPr>
      <t xml:space="preserve">Identificar e corrigir a duplicidade da placa no sistema, garantindo a unificação dos dados e o correto registro de telemetria e performance.
</t>
    </r>
    <r>
      <rPr>
        <rFont val="Calibri"/>
        <b/>
        <color rgb="FF434343"/>
        <sz val="8.0"/>
      </rPr>
      <t xml:space="preserve">Observação:
</t>
    </r>
    <r>
      <rPr>
        <rFont val="Calibri"/>
        <color rgb="FF434343"/>
        <sz val="8.0"/>
      </rPr>
      <t>Necessário validar possíveis inconsistências de cadastro e/ou integração para evitar recorrência do problema.</t>
    </r>
  </si>
  <si>
    <t>RIW1D53</t>
  </si>
  <si>
    <t>LNR RJE6H07 2386</t>
  </si>
  <si>
    <t>Veículo não estava comunicando, foi enviado uma nova config para o veículo e ambos voltaram a reportar</t>
  </si>
  <si>
    <t>2026000242</t>
  </si>
  <si>
    <t>JAF QQK0A76 4276</t>
  </si>
  <si>
    <t>JAF TEE7A75 2808</t>
  </si>
  <si>
    <r>
      <rPr>
        <rFont val="Calibri"/>
        <b/>
        <color rgb="FF434343"/>
        <sz val="8.0"/>
      </rPr>
      <t>Solicitação:</t>
    </r>
    <r>
      <rPr>
        <rFont val="Calibri"/>
        <color rgb="FF434343"/>
        <sz val="8.0"/>
      </rPr>
      <t xml:space="preserve">
Verificar inconsistência nos dados de telemetria da placa TTA3G82, vinculada ao motorista Filipe Mateus Rodrigues.
</t>
    </r>
    <r>
      <rPr>
        <rFont val="Calibri"/>
        <b/>
        <color rgb="FF434343"/>
        <sz val="8.0"/>
      </rPr>
      <t>Problema:</t>
    </r>
    <r>
      <rPr>
        <rFont val="Calibri"/>
        <color rgb="FF434343"/>
        <sz val="8.0"/>
      </rPr>
      <t xml:space="preserve">
Na data de 19/03/2026, o veículo registrou 48% de torque, valor considerado fora do padrão habitual.
</t>
    </r>
    <r>
      <rPr>
        <rFont val="Calibri"/>
        <b/>
        <color rgb="FF434343"/>
        <sz val="8.0"/>
      </rPr>
      <t>Contexto:</t>
    </r>
    <r>
      <rPr>
        <rFont val="Calibri"/>
        <color rgb="FF434343"/>
        <sz val="8.0"/>
      </rPr>
      <t xml:space="preserve">
De acordo com o histórico, essa métrica normalmente apresenta valores abaixo de 2%, indicando uma divergência significativa no comportamento registrado.
</t>
    </r>
    <r>
      <rPr>
        <rFont val="Calibri"/>
        <b/>
        <color rgb="FF434343"/>
        <sz val="8.0"/>
      </rPr>
      <t>Impacto:</t>
    </r>
    <r>
      <rPr>
        <rFont val="Calibri"/>
        <color rgb="FF434343"/>
        <sz val="8.0"/>
      </rPr>
      <t xml:space="preserve">
A inconsistência nos dados de torque pode comprometer a análise de performance do motorista e a confiabilidade das informações de telemetria.
</t>
    </r>
    <r>
      <rPr>
        <rFont val="Calibri"/>
        <b/>
        <color rgb="FF434343"/>
        <sz val="8.0"/>
      </rPr>
      <t>Objetivo:</t>
    </r>
    <r>
      <rPr>
        <rFont val="Calibri"/>
        <color rgb="FF434343"/>
        <sz val="8.0"/>
      </rPr>
      <t xml:space="preserve">
Analisar a origem da divergência no indicador de torque, validando possíveis falhas de leitura, integração ou processamento dos dados, e garantir a normalização das informações.
</t>
    </r>
    <r>
      <rPr>
        <rFont val="Calibri"/>
        <b/>
        <color rgb="FF434343"/>
        <sz val="8.0"/>
      </rPr>
      <t>Observação:</t>
    </r>
    <r>
      <rPr>
        <rFont val="Calibri"/>
        <color rgb="FF434343"/>
        <sz val="8.0"/>
      </rPr>
      <t xml:space="preserve">
Verificar integridade dos dados no período informado e possíveis anomalias pontuais ou recorrentes.</t>
    </r>
  </si>
  <si>
    <t>JAF QQN6F80 1767</t>
  </si>
  <si>
    <t xml:space="preserve">Gabriel comunicou para o Bruno que a demanda teve que ser adiada quanto ao prazo, do dia 25/03 para 02/04. O D2 está atuando em outra prioridade, não conseguiu pegar essa demanda ainda. 
Como o mês passou a solução para isso seria realcular os dados de todos os mtoristas do mês passado, como isso não pode ser feito o dado fica errado, a não ser que o cliente altorize essa ação.
Mas isso pode gerar muitos ruidos pois o numero de todos os motoristas estariam sujeitos a alteração. </t>
  </si>
  <si>
    <t>JAF TEJ0B11 9278</t>
  </si>
  <si>
    <t>28.480 MTM 6X2 HD</t>
  </si>
  <si>
    <t>2026000243</t>
  </si>
  <si>
    <t>JAF QQK0A73 4025</t>
  </si>
  <si>
    <t xml:space="preserve">Marcus Vinicus </t>
  </si>
  <si>
    <t>JAF TXD5H05 0026</t>
  </si>
  <si>
    <r>
      <rPr>
        <rFont val="Calibri"/>
        <b/>
        <color rgb="FF434343"/>
        <sz val="8.0"/>
      </rPr>
      <t xml:space="preserve">Solicitação:
</t>
    </r>
    <r>
      <rPr>
        <rFont val="Calibri"/>
        <color rgb="FF434343"/>
        <sz val="8.0"/>
      </rPr>
      <t xml:space="preserve">Verificar inconsistência no registro de dias trabalhados no App Colaborador para o motorista Marcus Vinicius da Silva, vinculado ao veículo de placa RIW1D43.
</t>
    </r>
    <r>
      <rPr>
        <rFont val="Calibri"/>
        <b/>
        <color rgb="FF434343"/>
        <sz val="8.0"/>
      </rPr>
      <t xml:space="preserve">Problema:
</t>
    </r>
    <r>
      <rPr>
        <rFont val="Calibri"/>
        <color rgb="FF434343"/>
        <sz val="8.0"/>
      </rPr>
      <t xml:space="preserve">O App Colaborador não está registrando corretamente os dias trabalhados do motorista. Conforme relato, no tablet do veículo as informações estão sendo apresentadas normalmente, porém no aplicativo não há atualização.
</t>
    </r>
    <r>
      <rPr>
        <rFont val="Calibri"/>
        <b/>
        <color rgb="FF434343"/>
        <sz val="8.0"/>
      </rPr>
      <t xml:space="preserve">Verificação:
</t>
    </r>
    <r>
      <rPr>
        <rFont val="Calibri"/>
        <color rgb="FF434343"/>
        <sz val="8.0"/>
      </rPr>
      <t xml:space="preserve">Foi identificado que a placa RIW1D43 apresenta dados de performance apenas até o dia 10/02/2026.
O motorista Marcus Vinicius da Silva possui registros de performance até o dia 17/03/2026.
</t>
    </r>
    <r>
      <rPr>
        <rFont val="Calibri"/>
        <b/>
        <color rgb="FF434343"/>
        <sz val="8.0"/>
      </rPr>
      <t xml:space="preserve">Ação Realizada:
</t>
    </r>
    <r>
      <rPr>
        <rFont val="Calibri"/>
        <color rgb="FF434343"/>
        <sz val="8.0"/>
      </rPr>
      <t xml:space="preserve">Foi enviada a config remota para o módulo do veículo, com o objetivo de normalizar o envio de dados.
</t>
    </r>
    <r>
      <rPr>
        <rFont val="Calibri"/>
        <b/>
        <color rgb="FF434343"/>
        <sz val="8.0"/>
      </rPr>
      <t xml:space="preserve">Impacto:
</t>
    </r>
    <r>
      <rPr>
        <rFont val="Calibri"/>
        <color rgb="FF434343"/>
        <sz val="8.0"/>
      </rPr>
      <t xml:space="preserve">A divergência de informações entre o tablet e o App Colaborador compromete o acompanhamento dos dias trabalhados e da performance do motorista, impactando a gestão operacional.
</t>
    </r>
    <r>
      <rPr>
        <rFont val="Calibri"/>
        <b/>
        <color rgb="FF434343"/>
        <sz val="8.0"/>
      </rPr>
      <t xml:space="preserve">Objetivo:
</t>
    </r>
    <r>
      <rPr>
        <rFont val="Calibri"/>
        <color rgb="FF434343"/>
        <sz val="8.0"/>
      </rPr>
      <t xml:space="preserve">Analisar possível falha de sincronização entre módulo, tablet e aplicativo, validar vínculos e garantir a regularização do envio e exibição dos dados de telemetria e dias trabalhados.
</t>
    </r>
    <r>
      <rPr>
        <rFont val="Calibri"/>
        <b/>
        <color rgb="FF434343"/>
        <sz val="8.0"/>
      </rPr>
      <t xml:space="preserve">Observação:
</t>
    </r>
    <r>
      <rPr>
        <rFont val="Calibri"/>
        <color rgb="FF434343"/>
        <sz val="8.0"/>
      </rPr>
      <t>Necessário acompanhar após envio da configuração remota e validar se haverá normalização dos dados ou se será necessária nova intervenção.</t>
    </r>
  </si>
  <si>
    <t>JAF TXM5F84 5689</t>
  </si>
  <si>
    <t>2026000244</t>
  </si>
  <si>
    <t>JAF TCE3I49 8595</t>
  </si>
  <si>
    <r>
      <rPr>
        <rFont val="Calibri"/>
        <b/>
        <color rgb="FF434343"/>
        <sz val="8.0"/>
      </rPr>
      <t xml:space="preserve">Solicitação:
</t>
    </r>
    <r>
      <rPr>
        <rFont val="Calibri"/>
        <color rgb="FF434343"/>
        <sz val="8.0"/>
      </rPr>
      <t xml:space="preserve">Verificar ausência de dados de condução inteligente para o motorista Severino Batista Souza, vinculado ao veículo de placa SIN3G19.
</t>
    </r>
    <r>
      <rPr>
        <rFont val="Calibri"/>
        <b/>
        <color rgb="FF434343"/>
        <sz val="8.0"/>
      </rPr>
      <t xml:space="preserve">Problema:
</t>
    </r>
    <r>
      <rPr>
        <rFont val="Calibri"/>
        <color rgb="FF434343"/>
        <sz val="8.0"/>
      </rPr>
      <t xml:space="preserve">O motorista não está recebendo dados de condução inteligente. Toda a produção realizada neste mês no veículo não está sendo atribuída ao motorista.
</t>
    </r>
    <r>
      <rPr>
        <rFont val="Calibri"/>
        <b/>
        <color rgb="FF434343"/>
        <sz val="8.0"/>
      </rPr>
      <t xml:space="preserve">Verificação:
</t>
    </r>
    <r>
      <rPr>
        <rFont val="Calibri"/>
        <color rgb="FF434343"/>
        <sz val="8.0"/>
      </rPr>
      <t xml:space="preserve">Foi validado que os dados de jornada estão sendo registrados normalmente.
Também foi realizado o de-para de jornada veículo x motorista, e os vínculos estão corretos.
</t>
    </r>
    <r>
      <rPr>
        <rFont val="Calibri"/>
        <b/>
        <color rgb="FF434343"/>
        <sz val="8.0"/>
      </rPr>
      <t xml:space="preserve">Impacto:
</t>
    </r>
    <r>
      <rPr>
        <rFont val="Calibri"/>
        <color rgb="FF434343"/>
        <sz val="8.0"/>
      </rPr>
      <t xml:space="preserve">A não atribuição da performance ao motorista compromete a análise de condução inteligente, impactando diretamente a avaliação de desempenho e indicadores operacionais.
</t>
    </r>
    <r>
      <rPr>
        <rFont val="Calibri"/>
        <b/>
        <color rgb="FF434343"/>
        <sz val="8.0"/>
      </rPr>
      <t xml:space="preserve">Objetivo:
</t>
    </r>
    <r>
      <rPr>
        <rFont val="Calibri"/>
        <color rgb="FF434343"/>
        <sz val="8.0"/>
      </rPr>
      <t xml:space="preserve">Identificar a causa da não vinculação da performance ao motorista, mesmo com jornada correta, e garantir a correta associação dos dados de condução inteligente.
</t>
    </r>
    <r>
      <rPr>
        <rFont val="Calibri"/>
        <b/>
        <color rgb="FF434343"/>
        <sz val="8.0"/>
      </rPr>
      <t xml:space="preserve">Observação:
</t>
    </r>
    <r>
      <rPr>
        <rFont val="Calibri"/>
        <color rgb="FF434343"/>
        <sz val="8.0"/>
      </rPr>
      <t>Necessário validar possíveis falhas na regra de associação de performance ou inconsistências na integração dos dados.</t>
    </r>
  </si>
  <si>
    <t xml:space="preserve">SIN3G19 </t>
  </si>
  <si>
    <t>JAF SIG8A49 4227</t>
  </si>
  <si>
    <t>Atualizado a performance do motorista</t>
  </si>
  <si>
    <t>2026000245</t>
  </si>
  <si>
    <t>JAF TXN6F80 0987</t>
  </si>
  <si>
    <r>
      <rPr>
        <rFont val="Calibri"/>
        <b/>
        <color rgb="FF434343"/>
        <sz val="8.0"/>
      </rPr>
      <t xml:space="preserve">Solicitação:
</t>
    </r>
    <r>
      <rPr>
        <rFont val="Calibri"/>
        <color rgb="FF434343"/>
        <sz val="8.0"/>
      </rPr>
      <t xml:space="preserve">Verificar inconsistências nos dados de condução e performance envolvendo os veículos RKQ4G23 e RIU4C85, e o motorista Ademilson Lopes.
</t>
    </r>
    <r>
      <rPr>
        <rFont val="Calibri"/>
        <b/>
        <color rgb="FF434343"/>
        <sz val="8.0"/>
      </rPr>
      <t xml:space="preserve">Problema:
</t>
    </r>
    <r>
      <rPr>
        <rFont val="Calibri"/>
        <color rgb="FF434343"/>
        <sz val="8.0"/>
      </rPr>
      <t xml:space="preserve">O veículo RKQ4G23 não apresenta dados de condução desde o dia 21/01/2026.
Já o motorista Ademilson Lopes possui registros de performance, sendo o último no dia 18/03/2026, porém em outro veículo (RIU4C85).
</t>
    </r>
    <r>
      <rPr>
        <rFont val="Calibri"/>
        <b/>
        <color rgb="FF434343"/>
        <sz val="8.0"/>
      </rPr>
      <t xml:space="preserve">Verificação:
</t>
    </r>
    <r>
      <rPr>
        <rFont val="Calibri"/>
        <color rgb="FF434343"/>
        <sz val="8.0"/>
      </rPr>
      <t xml:space="preserve">O veículo RIU4C85 apresenta dados de performance até o dia 21/03/2026, porém não consta a identificação do motorista que operava o veículo na data.
</t>
    </r>
    <r>
      <rPr>
        <rFont val="Calibri"/>
        <b/>
        <color rgb="FF434343"/>
        <sz val="8.0"/>
      </rPr>
      <t xml:space="preserve">Ação Realizada:
</t>
    </r>
    <r>
      <rPr>
        <rFont val="Calibri"/>
        <color rgb="FF434343"/>
        <sz val="8.0"/>
      </rPr>
      <t xml:space="preserve">Foi enviada configuração remota para o módulo, visando normalizar o envio e vínculo das informações.
</t>
    </r>
    <r>
      <rPr>
        <rFont val="Calibri"/>
        <b/>
        <color rgb="FF434343"/>
        <sz val="8.0"/>
      </rPr>
      <t xml:space="preserve">Impacto:
</t>
    </r>
    <r>
      <rPr>
        <rFont val="Calibri"/>
        <color rgb="FF434343"/>
        <sz val="8.0"/>
      </rPr>
      <t xml:space="preserve">A inconsistência entre dados de condução, identificação de motorista e vínculo com veículos compromete a rastreabilidade das informações e a análise de performance.
</t>
    </r>
    <r>
      <rPr>
        <rFont val="Calibri"/>
        <b/>
        <color rgb="FF434343"/>
        <sz val="8.0"/>
      </rPr>
      <t xml:space="preserve">Objetivo:
</t>
    </r>
    <r>
      <rPr>
        <rFont val="Calibri"/>
        <color rgb="FF434343"/>
        <sz val="8.0"/>
      </rPr>
      <t xml:space="preserve">Identificar e corrigir falhas de associação entre veículo e motorista, garantindo o correto registro de condução e atribuição de performance.
</t>
    </r>
    <r>
      <rPr>
        <rFont val="Calibri"/>
        <b/>
        <color rgb="FF434343"/>
        <sz val="8.0"/>
      </rPr>
      <t xml:space="preserve">Observação:
</t>
    </r>
    <r>
      <rPr>
        <rFont val="Calibri"/>
        <color rgb="FF434343"/>
        <sz val="8.0"/>
      </rPr>
      <t>Necessário validar integração entre módulo, sistema e regras de vínculo, além de acompanhar após envio da configuração remota.</t>
    </r>
  </si>
  <si>
    <t xml:space="preserve">RKQ4G23 </t>
  </si>
  <si>
    <t>JAF SIF7G56 7518</t>
  </si>
  <si>
    <t>Gabriel comunicou para o Bruno que a demanda teve que ser adiada quanto ao prazo, do dia 25/03 para 02/04. O D2 está atuando em outra prioridade, não conseguiu pegar essa demanda ainda.</t>
  </si>
  <si>
    <t>JAF TEJ0B16 1727</t>
  </si>
  <si>
    <t>2026000246</t>
  </si>
  <si>
    <t>LNR RFE0H26 2942</t>
  </si>
  <si>
    <r>
      <rPr>
        <rFont val="Calibri"/>
        <b/>
        <color rgb="FF434343"/>
        <sz val="8.0"/>
      </rPr>
      <t xml:space="preserve">Solicitação:
</t>
    </r>
    <r>
      <rPr>
        <rFont val="Calibri"/>
        <color rgb="FF434343"/>
        <sz val="8.0"/>
      </rPr>
      <t xml:space="preserve">Verificar inconsistência no carregamento de demandas no aplicativo para o motorista Bruno Aparecido de Souza, vinculado ao veículo de placa SSB9J71.
</t>
    </r>
    <r>
      <rPr>
        <rFont val="Calibri"/>
        <b/>
        <color rgb="FF434343"/>
        <sz val="8.0"/>
      </rPr>
      <t xml:space="preserve">Problema:
</t>
    </r>
    <r>
      <rPr>
        <rFont val="Calibri"/>
        <color rgb="FF434343"/>
        <sz val="8.0"/>
      </rPr>
      <t xml:space="preserve">As demandas não estão sendo exibidas corretamente no aplicativo. Em alguns momentos não aparecem e, quando aparecem, não coincidem com as informações esperadas.
</t>
    </r>
    <r>
      <rPr>
        <rFont val="Calibri"/>
        <b/>
        <color rgb="FF434343"/>
        <sz val="8.0"/>
      </rPr>
      <t xml:space="preserve">Verificação:
</t>
    </r>
    <r>
      <rPr>
        <rFont val="Calibri"/>
        <color rgb="FF434343"/>
        <sz val="8.0"/>
      </rPr>
      <t xml:space="preserve">Foi identificado que no App Colaborador está sendo exibida apenas 1 demanda, enquanto no App Lenarge constam 3 demandas para o mesmo motorista/veículo, evidenciando divergência entre as plataformas.
</t>
    </r>
    <r>
      <rPr>
        <rFont val="Calibri"/>
        <b/>
        <color rgb="FF434343"/>
        <sz val="8.0"/>
      </rPr>
      <t xml:space="preserve">Impacto:
</t>
    </r>
    <r>
      <rPr>
        <rFont val="Calibri"/>
        <color rgb="FF434343"/>
        <sz val="8.0"/>
      </rPr>
      <t xml:space="preserve">A inconsistência compromete a execução das atividades pelo motorista, podendo gerar falhas operacionais, retrabalho e atrasos nas programações.
</t>
    </r>
    <r>
      <rPr>
        <rFont val="Calibri"/>
        <b/>
        <color rgb="FF434343"/>
        <sz val="8.0"/>
      </rPr>
      <t xml:space="preserve">Objetivo:
</t>
    </r>
    <r>
      <rPr>
        <rFont val="Calibri"/>
        <color rgb="FF434343"/>
        <sz val="8.0"/>
      </rPr>
      <t xml:space="preserve">Analisar a divergência entre os aplicativos, validar sincronização e garantir que todas as demandas sejam corretamente exibidas e alinhadas entre os sistemas.
</t>
    </r>
    <r>
      <rPr>
        <rFont val="Calibri"/>
        <b/>
        <color rgb="FF434343"/>
        <sz val="8.0"/>
      </rPr>
      <t xml:space="preserve">Observação:
</t>
    </r>
    <r>
      <rPr>
        <rFont val="Calibri"/>
        <color rgb="FF434343"/>
        <sz val="8.0"/>
      </rPr>
      <t>Necessário verificar integração entre as plataformas, bem como vínculo de programação, motorista e veículo.</t>
    </r>
  </si>
  <si>
    <t>SSB9J71</t>
  </si>
  <si>
    <t>LNR TTP7F79 2971</t>
  </si>
  <si>
    <t>VM 290 4X2 R</t>
  </si>
  <si>
    <t>Ao abrir o aplicativo do motorista, o mesmo está com a demanda compatível com a de programação. Lembrando que demandas de operar, não aparecem nesse primeiro momento.</t>
  </si>
  <si>
    <t>2026000247</t>
  </si>
  <si>
    <t>JAF QQI0E28 0126</t>
  </si>
  <si>
    <r>
      <rPr>
        <rFont val="Calibri"/>
        <b/>
        <color rgb="FF434343"/>
        <sz val="8.0"/>
      </rPr>
      <t xml:space="preserve">Solicitação:
</t>
    </r>
    <r>
      <rPr>
        <rFont val="Calibri"/>
        <color rgb="FF434343"/>
        <sz val="8.0"/>
      </rPr>
      <t xml:space="preserve">Verificar ausência de marcação de jornada no app FACSS para os motoristas da operação Aperam.
</t>
    </r>
    <r>
      <rPr>
        <rFont val="Calibri"/>
        <b/>
        <color rgb="FF434343"/>
        <sz val="8.0"/>
      </rPr>
      <t xml:space="preserve">Problema:
</t>
    </r>
    <r>
      <rPr>
        <rFont val="Calibri"/>
        <color rgb="FF434343"/>
        <sz val="8.0"/>
      </rPr>
      <t xml:space="preserve">O aplicativo não está registrando a jornada dos motoristas. A última marcação geral identificada ocorreu no dia 15/03/2026, não havendo novos registros após essa data.
</t>
    </r>
    <r>
      <rPr>
        <rFont val="Calibri"/>
        <b/>
        <color rgb="FF434343"/>
        <sz val="8.0"/>
      </rPr>
      <t xml:space="preserve">Verificação:
</t>
    </r>
    <r>
      <rPr>
        <rFont val="Calibri"/>
        <color rgb="FF434343"/>
        <sz val="8.0"/>
      </rPr>
      <t xml:space="preserve">Comportamento ocorre de forma generalizada para os motoristas da operação, indicando possível falha sistêmica ou de integração.
</t>
    </r>
    <r>
      <rPr>
        <rFont val="Calibri"/>
        <b/>
        <color rgb="FF434343"/>
        <sz val="8.0"/>
      </rPr>
      <t xml:space="preserve">Impacto:
</t>
    </r>
    <r>
      <rPr>
        <rFont val="Calibri"/>
        <color rgb="FF434343"/>
        <sz val="8.0"/>
      </rPr>
      <t xml:space="preserve">A ausência de registros de jornada compromete o acompanhamento operacional, controle de atividades e indicadores de desempenho dos motoristas.
</t>
    </r>
    <r>
      <rPr>
        <rFont val="Calibri"/>
        <b/>
        <color rgb="FF434343"/>
        <sz val="8.0"/>
      </rPr>
      <t xml:space="preserve">Objetivo:
</t>
    </r>
    <r>
      <rPr>
        <rFont val="Calibri"/>
        <color rgb="FF434343"/>
        <sz val="8.0"/>
      </rPr>
      <t xml:space="preserve">Identificar a causa da interrupção na marcação de jornadas e restabelecer o funcionamento normal do aplicativo.
</t>
    </r>
    <r>
      <rPr>
        <rFont val="Calibri"/>
        <b/>
        <color rgb="FF434343"/>
        <sz val="8.0"/>
      </rPr>
      <t xml:space="preserve">Observação:
</t>
    </r>
    <r>
      <rPr>
        <rFont val="Calibri"/>
        <color rgb="FF434343"/>
        <sz val="8.0"/>
      </rPr>
      <t>Necessário validar integração do app FACSS com os serviços responsáveis pela coleta e processamento de jornada, bem como possíveis falhas recentes ou alterações no sistema.</t>
    </r>
  </si>
  <si>
    <t>JAF TED6G14 0316</t>
  </si>
  <si>
    <t>Houve uma falha na API da trackit que estava gerando erro e isso travou nosso job para a leitura dos dados.</t>
  </si>
  <si>
    <t>JAF RJW8E87 9860</t>
  </si>
  <si>
    <t>2026000248</t>
  </si>
  <si>
    <t>André</t>
  </si>
  <si>
    <t>JAF TCX3J94 0856</t>
  </si>
  <si>
    <r>
      <rPr>
        <rFont val="Calibri"/>
        <b/>
        <color rgb="FF434343"/>
        <sz val="8.0"/>
      </rPr>
      <t xml:space="preserve">Solicitação:
</t>
    </r>
    <r>
      <rPr>
        <rFont val="Calibri"/>
        <color rgb="FF434343"/>
        <sz val="8.0"/>
      </rPr>
      <t xml:space="preserve">Verificar inconsistência na contagem de jornada do motorista Clarisse Guimarães de Matos, vinculada ao veículo de placa RFD7E91.
</t>
    </r>
    <r>
      <rPr>
        <rFont val="Calibri"/>
        <b/>
        <color rgb="FF434343"/>
        <sz val="8.0"/>
      </rPr>
      <t xml:space="preserve">Problema:
</t>
    </r>
    <r>
      <rPr>
        <rFont val="Calibri"/>
        <color rgb="FF434343"/>
        <sz val="8.0"/>
      </rPr>
      <t xml:space="preserve">A jornada do motorista está apresentando dados incorretos. Ao encerrar a jornada, o aplicativo não está finalizando corretamente a contagem, nem reiniciando o registro ao iniciar uma nova jornada.
</t>
    </r>
    <r>
      <rPr>
        <rFont val="Calibri"/>
        <b/>
        <color rgb="FF434343"/>
        <sz val="8.0"/>
      </rPr>
      <t xml:space="preserve">Verificação:
</t>
    </r>
    <r>
      <rPr>
        <rFont val="Calibri"/>
        <color rgb="FF434343"/>
        <sz val="8.0"/>
      </rPr>
      <t xml:space="preserve">Comportamento indica falha no ciclo de encerramento e reinício de jornada no aplicativo, podendo estar acumulando ou mantendo dados indevidos.
</t>
    </r>
    <r>
      <rPr>
        <rFont val="Calibri"/>
        <b/>
        <color rgb="FF434343"/>
        <sz val="8.0"/>
      </rPr>
      <t xml:space="preserve">Impacto:
</t>
    </r>
    <r>
      <rPr>
        <rFont val="Calibri"/>
        <color rgb="FF434343"/>
        <sz val="8.0"/>
      </rPr>
      <t xml:space="preserve">A inconsistência compromete o controle correto de jornada, impactando indicadores operacionais e a confiabilidade das informações do motorista.
</t>
    </r>
    <r>
      <rPr>
        <rFont val="Calibri"/>
        <b/>
        <color rgb="FF434343"/>
        <sz val="8.0"/>
      </rPr>
      <t xml:space="preserve">Objetivo:
</t>
    </r>
    <r>
      <rPr>
        <rFont val="Calibri"/>
        <color rgb="FF434343"/>
        <sz val="8.0"/>
      </rPr>
      <t xml:space="preserve">Identificar e corrigir a falha no processo de encerramento e reinício da jornada, garantindo que os dados sejam registrados corretamente a cada novo ciclo.
</t>
    </r>
    <r>
      <rPr>
        <rFont val="Calibri"/>
        <b/>
        <color rgb="FF434343"/>
        <sz val="8.0"/>
      </rPr>
      <t xml:space="preserve">Observação:
</t>
    </r>
    <r>
      <rPr>
        <rFont val="Calibri"/>
        <color rgb="FF434343"/>
        <sz val="8.0"/>
      </rPr>
      <t>Necessário validar regras de jornada no sistema e possíveis falhas de sincronização ou processamento no aplicativo.</t>
    </r>
  </si>
  <si>
    <t>RFD7E91</t>
  </si>
  <si>
    <t>Verificando a jornada da Clarisse se encontra trava no sistema. Gentileza solicitar ao usuário do controle de jornada que faça o desembarque e embarque do motorista no veículo para force a atualização em nosso sistema.</t>
  </si>
  <si>
    <t>JAF RTE3C61 4187</t>
  </si>
  <si>
    <t>2026000249</t>
  </si>
  <si>
    <t>PTNR SHC6D54 9409</t>
  </si>
  <si>
    <r>
      <rPr>
        <rFont val="Calibri"/>
        <b/>
        <color rgb="FF434343"/>
        <sz val="8.0"/>
      </rPr>
      <t xml:space="preserve">Solicitação:
</t>
    </r>
    <r>
      <rPr>
        <rFont val="Calibri"/>
        <color rgb="FF434343"/>
        <sz val="8.0"/>
      </rPr>
      <t xml:space="preserve">Verificar ausência de dados de condução e performance para o motorista Eustáquio Constâncio de Araújo nos aplicativos Lenarge e App Colaborador.
</t>
    </r>
    <r>
      <rPr>
        <rFont val="Calibri"/>
        <b/>
        <color rgb="FF434343"/>
        <sz val="8.0"/>
      </rPr>
      <t xml:space="preserve">Problema:
</t>
    </r>
    <r>
      <rPr>
        <rFont val="Calibri"/>
        <color rgb="FF434343"/>
        <sz val="8.0"/>
      </rPr>
      <t xml:space="preserve">O motorista não consegue visualizar sua performance em nenhum dos aplicativos. Não há registros de condução vinculados a ele.
</t>
    </r>
    <r>
      <rPr>
        <rFont val="Calibri"/>
        <b/>
        <color rgb="FF434343"/>
        <sz val="8.0"/>
      </rPr>
      <t xml:space="preserve">Verificação:
</t>
    </r>
    <r>
      <rPr>
        <rFont val="Calibri"/>
        <color rgb="FF434343"/>
        <sz val="8.0"/>
      </rPr>
      <t xml:space="preserve">Ao consultar pela placa RIU4C86, os dados de performance do veículo são exibidos normalmente, sendo o último registro em 23/03/2026.
Entretanto, ao verificar o histórico do motorista Eustáquio Constâncio de Araújo, foi identificado que não há qualquer registro de performance associado a ele.
</t>
    </r>
    <r>
      <rPr>
        <rFont val="Calibri"/>
        <b/>
        <color rgb="FF434343"/>
        <sz val="8.0"/>
      </rPr>
      <t xml:space="preserve">Impacto:
</t>
    </r>
    <r>
      <rPr>
        <rFont val="Calibri"/>
        <color rgb="FF434343"/>
        <sz val="8.0"/>
      </rPr>
      <t xml:space="preserve">A ausência de dados compromete a análise individual de desempenho do motorista e a confiabilidade das informações apresentadas nos aplicativos.
</t>
    </r>
    <r>
      <rPr>
        <rFont val="Calibri"/>
        <b/>
        <color rgb="FF434343"/>
        <sz val="8.0"/>
      </rPr>
      <t xml:space="preserve">Objetivo:
</t>
    </r>
    <r>
      <rPr>
        <rFont val="Calibri"/>
        <color rgb="FF434343"/>
        <sz val="8.0"/>
      </rPr>
      <t xml:space="preserve">Identificar a causa da não associação dos dados de condução ao motorista e corrigir o vínculo entre motorista e veículo, garantindo a correta exibição da performance.
</t>
    </r>
    <r>
      <rPr>
        <rFont val="Calibri"/>
        <b/>
        <color rgb="FF434343"/>
        <sz val="8.0"/>
      </rPr>
      <t xml:space="preserve">Observação:
</t>
    </r>
    <r>
      <rPr>
        <rFont val="Calibri"/>
        <color rgb="FF434343"/>
        <sz val="8.0"/>
      </rPr>
      <t>Necessário validar regras de associação, vínculo histórico e possíveis falhas na integração dos dados entre veículo e motorista.</t>
    </r>
  </si>
  <si>
    <t>RIU4C86</t>
  </si>
  <si>
    <t>JAF QQR9C95 4243</t>
  </si>
  <si>
    <t>Cadastro divergente no sistema, o usuário precisa atualizar para a matrícula correta.</t>
  </si>
  <si>
    <t>LNR CHA0439 0734</t>
  </si>
  <si>
    <t>2026000250</t>
  </si>
  <si>
    <t>Veiculo sem placa - Trator</t>
  </si>
  <si>
    <t>Emiliana</t>
  </si>
  <si>
    <t>LNR CHA0470 6884</t>
  </si>
  <si>
    <t>LNG RJS6E63 9443</t>
  </si>
  <si>
    <r>
      <rPr>
        <rFont val="Calibri"/>
        <b/>
        <color rgb="FF434343"/>
        <sz val="8.0"/>
      </rPr>
      <t xml:space="preserve">Solicitação:
</t>
    </r>
    <r>
      <rPr>
        <rFont val="Calibri"/>
        <color rgb="FF434343"/>
        <sz val="8.0"/>
      </rPr>
      <t xml:space="preserve">Verificar inconsistência de performance do motorista Anderson Fernando Barbosa, vinculado ao veículo de placa RKO8D17.
</t>
    </r>
    <r>
      <rPr>
        <rFont val="Calibri"/>
        <b/>
        <color rgb="FF434343"/>
        <sz val="8.0"/>
      </rPr>
      <t xml:space="preserve">Problema:
</t>
    </r>
    <r>
      <rPr>
        <rFont val="Calibri"/>
        <color rgb="FF434343"/>
        <sz val="8.0"/>
      </rPr>
      <t xml:space="preserve">A performance do motorista não está sendo exibida no App Lenarge nem no App Colaborador.
</t>
    </r>
    <r>
      <rPr>
        <rFont val="Calibri"/>
        <b/>
        <color rgb="FF434343"/>
        <sz val="8.0"/>
      </rPr>
      <t xml:space="preserve">Verificação:
</t>
    </r>
    <r>
      <rPr>
        <rFont val="Calibri"/>
        <color rgb="FF434343"/>
        <sz val="8.0"/>
      </rPr>
      <t xml:space="preserve">A última performance registrada do veículo RKO8D17 foi em 26/01/2026.
Já o motorista Anderson Fernando Barbosa possui última performance em 13/02/2026, porém não relacionada a este veículo.
Ao analisar o histórico, foi identificado que o motorista nunca rodou com a placa RKO8D17, apesar de na aba de operação constar que ele está vinculado ao veículo na data atual (26/03/2026).
Adicionalmente, foi verificado no sistema de rastreamento (Traccar) que o módulo do veículo não reporta dados há aproximadamente dois meses.
</t>
    </r>
    <r>
      <rPr>
        <rFont val="Calibri"/>
        <b/>
        <color rgb="FF434343"/>
        <sz val="8.0"/>
      </rPr>
      <t xml:space="preserve">Ação Realizada:
</t>
    </r>
    <r>
      <rPr>
        <rFont val="Calibri"/>
        <color rgb="FF434343"/>
        <sz val="8.0"/>
      </rPr>
      <t xml:space="preserve">Foi enviada configuração remota para o módulo, na tentativa de restabelecer a comunicação.
</t>
    </r>
    <r>
      <rPr>
        <rFont val="Calibri"/>
        <b/>
        <color rgb="FF434343"/>
        <sz val="8.0"/>
      </rPr>
      <t xml:space="preserve">Impacto:
</t>
    </r>
    <r>
      <rPr>
        <rFont val="Calibri"/>
        <color rgb="FF434343"/>
        <sz val="8.0"/>
      </rPr>
      <t xml:space="preserve">A ausência de comunicação do módulo e inconsistência de vínculo impedem a geração e atribuição correta da performance, comprometendo o acompanhamento operacional.
</t>
    </r>
    <r>
      <rPr>
        <rFont val="Calibri"/>
        <b/>
        <color rgb="FF434343"/>
        <sz val="8.0"/>
      </rPr>
      <t xml:space="preserve">Objetivo:
</t>
    </r>
    <r>
      <rPr>
        <rFont val="Calibri"/>
        <color rgb="FF434343"/>
        <sz val="8.0"/>
      </rPr>
      <t xml:space="preserve">Restabelecer a comunicação do módulo, corrigir o vínculo entre motorista e veículo e garantir a geração e exibição correta dos dados de performance.
</t>
    </r>
    <r>
      <rPr>
        <rFont val="Calibri"/>
        <b/>
        <color rgb="FF434343"/>
        <sz val="8.0"/>
      </rPr>
      <t xml:space="preserve">Observação:
</t>
    </r>
    <r>
      <rPr>
        <rFont val="Calibri"/>
        <color rgb="FF434343"/>
        <sz val="8.0"/>
      </rPr>
      <t>Necessário acompanhar retorno do módulo após envio da configuração remota e validar possíveis inconsistências de vínculo na operação.</t>
    </r>
  </si>
  <si>
    <t>RKO8D17</t>
  </si>
  <si>
    <t>LNR CHA1932 6460</t>
  </si>
  <si>
    <t>LNR 2980 1208</t>
  </si>
  <si>
    <t>2026000251</t>
  </si>
  <si>
    <t>WA470</t>
  </si>
  <si>
    <t>ZER EXV2B46 4445</t>
  </si>
  <si>
    <t>IEV1200T</t>
  </si>
  <si>
    <t>ZER QMY1E52 5497</t>
  </si>
  <si>
    <t>XGA4254BEVWCA</t>
  </si>
  <si>
    <t>LNR RBE9E38 3302</t>
  </si>
  <si>
    <t>LNR RIQ7B62 3280</t>
  </si>
  <si>
    <t>PTNR SJI3A97 6720</t>
  </si>
  <si>
    <t>PTNR SHD5J22 3179</t>
  </si>
  <si>
    <r>
      <rPr>
        <rFont val="Calibri"/>
        <b/>
        <color rgb="FF434343"/>
        <sz val="8.0"/>
      </rPr>
      <t xml:space="preserve">Solicitação:
</t>
    </r>
    <r>
      <rPr>
        <rFont val="Calibri"/>
        <color rgb="FF434343"/>
        <sz val="8.0"/>
      </rPr>
      <t xml:space="preserve">Verificar ausência de dados de condução do motorista Osvaldo Pedro de Souza, independente do veículo utilizado na operação.
</t>
    </r>
    <r>
      <rPr>
        <rFont val="Calibri"/>
        <b/>
        <color rgb="FF434343"/>
        <sz val="8.0"/>
      </rPr>
      <t xml:space="preserve">Problema:
</t>
    </r>
    <r>
      <rPr>
        <rFont val="Calibri"/>
        <color rgb="FF434343"/>
        <sz val="8.0"/>
      </rPr>
      <t xml:space="preserve">Segundo relato, não há registro de dados de condução do motorista desde o dia 18/03/2026, independentemente do veículo em que ele esteja operando.
</t>
    </r>
    <r>
      <rPr>
        <rFont val="Calibri"/>
        <b/>
        <color rgb="FF434343"/>
        <sz val="8.0"/>
      </rPr>
      <t xml:space="preserve">Verificação:
</t>
    </r>
    <r>
      <rPr>
        <rFont val="Calibri"/>
        <color rgb="FF434343"/>
        <sz val="8.0"/>
      </rPr>
      <t xml:space="preserve">O veículo RJE6H07 parou de transmitir parâmetros de telemetria em 18/03/2026.
Entretanto, foi identificado que o motorista Osvaldo Pedro de Souza operou outros veículos no período:
RFR1G68 até o dia 10/03/2026
STG8H24 de 10/03/2026 até 18/03/2026
Para a placa RJE6H07, foi verificado que quem operou o veículo durante o mês foi a motorista Gessica Mara Silva Luciano.
Após retorno do solicitante, foi informado que a ausência de dados de condução do motorista ocorre desde 18/03/2026, independente do veículo utilizado.
</t>
    </r>
    <r>
      <rPr>
        <rFont val="Calibri"/>
        <b/>
        <color rgb="FF434343"/>
        <sz val="8.0"/>
      </rPr>
      <t xml:space="preserve">Impacto:
</t>
    </r>
    <r>
      <rPr>
        <rFont val="Calibri"/>
        <color rgb="FF434343"/>
        <sz val="8.0"/>
      </rPr>
      <t xml:space="preserve">A falta de dados compromete totalmente a análise de condução e performance do motorista, afetando indicadores e acompanhamento operacional.
</t>
    </r>
    <r>
      <rPr>
        <rFont val="Calibri"/>
        <b/>
        <color rgb="FF434343"/>
        <sz val="8.0"/>
      </rPr>
      <t xml:space="preserve">Objetivo:
</t>
    </r>
    <r>
      <rPr>
        <rFont val="Calibri"/>
        <color rgb="FF434343"/>
        <sz val="8.0"/>
      </rPr>
      <t xml:space="preserve">Identificar a causa da interrupção na geração de dados de condução para o motorista, validando regras de associação, integração e processamento dos dados entre motorista e veículos.
</t>
    </r>
    <r>
      <rPr>
        <rFont val="Calibri"/>
        <b/>
        <color rgb="FF434343"/>
        <sz val="8.0"/>
      </rPr>
      <t xml:space="preserve">Observação:
</t>
    </r>
    <r>
      <rPr>
        <rFont val="Calibri"/>
        <color rgb="FF434343"/>
        <sz val="8.0"/>
      </rPr>
      <t>Necessário validar se o problema está relacionado ao motorista (vínculo/regra de associação) ou à origem dos dados, considerando que ocorre independentemente do veículo.</t>
    </r>
  </si>
  <si>
    <t>RJE6H07</t>
  </si>
  <si>
    <t>JAF TCL0B95 0381</t>
  </si>
  <si>
    <t>2026000252</t>
  </si>
  <si>
    <t>JAF QQN6F77 3831</t>
  </si>
  <si>
    <t>JAF SIG7D91 8098</t>
  </si>
  <si>
    <r>
      <rPr>
        <rFont val="Calibri"/>
        <b/>
        <color rgb="FF434343"/>
        <sz val="8.0"/>
      </rPr>
      <t xml:space="preserve">Solicitação:
</t>
    </r>
    <r>
      <rPr>
        <rFont val="Calibri"/>
        <color rgb="FF434343"/>
        <sz val="8.0"/>
      </rPr>
      <t xml:space="preserve">Verificar divergência no cálculo de quilometragem para o veículo de placa RIW1D43, vinculado ao motorista Ledson Alves Loredo.
</t>
    </r>
    <r>
      <rPr>
        <rFont val="Calibri"/>
        <b/>
        <color rgb="FF434343"/>
        <sz val="8.0"/>
      </rPr>
      <t xml:space="preserve">Problema:
</t>
    </r>
    <r>
      <rPr>
        <rFont val="Calibri"/>
        <color rgb="FF434343"/>
        <sz val="8.0"/>
      </rPr>
      <t xml:space="preserve">Ao realizar a soma do KM inicial com o KM final do dia, o total apurado foi de aproximadamente 290 km rodados.
Entretanto, no aplicativo do motorista está sendo apresentado o valor de 574 km rodados, indicando inconsistência significativa.
</t>
    </r>
    <r>
      <rPr>
        <rFont val="Calibri"/>
        <b/>
        <color rgb="FF434343"/>
        <sz val="8.0"/>
      </rPr>
      <t xml:space="preserve">Verificação:
</t>
    </r>
    <r>
      <rPr>
        <rFont val="Calibri"/>
        <color rgb="FF434343"/>
        <sz val="8.0"/>
      </rPr>
      <t xml:space="preserve">Diferença identificada entre o cálculo manual baseado nos odômetros e o valor exibido no aplicativo, sugerindo possível duplicidade de leitura, erro de processamento ou inconsistência na coleta dos dados.
</t>
    </r>
    <r>
      <rPr>
        <rFont val="Calibri"/>
        <b/>
        <color rgb="FF434343"/>
        <sz val="8.0"/>
      </rPr>
      <t xml:space="preserve">Impacto:
</t>
    </r>
    <r>
      <rPr>
        <rFont val="Calibri"/>
        <color rgb="FF434343"/>
        <sz val="8.0"/>
      </rPr>
      <t xml:space="preserve">A divergência compromete a confiabilidade dos dados de deslocamento, impactando indicadores de performance e análise operacional.
</t>
    </r>
    <r>
      <rPr>
        <rFont val="Calibri"/>
        <b/>
        <color rgb="FF434343"/>
        <sz val="8.0"/>
      </rPr>
      <t xml:space="preserve">Objetivo:
</t>
    </r>
    <r>
      <rPr>
        <rFont val="Calibri"/>
        <color rgb="FF434343"/>
        <sz val="8.0"/>
      </rPr>
      <t xml:space="preserve">Identificar a origem da inconsistência no cálculo de quilometragem e ajustar o processamento dos dados para garantir precisão nas informações apresentadas.
</t>
    </r>
    <r>
      <rPr>
        <rFont val="Calibri"/>
        <b/>
        <color rgb="FF434343"/>
        <sz val="8.0"/>
      </rPr>
      <t xml:space="preserve">Observação:
</t>
    </r>
    <r>
      <rPr>
        <rFont val="Calibri"/>
        <color rgb="FF434343"/>
        <sz val="8.0"/>
      </rPr>
      <t>Necessário validar possíveis duplicidades de registros, falhas de integração ou erro na regra de cálculo de KM no sistema.</t>
    </r>
  </si>
  <si>
    <t>RIW1D43</t>
  </si>
  <si>
    <t>JAF TEL8F90 1397</t>
  </si>
  <si>
    <t>Módulo sera trocado.</t>
  </si>
  <si>
    <t>INICIAR POC - CONVERSA PARA INSTALAÇÃO DOS MÓDULOS INICIADA</t>
  </si>
  <si>
    <t>2026000253</t>
  </si>
  <si>
    <t>JAF RNY9H46 5352</t>
  </si>
  <si>
    <t>MÓDULO</t>
  </si>
  <si>
    <r>
      <rPr>
        <rFont val="Calibri"/>
        <b/>
        <color rgb="FF434343"/>
        <sz val="8.0"/>
      </rPr>
      <t xml:space="preserve">Solicitação:
</t>
    </r>
    <r>
      <rPr>
        <rFont val="Calibri"/>
        <color rgb="FF434343"/>
        <sz val="8.0"/>
      </rPr>
      <t xml:space="preserve">Verificar ausência de dados de condução inteligente para o veículo TUW2I54 e inconsistência de performance do motorista Wemerson Pereira Thomaz.
</t>
    </r>
    <r>
      <rPr>
        <rFont val="Calibri"/>
        <b/>
        <color rgb="FF434343"/>
        <sz val="8.0"/>
      </rPr>
      <t xml:space="preserve">Problema:
</t>
    </r>
    <r>
      <rPr>
        <rFont val="Calibri"/>
        <color rgb="FF434343"/>
        <sz val="8.0"/>
      </rPr>
      <t xml:space="preserve">O veículo TUW2I54 não está apresentando dados de condução inteligente no sistema.
</t>
    </r>
    <r>
      <rPr>
        <rFont val="Calibri"/>
        <b/>
        <color rgb="FF434343"/>
        <sz val="8.0"/>
      </rPr>
      <t xml:space="preserve">Verificação:
</t>
    </r>
    <r>
      <rPr>
        <rFont val="Calibri"/>
        <color rgb="FF434343"/>
        <sz val="8.0"/>
      </rPr>
      <t xml:space="preserve">Ao consultar a placa no App Lenarge, foi identificado que não há histórico de condução para o veículo.
No sistema de rastreamento (Traccar), as IO’s estão sendo recebidas normalmente, indicando que o módulo está comunicando.
Em relação ao motorista Wemerson Pereira Thomaz, a última performance registrada foi no dia 06/01/2026, no veículo LUO5G89, não havendo registros recentes.
</t>
    </r>
    <r>
      <rPr>
        <rFont val="Calibri"/>
        <b/>
        <color rgb="FF434343"/>
        <sz val="8.0"/>
      </rPr>
      <t xml:space="preserve">Impacto:
</t>
    </r>
    <r>
      <rPr>
        <rFont val="Calibri"/>
        <color rgb="FF434343"/>
        <sz val="8.0"/>
      </rPr>
      <t xml:space="preserve">A ausência de dados de condução compromete a análise de performance tanto do veículo quanto do motorista, impactando indicadores operacionais.
</t>
    </r>
    <r>
      <rPr>
        <rFont val="Calibri"/>
        <b/>
        <color rgb="FF434343"/>
        <sz val="8.0"/>
      </rPr>
      <t xml:space="preserve">Objetivo:
</t>
    </r>
    <r>
      <rPr>
        <rFont val="Calibri"/>
        <color rgb="FF434343"/>
        <sz val="8.0"/>
      </rPr>
      <t xml:space="preserve">Identificar a causa da não geração de dados de condução inteligente para o veículo, mesmo com IO’s chegando no rastreamento, e validar a associação da performance ao motorista.
</t>
    </r>
    <r>
      <rPr>
        <rFont val="Calibri"/>
        <b/>
        <color rgb="FF434343"/>
        <sz val="8.0"/>
      </rPr>
      <t xml:space="preserve">Observação:
</t>
    </r>
    <r>
      <rPr>
        <rFont val="Calibri"/>
        <color rgb="FF434343"/>
        <sz val="8.0"/>
      </rPr>
      <t>Necessário verificar processamento dos dados de telemetria, regras de geração de condução inteligente e possíveis falhas de integração entre rastreamento e sistema.</t>
    </r>
  </si>
  <si>
    <t>JAF TXD5G49 0878</t>
  </si>
  <si>
    <t>TUW2I54</t>
  </si>
  <si>
    <t>O modulo esta reportando e mas não esta chegando nenhuma IO necessaria para que o haja condução.</t>
  </si>
  <si>
    <t>JAF TXE7J13 3823</t>
  </si>
  <si>
    <t>2026000254</t>
  </si>
  <si>
    <t>LNR RKS7H20 7909</t>
  </si>
  <si>
    <r>
      <rPr>
        <rFont val="Calibri"/>
        <b/>
        <color rgb="FF434343"/>
        <sz val="8.0"/>
      </rPr>
      <t xml:space="preserve">Solicitação:
</t>
    </r>
    <r>
      <rPr>
        <rFont val="Calibri"/>
        <color rgb="FF434343"/>
        <sz val="8.0"/>
      </rPr>
      <t xml:space="preserve">Verificar ausência de dados de performance no App do Motorista para o veículo RVU9E84, vinculado ao motorista Edivaldo.
</t>
    </r>
    <r>
      <rPr>
        <rFont val="Calibri"/>
        <b/>
        <color rgb="FF434343"/>
        <sz val="8.0"/>
      </rPr>
      <t xml:space="preserve">Problema:
</t>
    </r>
    <r>
      <rPr>
        <rFont val="Calibri"/>
        <color rgb="FF434343"/>
        <sz val="8.0"/>
      </rPr>
      <t xml:space="preserve">Os dados de performance não estão sendo exibidos corretamente no aplicativo do motorista.
</t>
    </r>
    <r>
      <rPr>
        <rFont val="Calibri"/>
        <b/>
        <color rgb="FF434343"/>
        <sz val="8.0"/>
      </rPr>
      <t xml:space="preserve">Verificação:
</t>
    </r>
    <r>
      <rPr>
        <rFont val="Calibri"/>
        <color rgb="FF434343"/>
        <sz val="8.0"/>
      </rPr>
      <t xml:space="preserve">Conforme evidências enviadas, no App FACSS há divergência na exibição da performance mensal, apresentando inconsistência nos dados por dia.
Foi validado no Traccar e no sistema de tracking que o veículo está reportando normalmente, indicando que o módulo está comunicando e enviando dados.
</t>
    </r>
    <r>
      <rPr>
        <rFont val="Calibri"/>
        <b/>
        <color rgb="FF434343"/>
        <sz val="8.0"/>
      </rPr>
      <t xml:space="preserve">Impacto:
</t>
    </r>
    <r>
      <rPr>
        <rFont val="Calibri"/>
        <color rgb="FF434343"/>
        <sz val="8.0"/>
      </rPr>
      <t xml:space="preserve">A ausência/inconsistência dos dados no aplicativo compromete a visualização da performance pelo motorista, impactando o acompanhamento e análise operacional.
</t>
    </r>
    <r>
      <rPr>
        <rFont val="Calibri"/>
        <b/>
        <color rgb="FF434343"/>
        <sz val="8.0"/>
      </rPr>
      <t xml:space="preserve">Objetivo:
</t>
    </r>
    <r>
      <rPr>
        <rFont val="Calibri"/>
        <color rgb="FF434343"/>
        <sz val="8.0"/>
      </rPr>
      <t>Identificar a causa da falha na exibição/processamento dos dados de performance no aplicativo, mesmo com o envio correto pelo rastreador.
Observação:
Necessário validar processamento da condução inteligente, integração entre tracking e aplicativo, e possível falha de sincronização ou renderização dos dados no app.</t>
    </r>
  </si>
  <si>
    <t>RVU9E84</t>
  </si>
  <si>
    <t>EXT QQR9B66 8323</t>
  </si>
  <si>
    <t>2026000255</t>
  </si>
  <si>
    <t>Diego - Facss</t>
  </si>
  <si>
    <r>
      <rPr>
        <rFont val="Calibri"/>
        <b/>
        <color rgb="FF434343"/>
        <sz val="8.0"/>
      </rPr>
      <t xml:space="preserve">Solicitação:
</t>
    </r>
    <r>
      <rPr>
        <rFont val="Calibri"/>
        <color rgb="FF434343"/>
        <sz val="8.0"/>
      </rPr>
      <t xml:space="preserve">Verificar ausência de dados de performance para o veículo RFE0H24, pertencente à frota Transavante.
</t>
    </r>
    <r>
      <rPr>
        <rFont val="Calibri"/>
        <b/>
        <color rgb="FF434343"/>
        <sz val="8.0"/>
      </rPr>
      <t xml:space="preserve">Problema:
</t>
    </r>
    <r>
      <rPr>
        <rFont val="Calibri"/>
        <color rgb="FF434343"/>
        <sz val="8.0"/>
      </rPr>
      <t xml:space="preserve">O veículo não apresenta dados de performance desde o dia 28/01/2026.
</t>
    </r>
    <r>
      <rPr>
        <rFont val="Calibri"/>
        <b/>
        <color rgb="FF434343"/>
        <sz val="8.0"/>
      </rPr>
      <t xml:space="preserve">Verificação:
</t>
    </r>
    <r>
      <rPr>
        <rFont val="Calibri"/>
        <color rgb="FF434343"/>
        <sz val="8.0"/>
      </rPr>
      <t xml:space="preserve">O último motorista vinculado ao veículo foi Danilo Ribeiro Ferreira Pinto, no dia 06/03/2026.
Após essa data, não há registro de novos vínculos de motorista para o veículo.
Foi verificado no sistema de rastreamento (Traccar) que as informações estão sendo recebidas normalmente, indicando que o módulo está comunicando.
</t>
    </r>
    <r>
      <rPr>
        <rFont val="Calibri"/>
        <b/>
        <color rgb="FF434343"/>
        <sz val="8.0"/>
      </rPr>
      <t xml:space="preserve">Impacto:
</t>
    </r>
    <r>
      <rPr>
        <rFont val="Calibri"/>
        <color rgb="FF434343"/>
        <sz val="8.0"/>
      </rPr>
      <t xml:space="preserve">A ausência de dados de performance compromete a análise operacional do veículo e a avaliação de condução dos motoristas.
</t>
    </r>
    <r>
      <rPr>
        <rFont val="Calibri"/>
        <b/>
        <color rgb="FF434343"/>
        <sz val="8.0"/>
      </rPr>
      <t xml:space="preserve">Objetivo:
</t>
    </r>
    <r>
      <rPr>
        <rFont val="Calibri"/>
        <color rgb="FF434343"/>
        <sz val="8.0"/>
      </rPr>
      <t xml:space="preserve">Identificar a causa da não geração de performance, mesmo com dados sendo recebidos pelo rastreamento, e normalizar o processamento e exibição das informações.
</t>
    </r>
    <r>
      <rPr>
        <rFont val="Calibri"/>
        <b/>
        <color rgb="FF434343"/>
        <sz val="8.0"/>
      </rPr>
      <t xml:space="preserve">Observação:
</t>
    </r>
    <r>
      <rPr>
        <rFont val="Calibri"/>
        <color rgb="FF434343"/>
        <sz val="8.0"/>
      </rPr>
      <t>Necessário validar regras de associação de motorista, processamento de condução inteligente e possíveis falhas de integração entre rastreamento e sistema.</t>
    </r>
  </si>
  <si>
    <t>RFE0H24</t>
  </si>
  <si>
    <t>EXT PVK6042 9970</t>
  </si>
  <si>
    <t>O modulo esta reportando e mas não esta chegando nenhuma IO necessaria para que o haja condução</t>
  </si>
  <si>
    <t>2026000256</t>
  </si>
  <si>
    <t>BUSCAR ENTENDER COMO ESTÁ A JORNADA NA EMPRESA</t>
  </si>
  <si>
    <t>LNR RBE7I30 0331</t>
  </si>
  <si>
    <t xml:space="preserve">"Solicitação:
Verificar divergência de informações de desvios na performance do motorista Bruno Eduardo Rodrigues, vinculado ao veículo de placa SRC9E30.
Problema:
A performance do motorista apresenta 35 desvios, porém ao extrair o relatório, essa quantidade não é refletida, demonstrando inconsistência entre as informações.
Verificação:
Identificada divergência entre os dados exibidos na tela de performance e os dados retornados no relatório, indicando possível falha de processamento ou inconsistência na base de dados.
Impacto:
A incoerência das informações compromete a confiabilidade dos dados de performance e pode impactar análises e tomadas de decisão.
Objetivo:
Identificar a origem da divergência entre performance e relatório, garantindo a consistência e integridade das informações apresentadas no sistema.
Observação:
Necessário validar regras de cálculo dos desvios, fonte dos dados utilizados no relatório e possíveis falhas de sincronização."                </t>
  </si>
  <si>
    <t>SRC9E30</t>
  </si>
  <si>
    <t xml:space="preserve">Sobre as demandas relacionadas à força G, atualmente a regra definida pela Lenarge considera apenas os desvios classificados como força G forte. Por esse motivo, pode haver a percepção de divergência nos dados apresentados. Caso haja necessidade de incluir outros parâmetros de força G na contabilização, é necessário formalizar a solicitação por e-mail, envolvendo os setores impactados e com o aceite do gestor responsável pela área.
</t>
  </si>
  <si>
    <t>LNR RFX9C45 3590</t>
  </si>
  <si>
    <t>2026000257</t>
  </si>
  <si>
    <t>LNR TTX0B64 5566</t>
  </si>
  <si>
    <t xml:space="preserve">"Solicitação:
Verificar divergência de informações de desvios na performance do motorista Bruno Luis Silva Francisco, vinculado ao veículo de placa SGD6C41.
Problema:
A performance do motorista apresenta 48 desvios, porém ao extrair o relatório, essa quantidade não é refletida, demonstrando inconsistência entre as informações.
Verificação:
Identificada divergência entre os dados exibidos na tela de performance e os dados retornados no relatório, indicando possível falha de processamento ou inconsistência na base de dados.
Impacto:
A incoerência das informações compromete a confiabilidade dos dados de performance e pode impactar análises e tomadas de decisão.
Objetivo:
Identificar a origem da divergência entre performance e relatório, garantindo a consistência e integridade das informações apresentadas no sistema.
Observação:
Necessário validar regras de cálculo dos desvios, fonte dos dados utilizados no relatório e possíveis falhas de sincronização."                </t>
  </si>
  <si>
    <t>SGD8C41</t>
  </si>
  <si>
    <t>"Sobre as demandas relacionadas à força G, atualmente a regra definida pela Lenarge considera apenas os desvios classificados como força G forte. Por esse motivo, pode haver a percepção de divergência nos dados apresentados. Caso haja necessidade de incluir outros parâmetros de força G na contabilização, é necessário formalizar a solicitação por e-mail, envolvendo os setores impactados e com o aceite do gestor responsável pela área.</t>
  </si>
  <si>
    <t>2026000258</t>
  </si>
  <si>
    <t>TSV SYT9D26 8020</t>
  </si>
  <si>
    <t xml:space="preserve">"Solicitação:
Verificar divergência de informações de desvios na performance do motorista José Aparecido de Freitas, vinculado ao veículo de placa SRV7B85.
Problema:
A performance do motorista apresenta 255 desvios, porém ao extrair o relatório, essa quantidade não é refletida, demonstrando inconsistência entre as informações.
Verificação:
Identificada divergência entre os dados exibidos na tela de performance e os dados retornados no relatório, indicando possível falha de processamento ou inconsistência na base de dados.
Impacto:
A incoerência das informações compromete a confiabilidade dos dados de performance e pode impactar análises e tomadas de decisão.
Objetivo:
Identificar a origem da divergência entre performance e relatório, garantindo a consistência e integridade das informações apresentadas no sistema.
Observação:
Necessário validar regras de cálculo dos desvios, fonte dos dados utilizados no relatório e possíveis falhas de sincronização."                </t>
  </si>
  <si>
    <t>SRV7B85</t>
  </si>
  <si>
    <t>TSV SYT9D34 3901</t>
  </si>
  <si>
    <t>2026000259</t>
  </si>
  <si>
    <t>TSV EXU0F31 5101</t>
  </si>
  <si>
    <t>ESTUDO DE CASO MERCEDES JUNTO A SEMPRE VOLTA</t>
  </si>
  <si>
    <t>Criar acesso ao novo telemetria.</t>
  </si>
  <si>
    <t>Acesso criado com sucesso.</t>
  </si>
  <si>
    <t>TSV TDW3F83 3301</t>
  </si>
  <si>
    <t>2026000260</t>
  </si>
  <si>
    <t>AJUSTE/PARAMETRIZAÇÃO</t>
  </si>
  <si>
    <t>TSV RVD3D65 0092</t>
  </si>
  <si>
    <r>
      <rPr>
        <rFont val="Calibri"/>
        <b/>
        <color rgb="FF434343"/>
        <sz val="8.0"/>
      </rPr>
      <t xml:space="preserve">Solicitação:
</t>
    </r>
    <r>
      <rPr>
        <rFont val="Calibri"/>
        <color rgb="FF434343"/>
        <sz val="8.0"/>
      </rPr>
      <t xml:space="preserve">Verificar inconsistência na contabilização de desvios de condução para o motorista Leandro da Cruz Zinato, vinculado ao veículo de placa SRJ5J97.
</t>
    </r>
    <r>
      <rPr>
        <rFont val="Calibri"/>
        <b/>
        <color rgb="FF434343"/>
        <sz val="8.0"/>
      </rPr>
      <t xml:space="preserve">Problema:
</t>
    </r>
    <r>
      <rPr>
        <rFont val="Calibri"/>
        <color rgb="FF434343"/>
        <sz val="8.0"/>
      </rPr>
      <t xml:space="preserve">Foram identificados 44 registros de eventos em pista molhada, porém esses não foram considerados para desconto na performance do motorista.
Em contrapartida, apenas 7 eventos em pista seca foram contabilizados para desconto.
</t>
    </r>
    <r>
      <rPr>
        <rFont val="Calibri"/>
        <b/>
        <color rgb="FF434343"/>
        <sz val="8.0"/>
      </rPr>
      <t xml:space="preserve">Verificação:
</t>
    </r>
    <r>
      <rPr>
        <rFont val="Calibri"/>
        <color rgb="FF434343"/>
        <sz val="8.0"/>
      </rPr>
      <t xml:space="preserve">Indícios de inconsistência na regra de cálculo, onde eventos em pista molhada não estão sendo considerados corretamente, ou estão sendo desconsiderados indevidamente no processamento.
</t>
    </r>
    <r>
      <rPr>
        <rFont val="Calibri"/>
        <b/>
        <color rgb="FF434343"/>
        <sz val="8.0"/>
      </rPr>
      <t xml:space="preserve">Impacto:
</t>
    </r>
    <r>
      <rPr>
        <rFont val="Calibri"/>
        <color rgb="FF434343"/>
        <sz val="8.0"/>
      </rPr>
      <t xml:space="preserve">A falha compromete a precisão da avaliação de condução e pode gerar distorções na pontuação de performance do motorista.
</t>
    </r>
    <r>
      <rPr>
        <rFont val="Calibri"/>
        <b/>
        <color rgb="FF434343"/>
        <sz val="8.0"/>
      </rPr>
      <t xml:space="preserve">Objetivo:
</t>
    </r>
    <r>
      <rPr>
        <rFont val="Calibri"/>
        <color rgb="FF434343"/>
        <sz val="8.0"/>
      </rPr>
      <t xml:space="preserve">Analisar as regras de cálculo e processamento dos eventos de pista molhada e seca, garantindo que todos os desvios sejam corretamente considerados conforme a regra definida.
</t>
    </r>
    <r>
      <rPr>
        <rFont val="Calibri"/>
        <b/>
        <color rgb="FF434343"/>
        <sz val="8.0"/>
      </rPr>
      <t xml:space="preserve">Observação:
</t>
    </r>
    <r>
      <rPr>
        <rFont val="Calibri"/>
        <color rgb="FF434343"/>
        <sz val="8.0"/>
      </rPr>
      <t>Necessário validar parametrizações da condução inteligente e possíveis falhas na classificação ou tratamento dos eventos.</t>
    </r>
  </si>
  <si>
    <t>SRJ5J97</t>
  </si>
  <si>
    <t>TSV RUQ9E26 9019</t>
  </si>
  <si>
    <t>2026000261</t>
  </si>
  <si>
    <t>TSV RUQ3D16 5136</t>
  </si>
  <si>
    <t>APRESENTAR DIAGNÓSTICO DE PERFORMANCE</t>
  </si>
  <si>
    <t>CELULAR</t>
  </si>
  <si>
    <r>
      <rPr>
        <rFont val="Calibri"/>
        <b/>
        <color rgb="FF434343"/>
        <sz val="8.0"/>
      </rPr>
      <t xml:space="preserve">Solicitação:
</t>
    </r>
    <r>
      <rPr>
        <rFont val="Calibri"/>
        <color rgb="FF434343"/>
        <sz val="8.0"/>
      </rPr>
      <t xml:space="preserve">Realizar limpeza de cache nos aparelhos dos motoristas listados abaixo.
</t>
    </r>
    <r>
      <rPr>
        <rFont val="Calibri"/>
        <b/>
        <color rgb="FF434343"/>
        <sz val="8.0"/>
      </rPr>
      <t xml:space="preserve">Motoristas:
</t>
    </r>
    <r>
      <rPr>
        <rFont val="Calibri"/>
        <color rgb="FF434343"/>
        <sz val="8.0"/>
      </rPr>
      <t xml:space="preserve">Jaime Gonçalves Dias
Adriana Maria Gonçalves
Henrique Luiz da Silva de Sá
</t>
    </r>
    <r>
      <rPr>
        <rFont val="Calibri"/>
        <b/>
        <color rgb="FF434343"/>
        <sz val="8.0"/>
      </rPr>
      <t xml:space="preserve">Problema:
</t>
    </r>
    <r>
      <rPr>
        <rFont val="Calibri"/>
        <color rgb="FF434343"/>
        <sz val="8.0"/>
      </rPr>
      <t xml:space="preserve">Necessidade de limpeza de cache para normalização do funcionamento dos aplicativos nos dispositivos dos motoristas.
</t>
    </r>
    <r>
      <rPr>
        <rFont val="Calibri"/>
        <b/>
        <color rgb="FF434343"/>
        <sz val="8.0"/>
      </rPr>
      <t xml:space="preserve">Impacto:
</t>
    </r>
    <r>
      <rPr>
        <rFont val="Calibri"/>
        <color rgb="FF434343"/>
        <sz val="8.0"/>
      </rPr>
      <t xml:space="preserve">Possíveis falhas de desempenho, lentidão ou inconsistência na utilização dos aplicativos.
</t>
    </r>
    <r>
      <rPr>
        <rFont val="Calibri"/>
        <b/>
        <color rgb="FF434343"/>
        <sz val="8.0"/>
      </rPr>
      <t xml:space="preserve">Objetivo:
</t>
    </r>
    <r>
      <rPr>
        <rFont val="Calibri"/>
        <color rgb="FF434343"/>
        <sz val="8.0"/>
      </rPr>
      <t xml:space="preserve">Garantir o correto funcionamento dos aplicativos após a limpeza de cache nos aparelhos informados.
</t>
    </r>
    <r>
      <rPr>
        <rFont val="Calibri"/>
        <b/>
        <color rgb="FF434343"/>
        <sz val="8.0"/>
      </rPr>
      <t xml:space="preserve">Observação:
</t>
    </r>
    <r>
      <rPr>
        <rFont val="Calibri"/>
        <color rgb="FF434343"/>
        <sz val="8.0"/>
      </rPr>
      <t>Após a limpeza, validar com os motoristas se o funcionamento foi normalizado.</t>
    </r>
  </si>
  <si>
    <t>O cache dos aparelhos dos motoristas já foi limpo/liberado.</t>
  </si>
  <si>
    <t>TSV QUG4E93 7351</t>
  </si>
  <si>
    <t>2026000262</t>
  </si>
  <si>
    <t>Bruno Facss - Lucio Caldeira</t>
  </si>
  <si>
    <t>INCIDENTE CRÍTICO</t>
  </si>
  <si>
    <t>TSV TCI3J38 9241</t>
  </si>
  <si>
    <r>
      <rPr>
        <rFont val="Calibri"/>
        <b/>
        <color rgb="FF434343"/>
        <sz val="8.0"/>
      </rPr>
      <t xml:space="preserve">Solicitação:
</t>
    </r>
    <r>
      <rPr>
        <rFont val="Calibri"/>
        <color rgb="FF434343"/>
        <sz val="8.0"/>
      </rPr>
      <t xml:space="preserve">Verificar possível interrupção na marcação de jornada no ambiente da operação Aperam.
</t>
    </r>
    <r>
      <rPr>
        <rFont val="Calibri"/>
        <b/>
        <color rgb="FF434343"/>
        <sz val="8.0"/>
      </rPr>
      <t xml:space="preserve">Problema:
</t>
    </r>
    <r>
      <rPr>
        <rFont val="Calibri"/>
        <color rgb="FF434343"/>
        <sz val="8.0"/>
      </rPr>
      <t xml:space="preserve">No mês de abril de 2026, as jornadas dos motoristas foram registradas apenas no dia 01/04/2026, não havendo novas marcações após essa data.
</t>
    </r>
    <r>
      <rPr>
        <rFont val="Calibri"/>
        <b/>
        <color rgb="FF434343"/>
        <sz val="8.0"/>
      </rPr>
      <t xml:space="preserve">Verificação:
</t>
    </r>
    <r>
      <rPr>
        <rFont val="Calibri"/>
        <color rgb="FF434343"/>
        <sz val="8.0"/>
      </rPr>
      <t xml:space="preserve">Comportamento semelhante a ocorrência anterior, indicando que a rotina de marcação de jornada pode ter parado novamente.
</t>
    </r>
    <r>
      <rPr>
        <rFont val="Calibri"/>
        <b/>
        <color rgb="FF434343"/>
        <sz val="8.0"/>
      </rPr>
      <t xml:space="preserve">Impacto:
</t>
    </r>
    <r>
      <rPr>
        <rFont val="Calibri"/>
        <color rgb="FF434343"/>
        <sz val="8.0"/>
      </rPr>
      <t xml:space="preserve">A ausência de registros de jornada compromete o acompanhamento operacional, controle de atividades e indicadores dos motoristas.
</t>
    </r>
    <r>
      <rPr>
        <rFont val="Calibri"/>
        <b/>
        <color rgb="FF434343"/>
        <sz val="8.0"/>
      </rPr>
      <t xml:space="preserve">Objetivo:
</t>
    </r>
    <r>
      <rPr>
        <rFont val="Calibri"/>
        <color rgb="FF434343"/>
        <sz val="8.0"/>
      </rPr>
      <t xml:space="preserve">Identificar a causa da interrupção na geração das jornadas e restabelecer o funcionamento contínuo do registro.
</t>
    </r>
    <r>
      <rPr>
        <rFont val="Calibri"/>
        <b/>
        <color rgb="FF434343"/>
        <sz val="8.0"/>
      </rPr>
      <t xml:space="preserve">Observação:
</t>
    </r>
    <r>
      <rPr>
        <rFont val="Calibri"/>
        <color rgb="FF434343"/>
        <sz val="8.0"/>
      </rPr>
      <t>Necessário validar serviços/processos responsáveis pela geração de jornada e possíveis falhas recorrentes no ambiente da operação.</t>
    </r>
  </si>
  <si>
    <t xml:space="preserve">Após análise do Daniel Lucas, constatou que não está funcionando funcionando porque o nosso acesso a api, por meio do login "integracaofaccs@aiko.digital" não está conseguindo logar. Está dando erro de usuário ou senha inválidos.
É preciso que o pessoal de lá verifique se nosso usuário expirou e liberar o acesso a ele novamente ou se for uma nova senha, disponibilizar ela pra ser atualizada aqui.
Erro:
s:Client - Username or password invalid 
</t>
  </si>
  <si>
    <t>TSV TDW3F28 8575</t>
  </si>
  <si>
    <t>CLIENTE RELATOU QUE FOI PROMETIDO "RASTREIO"</t>
  </si>
  <si>
    <t>TSV TDW3F58 1395</t>
  </si>
  <si>
    <r>
      <rPr>
        <rFont val="Calibri"/>
        <b/>
        <color rgb="FF434343"/>
        <sz val="8.0"/>
      </rPr>
      <t xml:space="preserve">Solicitação:
</t>
    </r>
    <r>
      <rPr>
        <rFont val="Calibri"/>
        <color rgb="FF434343"/>
        <sz val="8.0"/>
      </rPr>
      <t xml:space="preserve">Remover o arredondamento dos dados exibidos no App do Condutor.
</t>
    </r>
    <r>
      <rPr>
        <rFont val="Calibri"/>
        <b/>
        <color rgb="FF434343"/>
        <sz val="8.0"/>
      </rPr>
      <t xml:space="preserve">Problema:
</t>
    </r>
    <r>
      <rPr>
        <rFont val="Calibri"/>
        <color rgb="FF434343"/>
        <sz val="8.0"/>
      </rPr>
      <t xml:space="preserve">Atualmente, os dados apresentados no aplicativo estão sendo exibidos com arredondamento, o que pode gerar divergências em relação aos valores reais.
</t>
    </r>
    <r>
      <rPr>
        <rFont val="Calibri"/>
        <b/>
        <color rgb="FF434343"/>
        <sz val="8.0"/>
      </rPr>
      <t xml:space="preserve">Necessidade:
</t>
    </r>
    <r>
      <rPr>
        <rFont val="Calibri"/>
        <color rgb="FF434343"/>
        <sz val="8.0"/>
      </rPr>
      <t xml:space="preserve">Exibir os dados com maior precisão, sem arredondamentos, garantindo fidelidade às informações coletadas.
</t>
    </r>
    <r>
      <rPr>
        <rFont val="Calibri"/>
        <b/>
        <color rgb="FF434343"/>
        <sz val="8.0"/>
      </rPr>
      <t xml:space="preserve">Impacto:
</t>
    </r>
    <r>
      <rPr>
        <rFont val="Calibri"/>
        <color rgb="FF434343"/>
        <sz val="8.0"/>
      </rPr>
      <t xml:space="preserve">O arredondamento pode comprometer a análise detalhada da performance e gerar inconsistências na comparação com relatórios e outros sistemas.
</t>
    </r>
    <r>
      <rPr>
        <rFont val="Calibri"/>
        <b/>
        <color rgb="FF434343"/>
        <sz val="8.0"/>
      </rPr>
      <t xml:space="preserve">Objetivo:
</t>
    </r>
    <r>
      <rPr>
        <rFont val="Calibri"/>
        <color rgb="FF434343"/>
        <sz val="8.0"/>
      </rPr>
      <t xml:space="preserve">Ajustar a exibição dos dados no App do Condutor para apresentar valores exatos, sem aplicação de arredondamento.
</t>
    </r>
    <r>
      <rPr>
        <rFont val="Calibri"/>
        <b/>
        <color rgb="FF434343"/>
        <sz val="8.0"/>
      </rPr>
      <t xml:space="preserve">Observação:
</t>
    </r>
    <r>
      <rPr>
        <rFont val="Calibri"/>
        <color rgb="FF434343"/>
        <sz val="8.0"/>
      </rPr>
      <t>Validar padrão de casas decimais a ser utilizado, garantindo consistência visual e técnica entre os sistemas.</t>
    </r>
  </si>
  <si>
    <t xml:space="preserve">Ja esta em produção </t>
  </si>
  <si>
    <t>TSV SYT9D24 5852</t>
  </si>
  <si>
    <t>Gabriel Silva</t>
  </si>
  <si>
    <t>31 97144-5211</t>
  </si>
  <si>
    <t>TSV RVD3D63 2700</t>
  </si>
  <si>
    <r>
      <rPr>
        <rFont val="Calibri"/>
        <b/>
        <color rgb="FF434343"/>
        <sz val="8.0"/>
      </rPr>
      <t xml:space="preserve">Solicitação:
</t>
    </r>
    <r>
      <rPr>
        <rFont val="Calibri"/>
        <color rgb="FF434343"/>
        <sz val="8.0"/>
      </rPr>
      <t xml:space="preserve">Padronizar a troca automática de motorista para toda a operação.
</t>
    </r>
    <r>
      <rPr>
        <rFont val="Calibri"/>
        <b/>
        <color rgb="FF434343"/>
        <sz val="8.0"/>
      </rPr>
      <t xml:space="preserve">Problema:
</t>
    </r>
    <r>
      <rPr>
        <rFont val="Calibri"/>
        <color rgb="FF434343"/>
        <sz val="8.0"/>
      </rPr>
      <t xml:space="preserve">Atualmente, a troca de motorista é realizada de forma manual, o que pode gerar inconsistências e falhas no vínculo entre motorista e veículo.
</t>
    </r>
    <r>
      <rPr>
        <rFont val="Calibri"/>
        <b/>
        <color rgb="FF434343"/>
        <sz val="8.0"/>
      </rPr>
      <t xml:space="preserve">Necessidade:
</t>
    </r>
    <r>
      <rPr>
        <rFont val="Calibri"/>
        <color rgb="FF434343"/>
        <sz val="8.0"/>
      </rPr>
      <t xml:space="preserve">Implementar a troca automática de motorista, garantindo que o vínculo seja atualizado de forma correta e em tempo real, sem necessidade de intervenção manual.
</t>
    </r>
    <r>
      <rPr>
        <rFont val="Calibri"/>
        <b/>
        <color rgb="FF434343"/>
        <sz val="8.0"/>
      </rPr>
      <t xml:space="preserve">Impacto:
</t>
    </r>
    <r>
      <rPr>
        <rFont val="Calibri"/>
        <color rgb="FF434343"/>
        <sz val="8.0"/>
      </rPr>
      <t xml:space="preserve">O processo manual pode ocasionar erros de associação, impactando diretamente na geração de jornada, condução inteligente e performance dos motoristas.
</t>
    </r>
    <r>
      <rPr>
        <rFont val="Calibri"/>
        <b/>
        <color rgb="FF434343"/>
        <sz val="8.0"/>
      </rPr>
      <t xml:space="preserve">Objetivo:
</t>
    </r>
    <r>
      <rPr>
        <rFont val="Calibri"/>
        <color rgb="FF434343"/>
        <sz val="8.0"/>
      </rPr>
      <t xml:space="preserve">Automatizar e padronizar o processo de troca de motorista em toda a operação, assegurando maior confiabilidade e eficiência nos dados.
</t>
    </r>
    <r>
      <rPr>
        <rFont val="Calibri"/>
        <b/>
        <color rgb="FF434343"/>
        <sz val="8.0"/>
      </rPr>
      <t xml:space="preserve">Observação:
</t>
    </r>
    <r>
      <rPr>
        <rFont val="Calibri"/>
        <color rgb="FF434343"/>
        <sz val="8.0"/>
      </rPr>
      <t>Necessário validar regras de negócio para a troca automática e garantir que não haja impacto negativo nas operações já existentes.</t>
    </r>
  </si>
  <si>
    <r>
      <rPr>
        <rFont val="Calibri"/>
        <b/>
        <color rgb="FF434343"/>
        <sz val="8.0"/>
      </rPr>
      <t>08/04 -</t>
    </r>
    <r>
      <rPr>
        <rFont val="Calibri"/>
        <color rgb="FF434343"/>
        <sz val="8.0"/>
      </rPr>
      <t xml:space="preserve"> Aguardando o aceite do Matheus no email de solicitação da padronização da troca automática.
</t>
    </r>
    <r>
      <rPr>
        <rFont val="Calibri"/>
        <b/>
        <color rgb="FF434343"/>
        <sz val="8.0"/>
      </rPr>
      <t xml:space="preserve">13/04 - </t>
    </r>
    <r>
      <rPr>
        <rFont val="Calibri"/>
        <color rgb="FF434343"/>
        <sz val="8.0"/>
      </rPr>
      <t xml:space="preserve">Matheus deu aceite no email. Está na esteira para atualizar a regra.
</t>
    </r>
  </si>
  <si>
    <t>TSV RUQ3D19 8367</t>
  </si>
  <si>
    <t>CLIENTE RELATOU QUE FOI PROMETIDO "CARTÃO"</t>
  </si>
  <si>
    <r>
      <rPr>
        <rFont val="Calibri"/>
        <b/>
        <color rgb="FF434343"/>
        <sz val="8.0"/>
      </rPr>
      <t xml:space="preserve">Solicitação:
</t>
    </r>
    <r>
      <rPr>
        <rFont val="Calibri"/>
        <color rgb="FF434343"/>
        <sz val="8.0"/>
      </rPr>
      <t xml:space="preserve">Verificar ausência de dados de telemetria (condução) para o veículo RIZ7J75, vinculado aos motoristas Silvio José Matos e Lázaro de Assis.
</t>
    </r>
    <r>
      <rPr>
        <rFont val="Calibri"/>
        <b/>
        <color rgb="FF434343"/>
        <sz val="8.0"/>
      </rPr>
      <t xml:space="preserve">Problema:
</t>
    </r>
    <r>
      <rPr>
        <rFont val="Calibri"/>
        <color rgb="FF434343"/>
        <sz val="8.0"/>
      </rPr>
      <t xml:space="preserve">O veículo não está reportando dados de condução após troca de turno entre os motoristas.
</t>
    </r>
    <r>
      <rPr>
        <rFont val="Calibri"/>
        <b/>
        <color rgb="FF434343"/>
        <sz val="8.0"/>
      </rPr>
      <t xml:space="preserve">Verificação:
</t>
    </r>
    <r>
      <rPr>
        <rFont val="Calibri"/>
        <color rgb="FF434343"/>
        <sz val="8.0"/>
      </rPr>
      <t xml:space="preserve">Ao consultar no App Lenarge, foi identificado que o último envio de dados ocorreu no dia 10/03/2026, não havendo novos registros após essa data.
</t>
    </r>
    <r>
      <rPr>
        <rFont val="Calibri"/>
        <b/>
        <color rgb="FF434343"/>
        <sz val="8.0"/>
      </rPr>
      <t xml:space="preserve">Ação Realizada:
</t>
    </r>
    <r>
      <rPr>
        <rFont val="Calibri"/>
        <color rgb="FF434343"/>
        <sz val="8.0"/>
      </rPr>
      <t xml:space="preserve">Foi enviada configuração remota para o módulo, com o objetivo de restabelecer o envio de dados.
</t>
    </r>
    <r>
      <rPr>
        <rFont val="Calibri"/>
        <b/>
        <color rgb="FF434343"/>
        <sz val="8.0"/>
      </rPr>
      <t xml:space="preserve">Impacto:
</t>
    </r>
    <r>
      <rPr>
        <rFont val="Calibri"/>
        <color rgb="FF434343"/>
        <sz val="8.0"/>
      </rPr>
      <t xml:space="preserve">A ausência de dados de telemetria compromete a geração de condução inteligente e a análise de performance dos motoristas.
</t>
    </r>
    <r>
      <rPr>
        <rFont val="Calibri"/>
        <b/>
        <color rgb="FF434343"/>
        <sz val="8.0"/>
      </rPr>
      <t xml:space="preserve">Objetivo:
</t>
    </r>
    <r>
      <rPr>
        <rFont val="Calibri"/>
        <color rgb="FF434343"/>
        <sz val="8.0"/>
      </rPr>
      <t xml:space="preserve">Identificar a causa da interrupção no envio de dados de telemetria e normalizar a comunicação do módulo.
</t>
    </r>
    <r>
      <rPr>
        <rFont val="Calibri"/>
        <b/>
        <color rgb="FF434343"/>
        <sz val="8.0"/>
      </rPr>
      <t xml:space="preserve">Observação:
</t>
    </r>
    <r>
      <rPr>
        <rFont val="Calibri"/>
        <color rgb="FF434343"/>
        <sz val="8.0"/>
      </rPr>
      <t>Necessário acompanhar retorno após envio da configuração remota e validar possível falha relacionada à troca de turno ou comunicação do módulo.</t>
    </r>
  </si>
  <si>
    <t>RIZ7J75</t>
  </si>
  <si>
    <t>O Modulo esta reportantando mas não esta vindo as IO's favor enviar uma nova config ou trocar o modulo.</t>
  </si>
  <si>
    <t>TSV RNQ0I03 1462</t>
  </si>
  <si>
    <t>Solicitação:
Verificar impossibilidade de cadastro/utilização de máquinas no App Lenarge, com o objetivo de realizar o controle operacional via sistema.
Problema:
Atualmente, não está sendo possível utilizar máquinas no App Lenarge, o que obriga o controle a ser realizado por planilhas.
Contexto:
Será utilizada uma máquina de teste (CAT10) para validação do processo.
Conforme evidência enviada, o cadastro da máquina já existe no sistema, porém não está refletindo corretamente no aplicativo.
Verificação:
Indício de que, mesmo com o cadastro realizado (tipo Máquina/Trator), o veículo não está sendo reconhecido ou disponibilizado no app para operação.
Impacto:
A impossibilidade de utilizar o app para máquinas compromete a padronização do processo e dificulta o controle operacional, mantendo dependência de controles paralelos (planilhas).
Objetivo:
Habilitar corretamente o uso de máquinas no App Lenarge, garantindo que os cadastros existentes sejam reconhecidos e operacionais no aplicativo.
Observação:
Necessário validar parametrizações específicas para tipo de veículo (máquina), vínculos, permissões e possíveis restrições do app para esse tipo de cadastro.</t>
  </si>
  <si>
    <r>
      <rPr>
        <rFont val="Calibri"/>
        <color rgb="FF434343"/>
        <sz val="8.0"/>
      </rPr>
      <t xml:space="preserve">08/04 - Em tratativa com o Walker, buscando a alternativa para cadastro de veículo do tipo trator.
</t>
    </r>
    <r>
      <rPr>
        <rFont val="Calibri"/>
        <b/>
        <color rgb="FF434343"/>
        <sz val="8.0"/>
      </rPr>
      <t xml:space="preserve">20/04 - </t>
    </r>
    <r>
      <rPr>
        <rFont val="Calibri"/>
        <color rgb="FF434343"/>
        <sz val="8.0"/>
      </rPr>
      <t>Demanda será tratada no backlog de desenvolvimento Lenarge.</t>
    </r>
  </si>
  <si>
    <t>JAF RTD2D68 3061</t>
  </si>
  <si>
    <t>(31) 99762-0122</t>
  </si>
  <si>
    <t>Nenhum módulo da empresa está reportando</t>
  </si>
  <si>
    <t>RTW7H74, TDF6B12, TDF6B14, TDF6B20 e TDF7G64</t>
  </si>
  <si>
    <t>TSV RJK9H55 3371</t>
  </si>
  <si>
    <t>VERIFICAR DESATIVAÇÃO DOS ACESSOS AO NOSSO SISTEMA</t>
  </si>
  <si>
    <t>Os módulos foram retirados do caminhão pela própria empresa.</t>
  </si>
  <si>
    <t>TSV RTL6B22 4971</t>
  </si>
  <si>
    <t>Módulo não está reportando</t>
  </si>
  <si>
    <t>Enviei a config remota</t>
  </si>
  <si>
    <t>TSV LUH7D72 1348</t>
  </si>
  <si>
    <t>TSV RTD4B49 8624</t>
  </si>
  <si>
    <t>MUDAR A PARAMETRIZAÇÃO DE PREMIAÇÃO NO SISTEMA</t>
  </si>
  <si>
    <t>GBR0A93</t>
  </si>
  <si>
    <t>TSV LMZ0D66 9730</t>
  </si>
  <si>
    <t>QQM6C93</t>
  </si>
  <si>
    <t>TSV RNK4G36 2446</t>
  </si>
  <si>
    <t>2026000263</t>
  </si>
  <si>
    <t>TSV RTD4B53 8687</t>
  </si>
  <si>
    <t>TED6G08</t>
  </si>
  <si>
    <t>TSV RTO7B33 9558</t>
  </si>
  <si>
    <t>2026000264</t>
  </si>
  <si>
    <t>TREINAMENTO DE RECICLAGEM TELEMETRIA II</t>
  </si>
  <si>
    <t>TSV RQQ9B48 3533</t>
  </si>
  <si>
    <t>SJI3A97</t>
  </si>
  <si>
    <t>TSV RVG1H79 1957</t>
  </si>
  <si>
    <t>2026000265</t>
  </si>
  <si>
    <t>TSV RHN7D46 6067</t>
  </si>
  <si>
    <t>QQP7169</t>
  </si>
  <si>
    <t>TSV RVD3D62 8061</t>
  </si>
  <si>
    <t>2026000266</t>
  </si>
  <si>
    <t>LNR TUD2J30 3586</t>
  </si>
  <si>
    <t>Módulos não estão reportando</t>
  </si>
  <si>
    <t>SVX8F93 e QWZ5F69</t>
  </si>
  <si>
    <t>LNR RIZ7J77 3814</t>
  </si>
  <si>
    <t>2026000267</t>
  </si>
  <si>
    <t>FH 540 6X2T</t>
  </si>
  <si>
    <t>TRN RVA5A92 4063</t>
  </si>
  <si>
    <t>Módulos não estão reportando e os caminhões estão rodando normalmente.</t>
  </si>
  <si>
    <t>RFC9A54, RND2F57 e SWJ2H84</t>
  </si>
  <si>
    <t>Desvinculado 10/08</t>
  </si>
  <si>
    <t>2026000268</t>
  </si>
  <si>
    <t>3199959-3176</t>
  </si>
  <si>
    <t>TRN TCA4G94 3764</t>
  </si>
  <si>
    <t>R540 A6X4</t>
  </si>
  <si>
    <t>Solicitação:
Verificar inconsistência de dados exibidos no sistema para o veículo RJW8E87.
Problema:
O valor de KM rodado apresentado no sistema está incorreto, além de outras inconsistências nos indicadores de condução e métricas operacionais.
Verificação:
Conforme evidência enviada, foram identificados valores atípicos, como:
Inércia: 22,3%
Marcha lenta: 85,2%
KM/L: 4979,80 (valor inconsistente)
KM rodados: 143.961 (valor incorreto)
Litros: 28,9
Os dados indicam possível erro de cálculo, processamento ou integração.
Impacto:
A inconsistência compromete a confiabilidade das informações, impactando análises de performance, consumo e tomada de decisão.
Objetivo:
Identificar a origem do erro no cálculo de KM rodado e corrigir o processamento dos dados no sistema.
Observação:
Necessário validar regras de cálculo, integração dos dados e possíveis duplicidades ou falhas na base.</t>
  </si>
  <si>
    <t>RJW8E87</t>
  </si>
  <si>
    <t>Foi um erro eviado do motdulo, ja foi resolvido. No aplicativo ja esta normalizado qualquer duvida so me chamar.</t>
  </si>
  <si>
    <t>TRN RNY6H84 9183</t>
  </si>
  <si>
    <t>2026000269</t>
  </si>
  <si>
    <t>TRN TXL6J87 0068</t>
  </si>
  <si>
    <t>Solicitação:
Remover a tolerância de velocidade para toda a operação a partir de 13/04/2026.
Problema:
Atualmente existe tolerância nas faixas de velocidade, permitindo pequenas variações sem geração de evento.
Necessidade:
A partir da data informada, qualquer excesso de velocidade deve ser considerado desvio, sem aplicação de tolerância.
Exemplo: para limite de 80 km/h, ao atingir 81 km/h já deve ser contabilizado como evento (pontuação).
Impacto:
A manutenção da tolerância pode gerar distorções na análise de condução e reduzir a efetividade do controle de velocidade.
Objetivo:
Ajustar as regras de condução para eliminar a tolerância de velocidade, garantindo maior rigor e precisão na contabilização dos desvios.
Observação:
Validar se a alteração será aplicada de forma global e se não impactará regras específicas já configuradas em determinadas operações.</t>
  </si>
  <si>
    <t>REUNIÃO - CÁLCULO DO EXCESSO DE RPM NÃO ESTÁ EQUIVALENTE</t>
  </si>
  <si>
    <r>
      <rPr>
        <rFont val="Calibri"/>
        <b/>
        <color rgb="FF434343"/>
        <sz val="8.0"/>
      </rPr>
      <t xml:space="preserve">13/04 - </t>
    </r>
    <r>
      <rPr>
        <rFont val="Calibri"/>
        <color rgb="FF434343"/>
        <sz val="8.0"/>
      </rPr>
      <t>Alteração realizada</t>
    </r>
  </si>
  <si>
    <t>TRN RNY9H30 3990</t>
  </si>
  <si>
    <t>2026000270</t>
  </si>
  <si>
    <t>TRN HIV3G11 1085</t>
  </si>
  <si>
    <t>XF FTT 530</t>
  </si>
  <si>
    <t xml:space="preserve">Juliana </t>
  </si>
  <si>
    <t>Instalar o app Rodopar Mobile em todos os celulares corporaivos</t>
  </si>
  <si>
    <t>1404/2026</t>
  </si>
  <si>
    <t>TRN RVZ8D00 3889</t>
  </si>
  <si>
    <t>App foi instalado via Knox</t>
  </si>
  <si>
    <t>2026000271</t>
  </si>
  <si>
    <t>REUNIÃO - CÁLCULO DA MARCHA LENTA NÃO ESTÁ EQUIVALENTE</t>
  </si>
  <si>
    <t>TRN RTJ4G46 7406</t>
  </si>
  <si>
    <t>Solicitação:
Realizar a subida da placa RVW5E97, para o novo telemetria. Empresa Sempre Volta</t>
  </si>
  <si>
    <t>RVW5E97</t>
  </si>
  <si>
    <t>HRT TWY8C10 6309</t>
  </si>
  <si>
    <t>O veiculo estava vinculado para outra empresa, ja foi vinculado a certa e esta em prdução.</t>
  </si>
  <si>
    <t>HRT SHC9E78 5674</t>
  </si>
  <si>
    <t>2026000272</t>
  </si>
  <si>
    <t>Arthur
Bruno - Facss</t>
  </si>
  <si>
    <t>HRT TWY5F58 6813</t>
  </si>
  <si>
    <t>REUNIÃO - LITRAGEM DE ALGUNS CAMINHÕES NÃO ESTÁ CONDIZENTE</t>
  </si>
  <si>
    <t>LNR RKQ4G23 0346</t>
  </si>
  <si>
    <t>PTNR QAZ6A99 6524</t>
  </si>
  <si>
    <r>
      <rPr>
        <rFont val="Calibri"/>
        <b/>
        <color rgb="FF434343"/>
        <sz val="8.0"/>
      </rPr>
      <t>Solicitação:</t>
    </r>
    <r>
      <rPr>
        <rFont val="Calibri"/>
        <color rgb="FF434343"/>
        <sz val="8.0"/>
      </rPr>
      <t xml:space="preserve">
Verificar inconsistência na classificação de desempenho exibida no calendário do App do Motorista no sistema de nova telemetria.
</t>
    </r>
    <r>
      <rPr>
        <rFont val="Calibri"/>
        <b/>
        <color rgb="FF434343"/>
        <sz val="8.0"/>
      </rPr>
      <t>Problema:</t>
    </r>
    <r>
      <rPr>
        <rFont val="Calibri"/>
        <color rgb="FF434343"/>
        <sz val="8.0"/>
      </rPr>
      <t xml:space="preserve">
Conforme descrição do calendário, as cores indicam o desempenho do motorista (verde claro = excelente, verde escuro = bom, rosa = ruim, vermelho = péssimo).
Entretanto, o aplicativo não está apresentando essa lógica corretamente.
</t>
    </r>
    <r>
      <rPr>
        <rFont val="Calibri"/>
        <b/>
        <color rgb="FF434343"/>
        <sz val="8.0"/>
      </rPr>
      <t xml:space="preserve">
Verificação:</t>
    </r>
    <r>
      <rPr>
        <rFont val="Calibri"/>
        <color rgb="FF434343"/>
        <sz val="8.0"/>
      </rPr>
      <t xml:space="preserve">
Mesmo com indicadores de condução classificados como ruins (ex.: perda de torque e inércia elevados), o calendário está exibindo os dias como boa condução (verde escuro).
</t>
    </r>
    <r>
      <rPr>
        <rFont val="Calibri"/>
        <b/>
        <color rgb="FF434343"/>
        <sz val="8.0"/>
      </rPr>
      <t xml:space="preserve">
Dados da ocorrência:</t>
    </r>
    <r>
      <rPr>
        <rFont val="Calibri"/>
        <color rgb="FF434343"/>
        <sz val="8.0"/>
      </rPr>
      <t xml:space="preserve">
Placa: PYU9123
Motorista: Arthur Zucconi
Período: Todos os dias do mês analisado apresentam inconsistência
</t>
    </r>
    <r>
      <rPr>
        <rFont val="Calibri"/>
        <b/>
        <color rgb="FF434343"/>
        <sz val="8.0"/>
      </rPr>
      <t>Ação Realizada:</t>
    </r>
    <r>
      <rPr>
        <rFont val="Calibri"/>
        <color rgb="FF434343"/>
        <sz val="8.0"/>
      </rPr>
      <t xml:space="preserve">
Foi enviada configuração remota para o módulo, visando normalizar o envio e processamento dos dados.
</t>
    </r>
    <r>
      <rPr>
        <rFont val="Calibri"/>
        <b/>
        <color rgb="FF434343"/>
        <sz val="8.0"/>
      </rPr>
      <t>Impacto:</t>
    </r>
    <r>
      <rPr>
        <rFont val="Calibri"/>
        <color rgb="FF434343"/>
        <sz val="8.0"/>
      </rPr>
      <t xml:space="preserve">
A divergência na classificação compromete a confiabilidade da análise de desempenho do motorista e pode gerar interpretações incorretas dos dados.
</t>
    </r>
    <r>
      <rPr>
        <rFont val="Calibri"/>
        <b/>
        <color rgb="FF434343"/>
        <sz val="8.0"/>
      </rPr>
      <t xml:space="preserve">
Objetivo:</t>
    </r>
    <r>
      <rPr>
        <rFont val="Calibri"/>
        <color rgb="FF434343"/>
        <sz val="8.0"/>
      </rPr>
      <t xml:space="preserve">
Ajustar a lógica de classificação do calendário para que as cores reflitam corretamente os indicadores de condução.
</t>
    </r>
    <r>
      <rPr>
        <rFont val="Calibri"/>
        <b/>
        <color rgb="FF434343"/>
        <sz val="8.0"/>
      </rPr>
      <t>Observação:</t>
    </r>
    <r>
      <rPr>
        <rFont val="Calibri"/>
        <color rgb="FF434343"/>
        <sz val="8.0"/>
      </rPr>
      <t xml:space="preserve">
Necessário validar regra de cálculo/ponderação dos indicadores (torque, inércia, etc.) e sua conversão para as cores exibidas no calendário.
Verificar inconsistência na classificação de desempenho exibida no calendário do App do Motorista no sistema de nova telemetria.
</t>
    </r>
    <r>
      <rPr>
        <rFont val="Calibri"/>
        <b/>
        <color rgb="FF434343"/>
        <sz val="8.0"/>
      </rPr>
      <t xml:space="preserve">
Problema:</t>
    </r>
    <r>
      <rPr>
        <rFont val="Calibri"/>
        <color rgb="FF434343"/>
        <sz val="8.0"/>
      </rPr>
      <t xml:space="preserve">
Conforme descrição do calendário, as cores indicam o desempenho do motorista (verde claro = excelente, verde escuro = bom, rosa = ruim, vermelho = péssimo).
Entretanto, o aplicativo não está apresentando essa lógica corretamente.
</t>
    </r>
    <r>
      <rPr>
        <rFont val="Calibri"/>
        <b/>
        <color rgb="FF434343"/>
        <sz val="8.0"/>
      </rPr>
      <t>Verificação:</t>
    </r>
    <r>
      <rPr>
        <rFont val="Calibri"/>
        <color rgb="FF434343"/>
        <sz val="8.0"/>
      </rPr>
      <t xml:space="preserve">
Mesmo com indicadores de condução classificados como ruins (ex.: perda de torque e inércia elevados), o calendário está exibindo os dias como boa condução (verde escuro).
</t>
    </r>
    <r>
      <rPr>
        <rFont val="Calibri"/>
        <b/>
        <color rgb="FF434343"/>
        <sz val="8.0"/>
      </rPr>
      <t>Dados da ocorrência:</t>
    </r>
    <r>
      <rPr>
        <rFont val="Calibri"/>
        <color rgb="FF434343"/>
        <sz val="8.0"/>
      </rPr>
      <t xml:space="preserve">
Placa: PYU9123
Motorista: Arthur Zucconi
Período: Todos os dias do mês analisado apresentam inconsistência
</t>
    </r>
    <r>
      <rPr>
        <rFont val="Calibri"/>
        <b/>
        <color rgb="FF434343"/>
        <sz val="8.0"/>
      </rPr>
      <t>Impacto:</t>
    </r>
    <r>
      <rPr>
        <rFont val="Calibri"/>
        <color rgb="FF434343"/>
        <sz val="8.0"/>
      </rPr>
      <t xml:space="preserve">
A divergência na classificação compromete a confiabilidade da análise de desempenho do motorista e pode gerar interpretações incorretas dos dados.
</t>
    </r>
    <r>
      <rPr>
        <rFont val="Calibri"/>
        <b/>
        <color rgb="FF434343"/>
        <sz val="8.0"/>
      </rPr>
      <t xml:space="preserve">
Objetivo:</t>
    </r>
    <r>
      <rPr>
        <rFont val="Calibri"/>
        <color rgb="FF434343"/>
        <sz val="8.0"/>
      </rPr>
      <t xml:space="preserve">
Ajustar a lógica de classificação do calendário para que as cores reflitam corretamente os indicadores de condução.
</t>
    </r>
    <r>
      <rPr>
        <rFont val="Calibri"/>
        <b/>
        <color rgb="FF434343"/>
        <sz val="8.0"/>
      </rPr>
      <t xml:space="preserve">
Observação:</t>
    </r>
    <r>
      <rPr>
        <rFont val="Calibri"/>
        <color rgb="FF434343"/>
        <sz val="8.0"/>
      </rPr>
      <t xml:space="preserve">
Necessário validar regra de cálculo/ponderação dos indicadores (torque, inércia, etc.) e sua conversão para as cores exibidas no calendário.</t>
    </r>
  </si>
  <si>
    <t>PYU9123</t>
  </si>
  <si>
    <t>PTNR OXK2C71 7380</t>
  </si>
  <si>
    <t xml:space="preserve">O Aplicativo esta sim na forma correta, hoje não temos parametros para bom ou ruim pois isso depende da emprasa. Futuramente sera possivel definir isso. Regra atual  ≥ 400 km verde claro, ≥ 100 verde escuro, ≥ 50 rosa, &lt; 50 vermelho.
</t>
  </si>
  <si>
    <t>2026000273</t>
  </si>
  <si>
    <t>LNR SRM1C03 1875</t>
  </si>
  <si>
    <t xml:space="preserve">Yuri </t>
  </si>
  <si>
    <t>LNR SGD6C23 2553</t>
  </si>
  <si>
    <r>
      <rPr>
        <rFont val="Calibri"/>
        <b/>
        <color rgb="FF434343"/>
        <sz val="8.0"/>
      </rPr>
      <t xml:space="preserve">Solicitação:
</t>
    </r>
    <r>
      <rPr>
        <rFont val="Calibri"/>
        <color rgb="FF434343"/>
        <sz val="8.0"/>
      </rPr>
      <t xml:space="preserve">Verificar inconsistência no KM do veículo TTF4A67.
</t>
    </r>
    <r>
      <rPr>
        <rFont val="Calibri"/>
        <b/>
        <color rgb="FF434343"/>
        <sz val="8.0"/>
      </rPr>
      <t xml:space="preserve">Problema:
</t>
    </r>
    <r>
      <rPr>
        <rFont val="Calibri"/>
        <color rgb="FF434343"/>
        <sz val="8.0"/>
      </rPr>
      <t xml:space="preserve">O sistema está apresentando instabilidade na leitura do KM, onde em diversos momentos o valor exibido está incorreto, aparentando “comer” o último dígito.
</t>
    </r>
    <r>
      <rPr>
        <rFont val="Calibri"/>
        <b/>
        <color rgb="FF434343"/>
        <sz val="8.0"/>
      </rPr>
      <t xml:space="preserve">Verificação:
</t>
    </r>
    <r>
      <rPr>
        <rFont val="Calibri"/>
        <color rgb="FF434343"/>
        <sz val="8.0"/>
      </rPr>
      <t xml:space="preserve">A anomalia foi identificada no dia de hoje, indicando possível falha pontual ou recente no processamento ou leitura dos dados de odômetro.
</t>
    </r>
    <r>
      <rPr>
        <rFont val="Calibri"/>
        <b/>
        <color rgb="FF434343"/>
        <sz val="8.0"/>
      </rPr>
      <t xml:space="preserve">Ação Realizada:
</t>
    </r>
    <r>
      <rPr>
        <rFont val="Calibri"/>
        <color rgb="FF434343"/>
        <sz val="8.0"/>
      </rPr>
      <t xml:space="preserve">Foi enviada configuração remota para o módulo, visando normalizar o envio das informações.
</t>
    </r>
    <r>
      <rPr>
        <rFont val="Calibri"/>
        <b/>
        <color rgb="FF434343"/>
        <sz val="8.0"/>
      </rPr>
      <t xml:space="preserve">Impacto:
</t>
    </r>
    <r>
      <rPr>
        <rFont val="Calibri"/>
        <color rgb="FF434343"/>
        <sz val="8.0"/>
      </rPr>
      <t xml:space="preserve">A inconsistência no KM compromete a confiabilidade dos dados de deslocamento, impactando análises de performance e operação.
</t>
    </r>
    <r>
      <rPr>
        <rFont val="Calibri"/>
        <b/>
        <color rgb="FF434343"/>
        <sz val="8.0"/>
      </rPr>
      <t xml:space="preserve">Objetivo:
</t>
    </r>
    <r>
      <rPr>
        <rFont val="Calibri"/>
        <color rgb="FF434343"/>
        <sz val="8.0"/>
      </rPr>
      <t xml:space="preserve">Identificar a causa da instabilidade na leitura do KM e garantir a correta exibição dos valores no sistema.
</t>
    </r>
    <r>
      <rPr>
        <rFont val="Calibri"/>
        <b/>
        <color rgb="FF434343"/>
        <sz val="8.0"/>
      </rPr>
      <t xml:space="preserve">Observação:
</t>
    </r>
    <r>
      <rPr>
        <rFont val="Calibri"/>
        <color rgb="FF434343"/>
        <sz val="8.0"/>
      </rPr>
      <t>Necessário validar leitura do odômetro, processamento dos dados e possíveis falhas de integração ou formatação.</t>
    </r>
  </si>
  <si>
    <t>Ja foi solucionado, o veiculo esta com a quilometragem normal</t>
  </si>
  <si>
    <t>LNR RFZ4G85 8535</t>
  </si>
  <si>
    <t>JAF RLD3C42 8417</t>
  </si>
  <si>
    <r>
      <rPr>
        <rFont val="Calibri"/>
        <b/>
        <color rgb="FF434343"/>
        <sz val="8.0"/>
      </rPr>
      <t xml:space="preserve">Solicitação:
</t>
    </r>
    <r>
      <rPr>
        <rFont val="Calibri"/>
        <color rgb="FF434343"/>
        <sz val="8.0"/>
      </rPr>
      <t xml:space="preserve">Verificar falha de acesso do motorista no sistema de nova telemetria.
</t>
    </r>
    <r>
      <rPr>
        <rFont val="Calibri"/>
        <b/>
        <color rgb="FF434343"/>
        <sz val="8.0"/>
      </rPr>
      <t xml:space="preserve">Problema:
</t>
    </r>
    <r>
      <rPr>
        <rFont val="Calibri"/>
        <color rgb="FF434343"/>
        <sz val="8.0"/>
      </rPr>
      <t xml:space="preserve">O usuário do motorista não consegue realizar login no aplicativo.
</t>
    </r>
    <r>
      <rPr>
        <rFont val="Calibri"/>
        <b/>
        <color rgb="FF434343"/>
        <sz val="8.0"/>
      </rPr>
      <t xml:space="preserve">Dados:
</t>
    </r>
    <r>
      <rPr>
        <rFont val="Calibri"/>
        <color rgb="FF434343"/>
        <sz val="8.0"/>
      </rPr>
      <t xml:space="preserve">Placa: PYU9123
CPF: 132.542.216-99
</t>
    </r>
    <r>
      <rPr>
        <rFont val="Calibri"/>
        <b/>
        <color rgb="FF434343"/>
        <sz val="8.0"/>
      </rPr>
      <t xml:space="preserve">Verificação:
</t>
    </r>
    <r>
      <rPr>
        <rFont val="Calibri"/>
        <color rgb="FF434343"/>
        <sz val="8.0"/>
      </rPr>
      <t xml:space="preserve">Indício de possível falha de autenticação, vínculo de usuário ou inconsistência cadastral no sistema.
</t>
    </r>
    <r>
      <rPr>
        <rFont val="Calibri"/>
        <b/>
        <color rgb="FF434343"/>
        <sz val="8.0"/>
      </rPr>
      <t xml:space="preserve">Impacto:
</t>
    </r>
    <r>
      <rPr>
        <rFont val="Calibri"/>
        <color rgb="FF434343"/>
        <sz val="8.0"/>
      </rPr>
      <t xml:space="preserve">A impossibilidade de acesso impede o motorista de utilizar o aplicativo e acompanhar suas informações de condução e performance.
</t>
    </r>
    <r>
      <rPr>
        <rFont val="Calibri"/>
        <b/>
        <color rgb="FF434343"/>
        <sz val="8.0"/>
      </rPr>
      <t xml:space="preserve">Objetivo:
</t>
    </r>
    <r>
      <rPr>
        <rFont val="Calibri"/>
        <color rgb="FF434343"/>
        <sz val="8.0"/>
      </rPr>
      <t xml:space="preserve">Identificar a causa da falha de login e normalizar o acesso do usuário ao sistema.
</t>
    </r>
    <r>
      <rPr>
        <rFont val="Calibri"/>
        <b/>
        <color rgb="FF434343"/>
        <sz val="8.0"/>
      </rPr>
      <t xml:space="preserve">Observação:
</t>
    </r>
    <r>
      <rPr>
        <rFont val="Calibri"/>
        <color rgb="FF434343"/>
        <sz val="8.0"/>
      </rPr>
      <t>Necessário validar cadastro do motorista, vínculo com a placa e possíveis inconsistências no sistema de autenticação.</t>
    </r>
  </si>
  <si>
    <t>CONSERTAR DIVISÃO DE GRUPOS</t>
  </si>
  <si>
    <t>LNR RBG8H76 7255</t>
  </si>
  <si>
    <t xml:space="preserve">Ja estamos atuando e o problema ja foi indentificado. Ja esta funcionando </t>
  </si>
  <si>
    <t>5 meses sem comunicar</t>
  </si>
  <si>
    <t>2026000275</t>
  </si>
  <si>
    <t>LNR RKR7J32 5457</t>
  </si>
  <si>
    <t>Jorge</t>
  </si>
  <si>
    <t>erro na atualização dos postos credenciados</t>
  </si>
  <si>
    <t>enviado a config dia 14/11</t>
  </si>
  <si>
    <t>Falha EBS - 14/11/2025</t>
  </si>
  <si>
    <t>APR SJL1B05 2537</t>
  </si>
  <si>
    <t>DESCRIÇÃO DOS VÍDEOS PRODUZIDOS</t>
  </si>
  <si>
    <t>16/04 - Atulizado o processo de atuaalização do documento</t>
  </si>
  <si>
    <t>2026000276</t>
  </si>
  <si>
    <t>LNR  TELTONIKA 8795</t>
  </si>
  <si>
    <r>
      <rPr>
        <rFont val="Calibri"/>
        <b/>
        <color rgb="FF434343"/>
        <sz val="8.0"/>
      </rPr>
      <t xml:space="preserve">Solicitação:
</t>
    </r>
    <r>
      <rPr>
        <rFont val="Calibri"/>
        <color rgb="FF434343"/>
        <sz val="8.0"/>
      </rPr>
      <t xml:space="preserve">Verificar inconsistência entre registros de telemetria e ausência de performance do motorista José Geraldo Ferreira de Oliveira, vinculado ao veículo RIZ7J77.
</t>
    </r>
    <r>
      <rPr>
        <rFont val="Calibri"/>
        <b/>
        <color rgb="FF434343"/>
        <sz val="8.0"/>
      </rPr>
      <t xml:space="preserve">Problema:
</t>
    </r>
    <r>
      <rPr>
        <rFont val="Calibri"/>
        <color rgb="FF434343"/>
        <sz val="8.0"/>
      </rPr>
      <t xml:space="preserve">No relatório de telemetria do condutor constam 22 registros de excesso de velocidade, porém ao buscar o motorista no sistema, seu perfil não é localizado, impossibilitando a visualização da performance.
</t>
    </r>
    <r>
      <rPr>
        <rFont val="Calibri"/>
        <b/>
        <color rgb="FF434343"/>
        <sz val="8.0"/>
      </rPr>
      <t xml:space="preserve">Verificação:
</t>
    </r>
    <r>
      <rPr>
        <rFont val="Calibri"/>
        <color rgb="FF434343"/>
        <sz val="8.0"/>
      </rPr>
      <t xml:space="preserve">Foi identificado que o veículo RIZ7J77 está sem módulo desde 29/10/2025, após desvinculação realizada a pedido do solicitante.
O módulo 860369052171541, anteriormente vinculado a este veículo, está atualmente associado ao veículo TTO6E08.
Apesar disso, os dados de telemetria continuam sendo gerados (via integração com Sascar), porém não estão sendo atribuídos corretamente ao motorista no sistema, já que o perfil não aparece na busca.
</t>
    </r>
    <r>
      <rPr>
        <rFont val="Calibri"/>
        <b/>
        <color rgb="FF434343"/>
        <sz val="8.0"/>
      </rPr>
      <t xml:space="preserve">Impacto:
</t>
    </r>
    <r>
      <rPr>
        <rFont val="Calibri"/>
        <color rgb="FF434343"/>
        <sz val="8.0"/>
      </rPr>
      <t xml:space="preserve">A ausência de associação dos dados impede a visualização da performance do motorista, comprometendo o acompanhamento e análise dos indicadores.
</t>
    </r>
    <r>
      <rPr>
        <rFont val="Calibri"/>
        <b/>
        <color rgb="FF434343"/>
        <sz val="8.0"/>
      </rPr>
      <t xml:space="preserve">Objetivo:
</t>
    </r>
    <r>
      <rPr>
        <rFont val="Calibri"/>
        <color rgb="FF434343"/>
        <sz val="8.0"/>
      </rPr>
      <t xml:space="preserve">Identificar a causa da não exibição do perfil do motorista e garantir que os dados de telemetria provenientes da Sascar sejam corretamente vinculados e apresentados no app.
</t>
    </r>
    <r>
      <rPr>
        <rFont val="Calibri"/>
        <b/>
        <color rgb="FF434343"/>
        <sz val="8.0"/>
      </rPr>
      <t xml:space="preserve">Observação:
</t>
    </r>
    <r>
      <rPr>
        <rFont val="Calibri"/>
        <color rgb="FF434343"/>
        <sz val="8.0"/>
      </rPr>
      <t>Necessário validar integração com Sascar, vínculo de módulo/veículo/motorista e regras de associação de performance, garantindo que os dados sejam registrados e exibidos corretamente mesmo após alterações de módulo.</t>
    </r>
  </si>
  <si>
    <t>LNR 9401</t>
  </si>
  <si>
    <r>
      <rPr>
        <rFont val="Calibri"/>
        <b/>
        <color rgb="FF434343"/>
        <sz val="8.0"/>
      </rPr>
      <t>24/04 -</t>
    </r>
    <r>
      <rPr>
        <rFont val="Calibri"/>
        <color rgb="FF434343"/>
        <sz val="8.0"/>
      </rPr>
      <t xml:space="preserve"> @Marlon Brendon em análise aqui, essa O.S. nem o veículo está performando. No caso de o motorista não está vendo as pontadas cometidas por ele, se deve ao caso da funcionalidade fazer a consulta dos parâmetros, nos recursos disponíveis (SASCAR e FACSS), logo se o veículo (sem módulo FACSS) não existe dados ele tipo "não existe" e se ele não tem dados o mesmo se aplica ao motorista.
Vou dar esse O.S. como Analisado, sem performar (por estar sem módulo), o motorista e o gestor não verão os dados.</t>
    </r>
  </si>
  <si>
    <t>DESENVOLVER MICRO TREINAMENTO FACSS MOBILE</t>
  </si>
  <si>
    <t>2026000277</t>
  </si>
  <si>
    <t>LNR LUH7H80 6473</t>
  </si>
  <si>
    <t>LNR GDP4D81 5187</t>
  </si>
  <si>
    <r>
      <rPr>
        <rFont val="Calibri"/>
        <b/>
        <color rgb="FF434343"/>
        <sz val="8.0"/>
      </rPr>
      <t xml:space="preserve">Solicitação:
</t>
    </r>
    <r>
      <rPr>
        <rFont val="Calibri"/>
        <color rgb="FF434343"/>
        <sz val="8.0"/>
      </rPr>
      <t xml:space="preserve">Verificar inconsistência de quilometragem e impacto nos indicadores de condução para o motorista José Geraldo Vieira, vinculado ao veículo de placa SRG9G38.
</t>
    </r>
    <r>
      <rPr>
        <rFont val="Calibri"/>
        <b/>
        <color rgb="FF434343"/>
        <sz val="8.0"/>
      </rPr>
      <t xml:space="preserve">Problema:
</t>
    </r>
    <r>
      <rPr>
        <rFont val="Calibri"/>
        <color rgb="FF434343"/>
        <sz val="8.0"/>
      </rPr>
      <t xml:space="preserve">O aplicativo apresentou um valor de KM rodado incompatível com a realidade (4598,9 km em um único dia), caracterizando um valor impossível de ser percorrido.
</t>
    </r>
    <r>
      <rPr>
        <rFont val="Calibri"/>
        <b/>
        <color rgb="FF434343"/>
        <sz val="8.0"/>
      </rPr>
      <t xml:space="preserve">Verificação:
</t>
    </r>
    <r>
      <rPr>
        <rFont val="Calibri"/>
        <color rgb="FF434343"/>
        <sz val="8.0"/>
      </rPr>
      <t xml:space="preserve">Conforme evidência enviada, o registro ocorreu no dia 14/04/2026, indicando possível erro de leitura, processamento ou duplicidade de dados.
</t>
    </r>
    <r>
      <rPr>
        <rFont val="Calibri"/>
        <b/>
        <color rgb="FF434343"/>
        <sz val="8.0"/>
      </rPr>
      <t xml:space="preserve">Ação Realizada:
</t>
    </r>
    <r>
      <rPr>
        <rFont val="Calibri"/>
        <color rgb="FF434343"/>
        <sz val="8.0"/>
      </rPr>
      <t xml:space="preserve">Foi enviada configuração remota para o módulo, com o objetivo de normalizar o envio das informações.
</t>
    </r>
    <r>
      <rPr>
        <rFont val="Calibri"/>
        <b/>
        <color rgb="FF434343"/>
        <sz val="8.0"/>
      </rPr>
      <t xml:space="preserve">Impacto:
</t>
    </r>
    <r>
      <rPr>
        <rFont val="Calibri"/>
        <color rgb="FF434343"/>
        <sz val="8.0"/>
      </rPr>
      <t xml:space="preserve">O valor incorreto de KM afetou diretamente os indicadores de condução, especialmente a inércia, comprometendo a performance previamente registrada do motorista.
</t>
    </r>
    <r>
      <rPr>
        <rFont val="Calibri"/>
        <b/>
        <color rgb="FF434343"/>
        <sz val="8.0"/>
      </rPr>
      <t xml:space="preserve">Objetivo:
</t>
    </r>
    <r>
      <rPr>
        <rFont val="Calibri"/>
        <color rgb="FF434343"/>
        <sz val="8.0"/>
      </rPr>
      <t xml:space="preserve">Identificar a causa da geração de KM incorreto e corrigir o processamento dos dados, garantindo a integridade das informações de condução.
</t>
    </r>
    <r>
      <rPr>
        <rFont val="Calibri"/>
        <b/>
        <color rgb="FF434343"/>
        <sz val="8.0"/>
      </rPr>
      <t xml:space="preserve">Observação:
</t>
    </r>
    <r>
      <rPr>
        <rFont val="Calibri"/>
        <color rgb="FF434343"/>
        <sz val="8.0"/>
      </rPr>
      <t>Necessário validar leitura de odômetro, possíveis duplicidades de registros e regras de cálculo que impactam os indicadores de performance.</t>
    </r>
  </si>
  <si>
    <t>FH 460 4X2T</t>
  </si>
  <si>
    <t>SRG9G38</t>
  </si>
  <si>
    <t>LNR GGC9J05 2984</t>
  </si>
  <si>
    <t>LNR LMU7B48 6390</t>
  </si>
  <si>
    <t>FAZER ANÁLISE PROFUNDA DO CÁLCULO DE EXCESSO DE RPM</t>
  </si>
  <si>
    <t>LNR LMU7B49 1966</t>
  </si>
  <si>
    <r>
      <rPr>
        <rFont val="Calibri"/>
        <b/>
        <color rgb="FF434343"/>
        <sz val="8.0"/>
      </rPr>
      <t xml:space="preserve">24/04 - Marlon Brendon </t>
    </r>
    <r>
      <rPr>
        <rFont val="Calibri"/>
        <color rgb="FF434343"/>
        <sz val="8.0"/>
      </rPr>
      <t>Verificando aqui, realmente chegou um pico de km na data do dia 14/04. Chamado na fila para correção dev</t>
    </r>
  </si>
  <si>
    <t>LNR LMU7B59 9550</t>
  </si>
  <si>
    <t>LNR LMU7B82 9189</t>
  </si>
  <si>
    <t>LNR LMU7B85 6841</t>
  </si>
  <si>
    <t>FLYER DIDÁTICO PARA CONDUÇÃO</t>
  </si>
  <si>
    <t>LNR LMV3F05 3768</t>
  </si>
  <si>
    <t>LNR LMV3F07 4502</t>
  </si>
  <si>
    <t>2026000278</t>
  </si>
  <si>
    <t>LNR LMV3F08 2463</t>
  </si>
  <si>
    <t>LNR LMV3F09 0790</t>
  </si>
  <si>
    <r>
      <rPr>
        <rFont val="Calibri"/>
        <b/>
        <color rgb="FF434343"/>
        <sz val="8.0"/>
      </rPr>
      <t xml:space="preserve">Solicitação:
</t>
    </r>
    <r>
      <rPr>
        <rFont val="Calibri"/>
        <color rgb="FF434343"/>
        <sz val="8.0"/>
      </rPr>
      <t xml:space="preserve">Verificar impossibilidade de cadastro do motorista Valdecir de Sousa Cruz no sistema de nova telemetria.
</t>
    </r>
    <r>
      <rPr>
        <rFont val="Calibri"/>
        <b/>
        <color rgb="FF434343"/>
        <sz val="8.0"/>
      </rPr>
      <t xml:space="preserve">Problema:
</t>
    </r>
    <r>
      <rPr>
        <rFont val="Calibri"/>
        <color rgb="FF434343"/>
        <sz val="8.0"/>
      </rPr>
      <t xml:space="preserve">O motorista já possui cadastro no sistema Lenarge, o que está impedindo a empresa EMF de realizar o cadastro no novo sistema de telemetria.
</t>
    </r>
    <r>
      <rPr>
        <rFont val="Calibri"/>
        <b/>
        <color rgb="FF434343"/>
        <sz val="8.0"/>
      </rPr>
      <t xml:space="preserve">Verificação:
</t>
    </r>
    <r>
      <rPr>
        <rFont val="Calibri"/>
        <color rgb="FF434343"/>
        <sz val="8.0"/>
      </rPr>
      <t xml:space="preserve">Indício de conflito de cadastro entre sistemas (Lenarge x nova telemetria), possivelmente relacionado a vínculo já existente ou restrição de duplicidade.
</t>
    </r>
    <r>
      <rPr>
        <rFont val="Calibri"/>
        <b/>
        <color rgb="FF434343"/>
        <sz val="8.0"/>
      </rPr>
      <t xml:space="preserve">Impacto:
</t>
    </r>
    <r>
      <rPr>
        <rFont val="Calibri"/>
        <color rgb="FF434343"/>
        <sz val="8.0"/>
      </rPr>
      <t xml:space="preserve">A impossibilidade de cadastro impede a utilização do motorista no novo sistema, comprometendo a operação e o acompanhamento de dados.
</t>
    </r>
    <r>
      <rPr>
        <rFont val="Calibri"/>
        <b/>
        <color rgb="FF434343"/>
        <sz val="8.0"/>
      </rPr>
      <t xml:space="preserve">Objetivo:
</t>
    </r>
    <r>
      <rPr>
        <rFont val="Calibri"/>
        <color rgb="FF434343"/>
        <sz val="8.0"/>
      </rPr>
      <t xml:space="preserve">Analisar o conflito de cadastro e permitir a liberação/adequação do motorista no sistema de nova telemetria, garantindo seu correto vínculo com a empresa EMF.
</t>
    </r>
    <r>
      <rPr>
        <rFont val="Calibri"/>
        <b/>
        <color rgb="FF434343"/>
        <sz val="8.0"/>
      </rPr>
      <t xml:space="preserve">Observação:
</t>
    </r>
    <r>
      <rPr>
        <rFont val="Calibri"/>
        <color rgb="FF434343"/>
        <sz val="8.0"/>
      </rPr>
      <t>Necessário validar regras de unicidade de cadastro, vínculos ativos e possíveis procedimentos para migração ou compartilhamento de cadastro entre sistemas.</t>
    </r>
  </si>
  <si>
    <t>DESENVOLVER RELATÓRIO ANALÍTICO E SINTÉTICO DA PREMIAÇÃO</t>
  </si>
  <si>
    <t>LNR LMV3F10 1363</t>
  </si>
  <si>
    <t>Ja foi resolvido, ja é possivel a EMF adiconar o motorista</t>
  </si>
  <si>
    <t>2026000279</t>
  </si>
  <si>
    <t>LNR LMV3F11 4916</t>
  </si>
  <si>
    <t>LNR LNH7A95 0103</t>
  </si>
  <si>
    <r>
      <rPr>
        <rFont val="Calibri"/>
        <b/>
        <color rgb="FF434343"/>
        <sz val="8.0"/>
      </rPr>
      <t>Solicitação:</t>
    </r>
    <r>
      <rPr>
        <rFont val="Calibri"/>
        <color rgb="FF434343"/>
        <sz val="8.0"/>
      </rPr>
      <t xml:space="preserve">
Incluir o alerta de 40 km/h – trecho retorno Rodoviária / Itabirito-MG na regra de GSM Premiação.
</t>
    </r>
    <r>
      <rPr>
        <rFont val="Calibri"/>
        <b/>
        <color rgb="FF434343"/>
        <sz val="8.0"/>
      </rPr>
      <t xml:space="preserve">
Problema:</t>
    </r>
    <r>
      <rPr>
        <rFont val="Calibri"/>
        <color rgb="FF434343"/>
        <sz val="8.0"/>
      </rPr>
      <t xml:space="preserve">
Atualmente, os eventos de excesso de velocidade neste trecho específico não estão sendo considerados nos alertas de GSM Premiação.
</t>
    </r>
    <r>
      <rPr>
        <rFont val="Calibri"/>
        <b/>
        <color rgb="FF434343"/>
        <sz val="8.0"/>
      </rPr>
      <t>Necessidade:</t>
    </r>
    <r>
      <rPr>
        <rFont val="Calibri"/>
        <color rgb="FF434343"/>
        <sz val="8.0"/>
      </rPr>
      <t xml:space="preserve">
Garantir que qualquer ocorrência de velocidade acima de 40 km/h no trecho informado seja contabilizada dentro das regras de premiação GSM.
</t>
    </r>
    <r>
      <rPr>
        <rFont val="Calibri"/>
        <b/>
        <color rgb="FF434343"/>
        <sz val="8.0"/>
      </rPr>
      <t>Impacto:</t>
    </r>
    <r>
      <rPr>
        <rFont val="Calibri"/>
        <color rgb="FF434343"/>
        <sz val="8.0"/>
      </rPr>
      <t xml:space="preserve">
A ausência desse alerta pode gerar inconsistência na pontuação e avaliação dos motoristas, impactando diretamente o critério de premiação.
</t>
    </r>
    <r>
      <rPr>
        <rFont val="Calibri"/>
        <b/>
        <color rgb="FF434343"/>
        <sz val="8.0"/>
      </rPr>
      <t>Objetivo:</t>
    </r>
    <r>
      <rPr>
        <rFont val="Calibri"/>
        <color rgb="FF434343"/>
        <sz val="8.0"/>
      </rPr>
      <t xml:space="preserve">
Adicionar o trecho e sua respectiva regra de velocidade aos alertas de GSM Premiação, assegurando que os eventos sejam corretamente contabilizados.
</t>
    </r>
    <r>
      <rPr>
        <rFont val="Calibri"/>
        <b/>
        <color rgb="FF434343"/>
        <sz val="8.0"/>
      </rPr>
      <t>Observação:</t>
    </r>
    <r>
      <rPr>
        <rFont val="Calibri"/>
        <color rgb="FF434343"/>
        <sz val="8.0"/>
      </rPr>
      <t xml:space="preserve">
Validar se a inclusão será aplicada para toda a operação ou apenas para rotas/grupos específicos.</t>
    </r>
  </si>
  <si>
    <r>
      <rPr>
        <rFont val="Calibri"/>
        <b/>
        <color rgb="FF434343"/>
        <sz val="8.0"/>
      </rPr>
      <t xml:space="preserve">24/04 - </t>
    </r>
    <r>
      <rPr>
        <rFont val="Calibri"/>
        <color rgb="FF434343"/>
        <sz val="8.0"/>
      </rPr>
      <t xml:space="preserve">Marlon Brendon eu subi a atualização no back, porem estamos com um problema para realizar o deploy. Somente quando o D2 e o Neilor finalizar esse problema que vamos conseguir subir a atualização para a produção.
</t>
    </r>
    <r>
      <rPr>
        <rFont val="Calibri"/>
        <b/>
        <color rgb="FF434343"/>
        <sz val="8.0"/>
      </rPr>
      <t xml:space="preserve">27/04 - </t>
    </r>
    <r>
      <rPr>
        <rFont val="Calibri"/>
        <color rgb="FF434343"/>
        <sz val="8.0"/>
      </rPr>
      <t>Solução online no final da tarde de 24/04</t>
    </r>
  </si>
  <si>
    <t>CRIAR ACESSO PARA O TELEMETRIA</t>
  </si>
  <si>
    <t>LNR LNH7C00 6009</t>
  </si>
  <si>
    <t>2026000280</t>
  </si>
  <si>
    <t>Vanderley Abreu Resende</t>
  </si>
  <si>
    <t>(32) 98434-0699</t>
  </si>
  <si>
    <t>LNR LTQ6D89 8361</t>
  </si>
  <si>
    <r>
      <rPr>
        <rFont val="Calibri"/>
        <b/>
        <color rgb="FF434343"/>
        <sz val="8.0"/>
      </rPr>
      <t xml:space="preserve">Solicitação:
</t>
    </r>
    <r>
      <rPr>
        <rFont val="Calibri"/>
        <color rgb="FF434343"/>
        <sz val="8.0"/>
      </rPr>
      <t xml:space="preserve">Liberar permissões no aplicativo para cadastro de rotas, locais e demais funcionalidades operacionais.
</t>
    </r>
    <r>
      <rPr>
        <rFont val="Calibri"/>
        <b/>
        <color rgb="FF434343"/>
        <sz val="8.0"/>
      </rPr>
      <t xml:space="preserve">Problema:
</t>
    </r>
    <r>
      <rPr>
        <rFont val="Calibri"/>
        <color rgb="FF434343"/>
        <sz val="8.0"/>
      </rPr>
      <t xml:space="preserve">Atualmente, o usuário não possui acesso/liberação para realizar cadastros no app, como inclusão de rotas e locais.
</t>
    </r>
    <r>
      <rPr>
        <rFont val="Calibri"/>
        <b/>
        <color rgb="FF434343"/>
        <sz val="8.0"/>
      </rPr>
      <t>Verificação:</t>
    </r>
    <r>
      <rPr>
        <rFont val="Calibri"/>
        <color rgb="FF434343"/>
        <sz val="8.0"/>
      </rPr>
      <t xml:space="preserve">
Conforme evidência enviada, a funcionalidade de cadastro está visível no aplicativo, porém sem permissão para utilização, indicando possível restrição de perfil/acesso.
</t>
    </r>
    <r>
      <rPr>
        <rFont val="Calibri"/>
        <b/>
        <color rgb="FF434343"/>
        <sz val="8.0"/>
      </rPr>
      <t>Impacto:</t>
    </r>
    <r>
      <rPr>
        <rFont val="Calibri"/>
        <color rgb="FF434343"/>
        <sz val="8.0"/>
      </rPr>
      <t xml:space="preserve">
A limitação impede a gestão operacional diretamente pelo app, dificultando a criação e manutenção de rotas e locais necessários para a operação.
</t>
    </r>
    <r>
      <rPr>
        <rFont val="Calibri"/>
        <b/>
        <color rgb="FF434343"/>
        <sz val="8.0"/>
      </rPr>
      <t xml:space="preserve">
Objetivo:</t>
    </r>
    <r>
      <rPr>
        <rFont val="Calibri"/>
        <color rgb="FF434343"/>
        <sz val="8.0"/>
      </rPr>
      <t xml:space="preserve">
Liberar as permissões necessárias para que o usuário consiga realizar cadastros de rotas, locais e demais configurações no aplicativo.
</t>
    </r>
    <r>
      <rPr>
        <rFont val="Calibri"/>
        <b/>
        <color rgb="FF434343"/>
        <sz val="8.0"/>
      </rPr>
      <t>Observação:</t>
    </r>
    <r>
      <rPr>
        <rFont val="Calibri"/>
        <color rgb="FF434343"/>
        <sz val="8.0"/>
      </rPr>
      <t xml:space="preserve">
Necessário validar perfil de acesso do usuário e garantir que as permissões sejam aplicadas conforme a necessidade da operação.</t>
    </r>
  </si>
  <si>
    <t>LNR LTQ6D90 3243</t>
  </si>
  <si>
    <r>
      <rPr>
        <rFont val="Calibri"/>
        <b/>
        <color rgb="FF434343"/>
        <sz val="8.0"/>
      </rPr>
      <t>Resolução:</t>
    </r>
    <r>
      <rPr>
        <rFont val="Calibri"/>
        <color rgb="FF434343"/>
        <sz val="8.0"/>
      </rPr>
      <t xml:space="preserve">
Foi realizado atendimento ao solicitante, com orientação passo a passo sobre como editar os locais no app Lenarge. Informado que, para que os locais não sejam enquadrados na regra de “Liberados”, é necessário que estejam configurados com o tipo “CLIENTES”. Portanto, é preciso realizar a correção do tipo de local.
Caso o usuário não possua permissão para edição, orientado a solicitar o ajuste junto à equipe de programação.</t>
    </r>
  </si>
  <si>
    <t>LNR LTQ6D96 3417</t>
  </si>
  <si>
    <t>2026000281</t>
  </si>
  <si>
    <t>(32) 98434-0700</t>
  </si>
  <si>
    <t>CRIAR ACESSO PARA O JOÃO</t>
  </si>
  <si>
    <t>LNR LTQ6D97 0653</t>
  </si>
  <si>
    <r>
      <rPr>
        <rFont val="Calibri"/>
        <b/>
        <color rgb="FF434343"/>
        <sz val="8.0"/>
      </rPr>
      <t xml:space="preserve">Solicitação:
</t>
    </r>
    <r>
      <rPr>
        <rFont val="Calibri"/>
        <color rgb="FF434343"/>
        <sz val="8.0"/>
      </rPr>
      <t xml:space="preserve">Espelhar o perfil de acesso do usuário Vanderley Abreu Resende com as mesmas permissões da usuária Iara Lima.
</t>
    </r>
    <r>
      <rPr>
        <rFont val="Calibri"/>
        <b/>
        <color rgb="FF434343"/>
        <sz val="8.0"/>
      </rPr>
      <t xml:space="preserve">Problema:
</t>
    </r>
    <r>
      <rPr>
        <rFont val="Calibri"/>
        <color rgb="FF434343"/>
        <sz val="8.0"/>
      </rPr>
      <t xml:space="preserve">O usuário Vanderley Abreu Resende assumiu a função de gerente no lugar da usuária Iara Lima, que foi desligada, porém ainda não possui as permissões necessárias para execução das atividades.
</t>
    </r>
    <r>
      <rPr>
        <rFont val="Calibri"/>
        <b/>
        <color rgb="FF434343"/>
        <sz val="8.0"/>
      </rPr>
      <t xml:space="preserve">Dados:
</t>
    </r>
    <r>
      <rPr>
        <rFont val="Calibri"/>
        <color rgb="FF434343"/>
        <sz val="8.0"/>
      </rPr>
      <t xml:space="preserve">Vanderley Abreu Resende
</t>
    </r>
    <r>
      <rPr>
        <rFont val="Calibri"/>
        <b/>
        <color rgb="FF434343"/>
        <sz val="8.0"/>
      </rPr>
      <t>ID:</t>
    </r>
    <r>
      <rPr>
        <rFont val="Calibri"/>
        <color rgb="FF434343"/>
        <sz val="8.0"/>
      </rPr>
      <t xml:space="preserve"> Dm1yLulmUMNp6wrKl22fXi9pen63
</t>
    </r>
    <r>
      <rPr>
        <rFont val="Calibri"/>
        <b/>
        <color rgb="FF434343"/>
        <sz val="8.0"/>
      </rPr>
      <t>Email:</t>
    </r>
    <r>
      <rPr>
        <rFont val="Calibri"/>
        <color rgb="FF434343"/>
        <sz val="8.0"/>
      </rPr>
      <t xml:space="preserve"> vanderley.resende@lenarge.com.br
Iara Lima
</t>
    </r>
    <r>
      <rPr>
        <rFont val="Calibri"/>
        <b/>
        <color rgb="FF434343"/>
        <sz val="8.0"/>
      </rPr>
      <t>ID:</t>
    </r>
    <r>
      <rPr>
        <rFont val="Calibri"/>
        <color rgb="FF434343"/>
        <sz val="8.0"/>
      </rPr>
      <t xml:space="preserve"> qx9EaI0IHNeAXSHARV4XCZke43z1
</t>
    </r>
    <r>
      <rPr>
        <rFont val="Calibri"/>
        <b/>
        <color rgb="FF434343"/>
        <sz val="8.0"/>
      </rPr>
      <t>Email:</t>
    </r>
    <r>
      <rPr>
        <rFont val="Calibri"/>
        <color rgb="FF434343"/>
        <sz val="8.0"/>
      </rPr>
      <t xml:space="preserve"> iara.pereira@lenarge.com.br
</t>
    </r>
    <r>
      <rPr>
        <rFont val="Calibri"/>
        <b/>
        <color rgb="FF434343"/>
        <sz val="8.0"/>
      </rPr>
      <t xml:space="preserve">Impacto:
</t>
    </r>
    <r>
      <rPr>
        <rFont val="Calibri"/>
        <color rgb="FF434343"/>
        <sz val="8.0"/>
      </rPr>
      <t xml:space="preserve">A ausência de permissões impede o novo responsável de executar funções gerenciais no sistema, impactando a operação.
</t>
    </r>
    <r>
      <rPr>
        <rFont val="Calibri"/>
        <b/>
        <color rgb="FF434343"/>
        <sz val="8.0"/>
      </rPr>
      <t xml:space="preserve">Objetivo:
</t>
    </r>
    <r>
      <rPr>
        <rFont val="Calibri"/>
        <color rgb="FF434343"/>
        <sz val="8.0"/>
      </rPr>
      <t xml:space="preserve">Replicar integralmente as permissões da usuária Iara Lima para o usuário Vanderley Abreu Resende, garantindo continuidade das atividades.
</t>
    </r>
    <r>
      <rPr>
        <rFont val="Calibri"/>
        <b/>
        <color rgb="FF434343"/>
        <sz val="8.0"/>
      </rPr>
      <t xml:space="preserve">Observação:
</t>
    </r>
    <r>
      <rPr>
        <rFont val="Calibri"/>
        <color rgb="FF434343"/>
        <sz val="8.0"/>
      </rPr>
      <t>Após o espelhamento, validar se todos os acessos foram aplicados corretamente e, se necessário, desativar o usuário da Iara para evitar acessos indevidos.</t>
    </r>
  </si>
  <si>
    <t>27/004/2026</t>
  </si>
  <si>
    <t>LNR LTQ6E10 4601</t>
  </si>
  <si>
    <r>
      <rPr>
        <rFont val="Calibri"/>
        <b/>
        <color rgb="FF434343"/>
        <sz val="8.0"/>
      </rPr>
      <t xml:space="preserve">27/04 - </t>
    </r>
    <r>
      <rPr>
        <rFont val="Calibri"/>
        <color rgb="FF434343"/>
        <sz val="8.0"/>
      </rPr>
      <t>Permissão online</t>
    </r>
  </si>
  <si>
    <t>LNR LTQ9A66 2430</t>
  </si>
  <si>
    <t>2026000282</t>
  </si>
  <si>
    <t>3199289-0542</t>
  </si>
  <si>
    <t>LNR LTQ9A69 3909</t>
  </si>
  <si>
    <t>LNR LTQ9A71 0267</t>
  </si>
  <si>
    <r>
      <rPr>
        <rFont val="Calibri"/>
        <b/>
        <color rgb="FF434343"/>
        <sz val="8.0"/>
      </rPr>
      <t xml:space="preserve">Solicitação:
</t>
    </r>
    <r>
      <rPr>
        <rFont val="Calibri"/>
        <color rgb="FF434343"/>
        <sz val="8.0"/>
      </rPr>
      <t xml:space="preserve">Verificar inconsistência na exibição de quilometragem (hodômetro) no aplicativo para o veículo de placa RIZ8A18.
</t>
    </r>
    <r>
      <rPr>
        <rFont val="Calibri"/>
        <b/>
        <color rgb="FF434343"/>
        <sz val="8.0"/>
      </rPr>
      <t xml:space="preserve">Problema:
</t>
    </r>
    <r>
      <rPr>
        <rFont val="Calibri"/>
        <color rgb="FF434343"/>
        <sz val="8.0"/>
      </rPr>
      <t xml:space="preserve">A quilometragem apresentada no app está divergente da exibida no sistema Sascar (considerada correta).
Há indícios de que o valor no aplicativo está sendo limitado/truncado, não exibindo o KM completo.
</t>
    </r>
    <r>
      <rPr>
        <rFont val="Calibri"/>
        <b/>
        <color rgb="FF434343"/>
        <sz val="8.0"/>
      </rPr>
      <t xml:space="preserve">Verificação:
</t>
    </r>
    <r>
      <rPr>
        <rFont val="Calibri"/>
        <color rgb="FF434343"/>
        <sz val="8.0"/>
      </rPr>
      <t xml:space="preserve">Comparação entre os dados do Sascar e do app evidencia diferença nos valores de hodômetro, sugerindo falha na exibição ou formatação dos números.
</t>
    </r>
    <r>
      <rPr>
        <rFont val="Calibri"/>
        <b/>
        <color rgb="FF434343"/>
        <sz val="8.0"/>
      </rPr>
      <t xml:space="preserve">Impacto:
</t>
    </r>
    <r>
      <rPr>
        <rFont val="Calibri"/>
        <color rgb="FF434343"/>
        <sz val="8.0"/>
      </rPr>
      <t xml:space="preserve">A inconsistência compromete a confiabilidade dos dados de quilometragem, impactando análises operacionais e de performance.
</t>
    </r>
    <r>
      <rPr>
        <rFont val="Calibri"/>
        <b/>
        <color rgb="FF434343"/>
        <sz val="8.0"/>
      </rPr>
      <t xml:space="preserve">Objetivo:
</t>
    </r>
    <r>
      <rPr>
        <rFont val="Calibri"/>
        <color rgb="FF434343"/>
        <sz val="8.0"/>
      </rPr>
      <t xml:space="preserve">Corrigir a exibição do hodômetro no aplicativo, garantindo que o valor completo e correto seja apresentado conforme origem (Sascar).
</t>
    </r>
    <r>
      <rPr>
        <rFont val="Calibri"/>
        <b/>
        <color rgb="FF434343"/>
        <sz val="8.0"/>
      </rPr>
      <t xml:space="preserve">Observação:
</t>
    </r>
    <r>
      <rPr>
        <rFont val="Calibri"/>
        <color rgb="FF434343"/>
        <sz val="8.0"/>
      </rPr>
      <t>Necessário validar formatação de campo, limite de caracteres e integração dos dados para evitar truncamento de valores.</t>
    </r>
  </si>
  <si>
    <t>DESATIVAR ACESSO AO NOSSO SISTEMA</t>
  </si>
  <si>
    <t>RIZ8A18</t>
  </si>
  <si>
    <r>
      <rPr>
        <rFont val="Calibri"/>
        <b/>
        <color rgb="FF434343"/>
        <sz val="8.0"/>
      </rPr>
      <t xml:space="preserve">- 29/04 - </t>
    </r>
    <r>
      <rPr>
        <rFont val="Calibri"/>
        <b val="0"/>
        <color rgb="FF434343"/>
        <sz val="8.0"/>
      </rPr>
      <t xml:space="preserve"> Estamos validando com Gabriel Rocha </t>
    </r>
    <r>
      <rPr>
        <rFont val="Calibri"/>
        <b/>
        <color rgb="FF434343"/>
        <sz val="8.0"/>
      </rPr>
      <t xml:space="preserve">o calculo realizado. </t>
    </r>
    <r>
      <rPr>
        <rFont val="Calibri"/>
        <b val="0"/>
        <color rgb="FF434343"/>
        <sz val="8.0"/>
      </rPr>
      <t xml:space="preserve">Aguardando analise dele, para darmos sequência correção. Esse dado de hodometro, hora vem da sascar outra FACSS, isso somente para veículos que estejam no tracking.
</t>
    </r>
    <r>
      <rPr>
        <rFont val="Calibri"/>
        <b/>
        <color rgb="FF434343"/>
        <sz val="8.0"/>
      </rPr>
      <t xml:space="preserve">- 06/05 - </t>
    </r>
    <r>
      <rPr>
        <rFont val="Calibri"/>
        <b val="0"/>
        <color rgb="FF434343"/>
        <sz val="8.0"/>
      </rPr>
      <t>Foi atualizado o calculo dos Km's.</t>
    </r>
  </si>
  <si>
    <t>LNR LTQ9A72 2207</t>
  </si>
  <si>
    <t>LNR LTS1D27 0005</t>
  </si>
  <si>
    <t>LNR LTW4G01 9434</t>
  </si>
  <si>
    <t>ENTENDER O PORQUÊ CLIENTES NÃO ESTÃO FATURANDO</t>
  </si>
  <si>
    <t>2026000283</t>
  </si>
  <si>
    <t>LNR LTW5H49 9808</t>
  </si>
  <si>
    <t>3199079-3750</t>
  </si>
  <si>
    <t>LNR LTW5H52 2837</t>
  </si>
  <si>
    <r>
      <rPr>
        <rFont val="Calibri"/>
        <b/>
        <color rgb="FF434343"/>
        <sz val="8.0"/>
      </rPr>
      <t xml:space="preserve">Solicitação:
</t>
    </r>
    <r>
      <rPr>
        <rFont val="Calibri"/>
        <color rgb="FF434343"/>
        <sz val="8.0"/>
      </rPr>
      <t xml:space="preserve">Verificar ausência de dados de excesso de RPM no gráfico e no detalhamento para os veículos da operação Beira Rio.
</t>
    </r>
    <r>
      <rPr>
        <rFont val="Calibri"/>
        <b/>
        <color rgb="FF434343"/>
        <sz val="8.0"/>
      </rPr>
      <t xml:space="preserve">Problema:
</t>
    </r>
    <r>
      <rPr>
        <rFont val="Calibri"/>
        <color rgb="FF434343"/>
        <sz val="8.0"/>
      </rPr>
      <t xml:space="preserve">O indicador de excesso de RPM não está sendo exibido nem no gráfico nem na visualização detalhada no sistema.
</t>
    </r>
    <r>
      <rPr>
        <rFont val="Calibri"/>
        <b/>
        <color rgb="FF434343"/>
        <sz val="8.0"/>
      </rPr>
      <t xml:space="preserve">Verificação:
</t>
    </r>
    <r>
      <rPr>
        <rFont val="Calibri"/>
        <color rgb="FF434343"/>
        <sz val="8.0"/>
      </rPr>
      <t xml:space="preserve">Conforme alinhado com o responsável (Pablo), foi informado que há um problema relacionado à rotação, possivelmente impactando a geração/apresentação desses dados.
</t>
    </r>
    <r>
      <rPr>
        <rFont val="Calibri"/>
        <b/>
        <color rgb="FF434343"/>
        <sz val="8.0"/>
      </rPr>
      <t xml:space="preserve">Impacto:
</t>
    </r>
    <r>
      <rPr>
        <rFont val="Calibri"/>
        <color rgb="FF434343"/>
        <sz val="8.0"/>
      </rPr>
      <t xml:space="preserve">A ausência desse indicador compromete a análise de condução e performance dos motoristas, afetando diretamente os relatórios e acompanhamento operacional.
</t>
    </r>
    <r>
      <rPr>
        <rFont val="Calibri"/>
        <b/>
        <color rgb="FF434343"/>
        <sz val="8.0"/>
      </rPr>
      <t xml:space="preserve">Objetivo:
</t>
    </r>
    <r>
      <rPr>
        <rFont val="Calibri"/>
        <color rgb="FF434343"/>
        <sz val="8.0"/>
      </rPr>
      <t xml:space="preserve">Identificar e corrigir a falha na coleta, processamento ou exibição dos dados de excesso de RPM, garantindo que os indicadores sejam apresentados corretamente.
</t>
    </r>
    <r>
      <rPr>
        <rFont val="Calibri"/>
        <b/>
        <color rgb="FF434343"/>
        <sz val="8.0"/>
      </rPr>
      <t xml:space="preserve">Observação:
</t>
    </r>
    <r>
      <rPr>
        <rFont val="Calibri"/>
        <color rgb="FF434343"/>
        <sz val="8.0"/>
      </rPr>
      <t>Problema ocorre de forma geral em todos os veículos da operação Beira Rio, indicando possível falha sistêmica.</t>
    </r>
  </si>
  <si>
    <t>LNR LTW5H53 3224</t>
  </si>
  <si>
    <t xml:space="preserve">Ja foi resolvido e esta em prod </t>
  </si>
  <si>
    <t>2026000284</t>
  </si>
  <si>
    <t>LNR LTW5H54 8064</t>
  </si>
  <si>
    <t>3199445-0058</t>
  </si>
  <si>
    <t>15::55:00</t>
  </si>
  <si>
    <t>MARCAR REUNIÃO PARA REFINAMENTO DA POC</t>
  </si>
  <si>
    <t>LNR LTW5H55 6241</t>
  </si>
  <si>
    <r>
      <rPr>
        <rFont val="Calibri"/>
        <b/>
        <color rgb="FF434343"/>
        <sz val="8.0"/>
      </rPr>
      <t xml:space="preserve">Solicitação:
</t>
    </r>
    <r>
      <rPr>
        <rFont val="Calibri"/>
        <color rgb="FF434343"/>
        <sz val="8.0"/>
      </rPr>
      <t xml:space="preserve">Verificar impossibilidade de conclusão de demandas no aplicativo para os motoristas abaixo.
Motoristas / Veículos:
Paulo Lucianio de Almeida – Placa TTG1F81
Marcos Alexandre Serafim – Placa RKV9E79
</t>
    </r>
    <r>
      <rPr>
        <rFont val="Calibri"/>
        <b/>
        <color rgb="FF434343"/>
        <sz val="8.0"/>
      </rPr>
      <t xml:space="preserve">Problema:
</t>
    </r>
    <r>
      <rPr>
        <rFont val="Calibri"/>
        <color rgb="FF434343"/>
        <sz val="8.0"/>
      </rPr>
      <t xml:space="preserve">As demandas não estão sendo concluídas. Ao tentar finalizar pelo App Lenarge, a ação não é efetivada e não ocorre alteração de status.
</t>
    </r>
    <r>
      <rPr>
        <rFont val="Calibri"/>
        <b/>
        <color rgb="FF434343"/>
        <sz val="8.0"/>
      </rPr>
      <t xml:space="preserve">Verificação:
</t>
    </r>
    <r>
      <rPr>
        <rFont val="Calibri"/>
        <color rgb="FF434343"/>
        <sz val="8.0"/>
      </rPr>
      <t xml:space="preserve">Foram realizadas tentativas de finalização diretamente no aplicativo, porém sem sucesso para ambos os motoristas/veículos, indicando possível falha no processo de conclusão ou sincronização.
</t>
    </r>
    <r>
      <rPr>
        <rFont val="Calibri"/>
        <b/>
        <color rgb="FF434343"/>
        <sz val="8.0"/>
      </rPr>
      <t xml:space="preserve">Impacto:
</t>
    </r>
    <r>
      <rPr>
        <rFont val="Calibri"/>
        <color rgb="FF434343"/>
        <sz val="8.0"/>
      </rPr>
      <t xml:space="preserve">A impossibilidade de concluir as demandas compromete o fluxo operacional, gerando pendências indevidas e inconsistências no controle das atividades.
</t>
    </r>
    <r>
      <rPr>
        <rFont val="Calibri"/>
        <b/>
        <color rgb="FF434343"/>
        <sz val="8.0"/>
      </rPr>
      <t xml:space="preserve">Objetivo:
</t>
    </r>
    <r>
      <rPr>
        <rFont val="Calibri"/>
        <color rgb="FF434343"/>
        <sz val="8.0"/>
      </rPr>
      <t xml:space="preserve">Identificar a causa da falha na conclusão das demandas e garantir o correto funcionamento da funcionalidade no aplicativo.
</t>
    </r>
    <r>
      <rPr>
        <rFont val="Calibri"/>
        <b/>
        <color rgb="FF434343"/>
        <sz val="8.0"/>
      </rPr>
      <t xml:space="preserve">Observação:
</t>
    </r>
    <r>
      <rPr>
        <rFont val="Calibri"/>
        <color rgb="FF434343"/>
        <sz val="8.0"/>
      </rPr>
      <t xml:space="preserve">Necessário validar regras de finalização, integração com o backend e possíveis erros de sincronização.
Verificar impossibilidade de conclusão de demanda no aplicativo para o motorista Paulo Lucianio de Almeida, vinculado ao veículo de placa TTG1F81.
</t>
    </r>
    <r>
      <rPr>
        <rFont val="Calibri"/>
        <b/>
        <color rgb="FF434343"/>
        <sz val="8.0"/>
      </rPr>
      <t xml:space="preserve">Problema:
</t>
    </r>
    <r>
      <rPr>
        <rFont val="Calibri"/>
        <color rgb="FF434343"/>
        <sz val="8.0"/>
      </rPr>
      <t xml:space="preserve">A demanda do motorista não está sendo concluída. Ao tentar finalizar pelo App Lenarge, a ação não é efetivada e não ocorre alteração de status.
</t>
    </r>
    <r>
      <rPr>
        <rFont val="Calibri"/>
        <b/>
        <color rgb="FF434343"/>
        <sz val="8.0"/>
      </rPr>
      <t xml:space="preserve">Verificação:
</t>
    </r>
    <r>
      <rPr>
        <rFont val="Calibri"/>
        <color rgb="FF434343"/>
        <sz val="8.0"/>
      </rPr>
      <t xml:space="preserve">Tentativa de conclusão realizada no aplicativo, porém sem sucesso, indicando possível falha no processo de finalização ou sincronização.
</t>
    </r>
    <r>
      <rPr>
        <rFont val="Calibri"/>
        <b/>
        <color rgb="FF434343"/>
        <sz val="8.0"/>
      </rPr>
      <t xml:space="preserve">Impacto:
</t>
    </r>
    <r>
      <rPr>
        <rFont val="Calibri"/>
        <color rgb="FF434343"/>
        <sz val="8.0"/>
      </rPr>
      <t xml:space="preserve">A impossibilidade de concluir a demanda compromete o fluxo operacional, podendo gerar pendências indevidas e inconsistências no controle das atividades.
</t>
    </r>
    <r>
      <rPr>
        <rFont val="Calibri"/>
        <b/>
        <color rgb="FF434343"/>
        <sz val="8.0"/>
      </rPr>
      <t xml:space="preserve">Objetivo:
</t>
    </r>
    <r>
      <rPr>
        <rFont val="Calibri"/>
        <color rgb="FF434343"/>
        <sz val="8.0"/>
      </rPr>
      <t xml:space="preserve">Identificar a causa da falha na conclusão da demanda e garantir o correto funcionamento da funcionalidade no aplicativo.
</t>
    </r>
    <r>
      <rPr>
        <rFont val="Calibri"/>
        <b/>
        <color rgb="FF434343"/>
        <sz val="8.0"/>
      </rPr>
      <t xml:space="preserve">Observação:
</t>
    </r>
    <r>
      <rPr>
        <rFont val="Calibri"/>
        <color rgb="FF434343"/>
        <sz val="8.0"/>
      </rPr>
      <t>Necessário validar regras de finalização, integração com o backend e possíveis erros de sincronização.</t>
    </r>
  </si>
  <si>
    <t>TTG1F81
RKV9E79</t>
  </si>
  <si>
    <t>LNR LTW5H56 1846</t>
  </si>
  <si>
    <t>2026000285</t>
  </si>
  <si>
    <t>3197161-1227</t>
  </si>
  <si>
    <t>LNR LTW5H60 5572</t>
  </si>
  <si>
    <r>
      <rPr>
        <rFont val="Calibri"/>
        <b/>
        <color rgb="FF434343"/>
        <sz val="8.0"/>
      </rPr>
      <t xml:space="preserve">Solicitação:
</t>
    </r>
    <r>
      <rPr>
        <rFont val="Calibri"/>
        <color rgb="FF434343"/>
        <sz val="8.0"/>
      </rPr>
      <t xml:space="preserve">Ajustar a métrica de contagem do veículo para quilometragem (KM) ao invés de horímetro (horas).
</t>
    </r>
    <r>
      <rPr>
        <rFont val="Calibri"/>
        <b/>
        <color rgb="FF434343"/>
        <sz val="8.0"/>
      </rPr>
      <t xml:space="preserve">Problema:
</t>
    </r>
    <r>
      <rPr>
        <rFont val="Calibri"/>
        <color rgb="FF434343"/>
        <sz val="8.0"/>
      </rPr>
      <t xml:space="preserve">Atualmente, o sistema está contabilizando horímetro no lugar de quilometragem, divergindo do padrão esperado para a operação.
</t>
    </r>
    <r>
      <rPr>
        <rFont val="Calibri"/>
        <b/>
        <color rgb="FF434343"/>
        <sz val="8.0"/>
      </rPr>
      <t xml:space="preserve">Verificação:
</t>
    </r>
    <r>
      <rPr>
        <rFont val="Calibri"/>
        <color rgb="FF434343"/>
        <sz val="8.0"/>
      </rPr>
      <t>Conforme evidência enviada, o indicador está sendo apresentado em horas (h) ao invés de KM, indicando possível configuração incorreta do tipo de medição do veículo.
I</t>
    </r>
    <r>
      <rPr>
        <rFont val="Calibri"/>
        <b/>
        <color rgb="FF434343"/>
        <sz val="8.0"/>
      </rPr>
      <t xml:space="preserve">mpacto:
</t>
    </r>
    <r>
      <rPr>
        <rFont val="Calibri"/>
        <color rgb="FF434343"/>
        <sz val="8.0"/>
      </rPr>
      <t xml:space="preserve">A utilização de horímetro em vez de KM compromete a análise operacional, relatórios e indicadores de performance.
</t>
    </r>
    <r>
      <rPr>
        <rFont val="Calibri"/>
        <b/>
        <color rgb="FF434343"/>
        <sz val="8.0"/>
      </rPr>
      <t xml:space="preserve">Objetivo:
</t>
    </r>
    <r>
      <rPr>
        <rFont val="Calibri"/>
        <color rgb="FF434343"/>
        <sz val="8.0"/>
      </rPr>
      <t xml:space="preserve">Alterar a configuração para que o veículo passe a contabilizar e exibir quilometragem (KM) corretamente.
</t>
    </r>
    <r>
      <rPr>
        <rFont val="Calibri"/>
        <b/>
        <color rgb="FF434343"/>
        <sz val="8.0"/>
      </rPr>
      <t xml:space="preserve">Observação:
</t>
    </r>
    <r>
      <rPr>
        <rFont val="Calibri"/>
        <color rgb="FF434343"/>
        <sz val="8.0"/>
      </rPr>
      <t>Necessário validar o tipo de veículo/configuração (hodômetro x horímetro) e garantir que a alteração não impacte históricos já registrados.</t>
    </r>
  </si>
  <si>
    <t>TTT9J22</t>
  </si>
  <si>
    <t>LNR LTW5H63 3319</t>
  </si>
  <si>
    <r>
      <rPr>
        <rFont val="Calibri"/>
        <b/>
        <color rgb="FF434343"/>
        <sz val="8.0"/>
      </rPr>
      <t xml:space="preserve">12/05 - </t>
    </r>
    <r>
      <rPr>
        <rFont val="Calibri"/>
        <color rgb="FF434343"/>
        <sz val="8.0"/>
      </rPr>
      <t xml:space="preserve">Estamos validando os dados e debugando o bug.
</t>
    </r>
    <r>
      <rPr>
        <rFont val="Calibri"/>
        <b/>
        <color rgb="FF434343"/>
        <sz val="8.0"/>
      </rPr>
      <t xml:space="preserve">14/05 - </t>
    </r>
    <r>
      <rPr>
        <rFont val="Calibri"/>
        <color rgb="FF434343"/>
        <sz val="8.0"/>
      </rPr>
      <t>Correção realizada e hodometro voltou a normalidade.</t>
    </r>
  </si>
  <si>
    <t>2026000286</t>
  </si>
  <si>
    <t>LNR LTW5H74 7595</t>
  </si>
  <si>
    <t>ATUALIZAR RELAÇÃO DE FATURADOS E FIDELIDADE</t>
  </si>
  <si>
    <t>Magda</t>
  </si>
  <si>
    <t>319924-9622</t>
  </si>
  <si>
    <t>LNR LTW5H75 8463</t>
  </si>
  <si>
    <r>
      <rPr>
        <rFont val="Calibri"/>
        <b/>
        <color rgb="FF434343"/>
        <sz val="8.0"/>
      </rPr>
      <t xml:space="preserve">Solicitação:
</t>
    </r>
    <r>
      <rPr>
        <rFont val="Calibri"/>
        <color rgb="FF434343"/>
        <sz val="8.0"/>
      </rPr>
      <t xml:space="preserve">Avaliar e, se possível, implementar a exibição obrigatória de pesquisa no aplicativo, bloqueando o acesso às demais funcionalidades até sua conclusão.
</t>
    </r>
    <r>
      <rPr>
        <rFont val="Calibri"/>
        <b/>
        <color rgb="FF434343"/>
        <sz val="8.0"/>
      </rPr>
      <t xml:space="preserve">Problema:
</t>
    </r>
    <r>
      <rPr>
        <rFont val="Calibri"/>
        <color rgb="FF434343"/>
        <sz val="8.0"/>
      </rPr>
      <t xml:space="preserve">A ação já foi divulgada pelo Marketing aos motoristas, porém o nível de engajamento ficou abaixo do esperado.
</t>
    </r>
    <r>
      <rPr>
        <rFont val="Calibri"/>
        <b/>
        <color rgb="FF434343"/>
        <sz val="8.0"/>
      </rPr>
      <t xml:space="preserve">Necessidade:
</t>
    </r>
    <r>
      <rPr>
        <rFont val="Calibri"/>
        <color rgb="FF434343"/>
        <sz val="8.0"/>
      </rPr>
      <t xml:space="preserve">Configurar a pesquisa para aparecer na tela inicial de forma obrigatória, por meio de um pop-up bloqueante, impedindo a navegação no sistema até que o usuário finalize o preenchimento.
</t>
    </r>
    <r>
      <rPr>
        <rFont val="Calibri"/>
        <b/>
        <color rgb="FF434343"/>
        <sz val="8.0"/>
      </rPr>
      <t xml:space="preserve">Contexto:
</t>
    </r>
    <r>
      <rPr>
        <rFont val="Calibri"/>
        <color rgb="FF434343"/>
        <sz val="8.0"/>
      </rPr>
      <t xml:space="preserve">A pesquisa possui prazo limitado, com encerramento previsto para amanhã, sendo necessário aplicar a medida ainda hoje para aumentar a taxa de resposta.
</t>
    </r>
    <r>
      <rPr>
        <rFont val="Calibri"/>
        <b/>
        <color rgb="FF434343"/>
        <sz val="8.0"/>
      </rPr>
      <t xml:space="preserve">Impacto:
</t>
    </r>
    <r>
      <rPr>
        <rFont val="Calibri"/>
        <color rgb="FF434343"/>
        <sz val="8.0"/>
      </rPr>
      <t xml:space="preserve">Sem a obrigatoriedade, há risco de baixa adesão, comprometendo a coleta de dados e a efetividade da ação de Marketing.
</t>
    </r>
    <r>
      <rPr>
        <rFont val="Calibri"/>
        <b/>
        <color rgb="FF434343"/>
        <sz val="8.0"/>
      </rPr>
      <t xml:space="preserve">Objetivo:
</t>
    </r>
    <r>
      <rPr>
        <rFont val="Calibri"/>
        <color rgb="FF434343"/>
        <sz val="8.0"/>
      </rPr>
      <t xml:space="preserve">Garantir maior engajamento dos motoristas, forçando a interação com a pesquisa antes do acesso ao aplicativo.
</t>
    </r>
    <r>
      <rPr>
        <rFont val="Calibri"/>
        <b/>
        <color rgb="FF434343"/>
        <sz val="8.0"/>
      </rPr>
      <t xml:space="preserve">Observação:
</t>
    </r>
    <r>
      <rPr>
        <rFont val="Calibri"/>
        <color rgb="FF434343"/>
        <sz val="8.0"/>
      </rPr>
      <t>Necessário avaliar impacto técnico e tempo de implementação, considerando a urgência da demanda (prazo imediato).</t>
    </r>
  </si>
  <si>
    <t>LNR LTW5H76 6099</t>
  </si>
  <si>
    <r>
      <rPr>
        <rFont val="Calibri"/>
        <b/>
        <color rgb="FF434343"/>
        <sz val="8.0"/>
      </rPr>
      <t xml:space="preserve">29/04 - </t>
    </r>
    <r>
      <rPr>
        <rFont val="Calibri"/>
        <b val="0"/>
        <color rgb="FF434343"/>
        <sz val="8.0"/>
      </rPr>
      <t>Entregamos a demanda, acrescentando um card no app enfatizando a pesquisa, além do link disponibilizado também no canal de comunicação. Para um bloqueio geral no app, será levantado requisitos com o setor responsável para melhoria do nosso forms FACSS.</t>
    </r>
  </si>
  <si>
    <t>LNR LTW5H77 9288</t>
  </si>
  <si>
    <t>2026000287</t>
  </si>
  <si>
    <t>3197130-2701</t>
  </si>
  <si>
    <t>LNR LUA1D03 3576</t>
  </si>
  <si>
    <t>ENTEDER COM O CLIENTE O PORQUÊ NÃO ESTÁ PREMIANDO</t>
  </si>
  <si>
    <r>
      <rPr>
        <rFont val="Calibri"/>
        <b/>
        <color rgb="FF434343"/>
        <sz val="8.0"/>
      </rPr>
      <t xml:space="preserve">Solicitação:
</t>
    </r>
    <r>
      <rPr>
        <rFont val="Calibri"/>
        <color rgb="FF434343"/>
        <sz val="8.0"/>
      </rPr>
      <t xml:space="preserve">Verificar tempo de atualização (delay) entre o sistema Rodopar e o App do Motorista, referente ao envio e processamento de notas.
</t>
    </r>
    <r>
      <rPr>
        <rFont val="Calibri"/>
        <b/>
        <color rgb="FF434343"/>
        <sz val="8.0"/>
      </rPr>
      <t xml:space="preserve">Problema:
</t>
    </r>
    <r>
      <rPr>
        <rFont val="Calibri"/>
        <color rgb="FF434343"/>
        <sz val="8.0"/>
      </rPr>
      <t xml:space="preserve">Motoristas estão relatando que, após o envio das notas, as informações não são atualizadas no aplicativo, gerando a percepção de que as notas não foram emitidas.
</t>
    </r>
    <r>
      <rPr>
        <rFont val="Calibri"/>
        <b/>
        <color rgb="FF434343"/>
        <sz val="8.0"/>
      </rPr>
      <t xml:space="preserve">Verificação:
</t>
    </r>
    <r>
      <rPr>
        <rFont val="Calibri"/>
        <color rgb="FF434343"/>
        <sz val="8.0"/>
      </rPr>
      <t xml:space="preserve">Indício de possível atraso na sincronização entre os sistemas, porém sem clareza do tempo médio de atualização.
</t>
    </r>
    <r>
      <rPr>
        <rFont val="Calibri"/>
        <b/>
        <color rgb="FF434343"/>
        <sz val="8.0"/>
      </rPr>
      <t xml:space="preserve">Impacto:
</t>
    </r>
    <r>
      <rPr>
        <rFont val="Calibri"/>
        <color rgb="FF434343"/>
        <sz val="8.0"/>
      </rPr>
      <t xml:space="preserve">A falta de atualização imediata gera dúvidas operacionais e aumento de chamados por parte dos motoristas, impactando o suporte.
</t>
    </r>
    <r>
      <rPr>
        <rFont val="Calibri"/>
        <b/>
        <color rgb="FF434343"/>
        <sz val="8.0"/>
      </rPr>
      <t xml:space="preserve">Objetivo:
</t>
    </r>
    <r>
      <rPr>
        <rFont val="Calibri"/>
        <color rgb="FF434343"/>
        <sz val="8.0"/>
      </rPr>
      <t xml:space="preserve">Identificar e informar o tempo médio de delay entre o envio das notas no Rodopar e a atualização no App do Motorista, possibilitando um retorno assertivo aos usuários.
</t>
    </r>
    <r>
      <rPr>
        <rFont val="Calibri"/>
        <b/>
        <color rgb="FF434343"/>
        <sz val="8.0"/>
      </rPr>
      <t xml:space="preserve">Observação:
</t>
    </r>
    <r>
      <rPr>
        <rFont val="Calibri"/>
        <color rgb="FF434343"/>
        <sz val="8.0"/>
      </rPr>
      <t>Caso o tempo esteja acima do esperado, avaliar possíveis falhas de integração ou gargalos na sincronização entre os sistemas.</t>
    </r>
  </si>
  <si>
    <t>LNR LUB8B69 5300</t>
  </si>
  <si>
    <t>LNR LUC1C11 8526</t>
  </si>
  <si>
    <t>2026000288</t>
  </si>
  <si>
    <t>3199445-0454</t>
  </si>
  <si>
    <t>LNR LUC8A20 3535</t>
  </si>
  <si>
    <t>LNR LUC8A21 4891</t>
  </si>
  <si>
    <r>
      <rPr>
        <rFont val="Calibri"/>
        <b/>
        <color rgb="FF434343"/>
        <sz val="8.0"/>
      </rPr>
      <t xml:space="preserve">Solicitação:
</t>
    </r>
    <r>
      <rPr>
        <rFont val="Calibri"/>
        <color rgb="FF434343"/>
        <sz val="8.0"/>
      </rPr>
      <t xml:space="preserve">Espelhar o perfil de acesso do usuário Gabriel Fernandes Inacio para a usuária Maíra Luize Sotero, garantindo também acesso à funcionalidade de troca de motoristas.
</t>
    </r>
    <r>
      <rPr>
        <rFont val="Calibri"/>
        <b/>
        <color rgb="FF434343"/>
        <sz val="8.0"/>
      </rPr>
      <t xml:space="preserve">Problema:
</t>
    </r>
    <r>
      <rPr>
        <rFont val="Calibri"/>
        <color rgb="FF434343"/>
        <sz val="8.0"/>
      </rPr>
      <t xml:space="preserve">A usuária Maíra Luize Sotero necessita das mesmas permissões do usuário Gabriel Fernandes Inacio para execução das atividades operacionais, porém atualmente não possui esses acessos, incluindo a troca de motoristas.
</t>
    </r>
    <r>
      <rPr>
        <rFont val="Calibri"/>
        <b/>
        <color rgb="FF434343"/>
        <sz val="8.0"/>
      </rPr>
      <t xml:space="preserve">Dados:
</t>
    </r>
    <r>
      <rPr>
        <rFont val="Calibri"/>
        <color rgb="FF434343"/>
        <sz val="8.0"/>
      </rPr>
      <t xml:space="preserve">Gabriel Fernandes Inacio
ID: awGtBry0mca9pXgUbXUsrq8Jaer1
Email: gabriel.inacio@lenarge.com.br
Maíra Luize Sotero
ID: VKOjXgQrkUZZpY7v6DtqoUnv9iC2
Email: maira.sotero@lenarge.com.br
</t>
    </r>
    <r>
      <rPr>
        <rFont val="Calibri"/>
        <b/>
        <color rgb="FF434343"/>
        <sz val="8.0"/>
      </rPr>
      <t xml:space="preserve">Impacto:
</t>
    </r>
    <r>
      <rPr>
        <rFont val="Calibri"/>
        <color rgb="FF434343"/>
        <sz val="8.0"/>
      </rPr>
      <t xml:space="preserve">A ausência de permissões, especialmente a funcionalidade de troca de motoristas, impede a execução de atividades essenciais, impactando a operação.
</t>
    </r>
    <r>
      <rPr>
        <rFont val="Calibri"/>
        <b/>
        <color rgb="FF434343"/>
        <sz val="8.0"/>
      </rPr>
      <t xml:space="preserve">Objetivo:
</t>
    </r>
    <r>
      <rPr>
        <rFont val="Calibri"/>
        <color rgb="FF434343"/>
        <sz val="8.0"/>
      </rPr>
      <t xml:space="preserve">Replicar integralmente as permissões do usuário Gabriel Fernandes Inacio para a usuária Maíra Luize Sotero, assegurando explicitamente o acesso à troca de motoristas.
</t>
    </r>
    <r>
      <rPr>
        <rFont val="Calibri"/>
        <b/>
        <color rgb="FF434343"/>
        <sz val="8.0"/>
      </rPr>
      <t xml:space="preserve">Observação:
</t>
    </r>
    <r>
      <rPr>
        <rFont val="Calibri"/>
        <color rgb="FF434343"/>
        <sz val="8.0"/>
      </rPr>
      <t>Existe aceite formal (via e-mail) da responsável Juliana autorizando a concessão de acesso. Validar após o espelhamento se todas as permissões foram aplicadas corretamente, principalmente a de troca de motoristas.</t>
    </r>
  </si>
  <si>
    <r>
      <rPr>
        <rFont val="Calibri"/>
        <b/>
        <color rgb="FF434343"/>
        <sz val="8.0"/>
      </rPr>
      <t xml:space="preserve">30/04 - </t>
    </r>
    <r>
      <rPr>
        <rFont val="Calibri"/>
        <color rgb="FF434343"/>
        <sz val="8.0"/>
      </rPr>
      <t>Após email de aceite da Juliana enviado hoje, foi liberado a permissão</t>
    </r>
  </si>
  <si>
    <t>LNR LUC8A22 9585</t>
  </si>
  <si>
    <t>2026000289</t>
  </si>
  <si>
    <t>3199638-0791</t>
  </si>
  <si>
    <t>LNR LUC8A23 5073</t>
  </si>
  <si>
    <r>
      <rPr>
        <rFont val="Calibri"/>
        <b/>
        <color rgb="FF434343"/>
        <sz val="8.0"/>
      </rPr>
      <t xml:space="preserve">Solicitação:
</t>
    </r>
    <r>
      <rPr>
        <rFont val="Calibri"/>
        <color rgb="FF434343"/>
        <sz val="8.0"/>
      </rPr>
      <t xml:space="preserve">Verificar inconsistência nos dados de telemetria/performance do veículo TTR0F61, vinculado ao motorista Nilton Luiz de Moura.
</t>
    </r>
    <r>
      <rPr>
        <rFont val="Calibri"/>
        <b/>
        <color rgb="FF434343"/>
        <sz val="8.0"/>
      </rPr>
      <t xml:space="preserve">Problema:
</t>
    </r>
    <r>
      <rPr>
        <rFont val="Calibri"/>
        <color rgb="FF434343"/>
        <sz val="8.0"/>
      </rPr>
      <t xml:space="preserve">Os dados do veículo e do motorista estão sendo apresentados como zerados, mesmo com o veículo operando normalmente.
</t>
    </r>
    <r>
      <rPr>
        <rFont val="Calibri"/>
        <b/>
        <color rgb="FF434343"/>
        <sz val="8.0"/>
      </rPr>
      <t xml:space="preserve">Verificação:
</t>
    </r>
    <r>
      <rPr>
        <rFont val="Calibri"/>
        <color rgb="FF434343"/>
        <sz val="8.0"/>
      </rPr>
      <t xml:space="preserve">O último registro de dados tanto do veículo quanto do motorista foi no dia 30/04/2026.
No Traccar, as informações estão sendo recebidas normalmente, indicando que o módulo está comunicando.
</t>
    </r>
    <r>
      <rPr>
        <rFont val="Calibri"/>
        <b/>
        <color rgb="FF434343"/>
        <sz val="8.0"/>
      </rPr>
      <t xml:space="preserve">Ação Realizada:
</t>
    </r>
    <r>
      <rPr>
        <rFont val="Calibri"/>
        <color rgb="FF434343"/>
        <sz val="8.0"/>
      </rPr>
      <t xml:space="preserve">Foi enviada configuração remota para o módulo, como tentativa de normalizar o envio/processamento dos dados.
</t>
    </r>
    <r>
      <rPr>
        <rFont val="Calibri"/>
        <b/>
        <color rgb="FF434343"/>
        <sz val="8.0"/>
      </rPr>
      <t xml:space="preserve">Impacto:
</t>
    </r>
    <r>
      <rPr>
        <rFont val="Calibri"/>
        <color rgb="FF434343"/>
        <sz val="8.0"/>
      </rPr>
      <t xml:space="preserve">A ausência de dados válidos compromete a análise de performance e o acompanhamento operacional do motorista e do veículo.
</t>
    </r>
    <r>
      <rPr>
        <rFont val="Calibri"/>
        <b/>
        <color rgb="FF434343"/>
        <sz val="8.0"/>
      </rPr>
      <t xml:space="preserve">Objetivo:
</t>
    </r>
    <r>
      <rPr>
        <rFont val="Calibri"/>
        <color rgb="FF434343"/>
        <sz val="8.0"/>
      </rPr>
      <t xml:space="preserve">Identificar a causa da não atualização dos dados no sistema, mesmo com comunicação ativa do módulo, e restabelecer a geração correta das informações.
</t>
    </r>
    <r>
      <rPr>
        <rFont val="Calibri"/>
        <b/>
        <color rgb="FF434343"/>
        <sz val="8.0"/>
      </rPr>
      <t xml:space="preserve">Observação:
</t>
    </r>
    <r>
      <rPr>
        <rFont val="Calibri"/>
        <color rgb="FF434343"/>
        <sz val="8.0"/>
      </rPr>
      <t>Necessário validar processamento da telemetria, integração entre rastreamento e sistema, e possíveis falhas na associação dos dados.</t>
    </r>
  </si>
  <si>
    <t>LNR LUC8A24 3680</t>
  </si>
  <si>
    <t>TTR0661</t>
  </si>
  <si>
    <t>12/05 -  Atualizado os dados, na regra vamos desconsiderar o km pico (Distância elevada que o módulo descarregou no primeiro ping). Veículo voltou a reportar.</t>
  </si>
  <si>
    <t>LNR LUC8A25 8965</t>
  </si>
  <si>
    <t>2026000290</t>
  </si>
  <si>
    <t>LNR LUC8A26 1250</t>
  </si>
  <si>
    <t>3199954-1748</t>
  </si>
  <si>
    <t>LNR LUC8A27 4328</t>
  </si>
  <si>
    <r>
      <rPr>
        <rFont val="Calibri"/>
        <b/>
        <color rgb="FF434343"/>
        <sz val="8.0"/>
      </rPr>
      <t xml:space="preserve">Solicitação:
</t>
    </r>
    <r>
      <rPr>
        <rFont val="Calibri"/>
        <color rgb="FF434343"/>
        <sz val="8.0"/>
      </rPr>
      <t xml:space="preserve">Verificar ausência de dados de performance para os motoristas listados abaixo na última semana.
Motoristas / Veículos:
Pedro Henrique Prado – Placa RVC2C77
Robson Peixoto – Placa RVC2C77
Rodrigo Anselmo Vital – Placa RMF3I15
</t>
    </r>
    <r>
      <rPr>
        <rFont val="Calibri"/>
        <b/>
        <color rgb="FF434343"/>
        <sz val="8.0"/>
      </rPr>
      <t xml:space="preserve">Problema:
</t>
    </r>
    <r>
      <rPr>
        <rFont val="Calibri"/>
        <color rgb="FF434343"/>
        <sz val="8.0"/>
      </rPr>
      <t xml:space="preserve">Os motoristas estão sem geração de performance, sendo que o último registro ocorreu no dia 25/04/2026.
</t>
    </r>
    <r>
      <rPr>
        <rFont val="Calibri"/>
        <b/>
        <color rgb="FF434343"/>
        <sz val="8.0"/>
      </rPr>
      <t xml:space="preserve">Verificação:
</t>
    </r>
    <r>
      <rPr>
        <rFont val="Calibri"/>
        <color rgb="FF434343"/>
        <sz val="8.0"/>
      </rPr>
      <t xml:space="preserve">Ao analisar no Traccar, foi identificado que as informações não estavam chegando.
Entretanto, no sistema de tracking, os dados estão sendo recebidos normalmente.
</t>
    </r>
    <r>
      <rPr>
        <rFont val="Calibri"/>
        <b/>
        <color rgb="FF434343"/>
        <sz val="8.0"/>
      </rPr>
      <t xml:space="preserve">Ação Realizada:
</t>
    </r>
    <r>
      <rPr>
        <rFont val="Calibri"/>
        <color rgb="FF434343"/>
        <sz val="8.0"/>
      </rPr>
      <t xml:space="preserve">Foi enviada configuração remota para os módulos dos veículos, visando restabelecer a comunicação.
</t>
    </r>
    <r>
      <rPr>
        <rFont val="Calibri"/>
        <b/>
        <color rgb="FF434343"/>
        <sz val="8.0"/>
      </rPr>
      <t xml:space="preserve">Impacto:
</t>
    </r>
    <r>
      <rPr>
        <rFont val="Calibri"/>
        <color rgb="FF434343"/>
        <sz val="8.0"/>
      </rPr>
      <t xml:space="preserve">A ausência de dados de performance compromete o acompanhamento operacional e a avaliação dos motoristas.
</t>
    </r>
    <r>
      <rPr>
        <rFont val="Calibri"/>
        <b/>
        <color rgb="FF434343"/>
        <sz val="8.0"/>
      </rPr>
      <t xml:space="preserve">Objetivo:
</t>
    </r>
    <r>
      <rPr>
        <rFont val="Calibri"/>
        <color rgb="FF434343"/>
        <sz val="8.0"/>
      </rPr>
      <t xml:space="preserve">Identificar a divergência entre os sistemas (Traccar x tracking) e restabelecer a geração correta de dados de performance.
</t>
    </r>
    <r>
      <rPr>
        <rFont val="Calibri"/>
        <b/>
        <color rgb="FF434343"/>
        <sz val="8.0"/>
      </rPr>
      <t xml:space="preserve">Observação:
</t>
    </r>
    <r>
      <rPr>
        <rFont val="Calibri"/>
        <color rgb="FF434343"/>
        <sz val="8.0"/>
      </rPr>
      <t>Necessário validar integração entre os sistemas e acompanhar após envio da configuração remota para verificar normalização dos dados.</t>
    </r>
  </si>
  <si>
    <t>RVC2C77
RMF3I15</t>
  </si>
  <si>
    <t xml:space="preserve">Config do módulo estava destualizada, atualizei e voltoram a reportar. </t>
  </si>
  <si>
    <t>LNR LUC8A29 0972</t>
  </si>
  <si>
    <t>2026000291</t>
  </si>
  <si>
    <t>3199508-3248</t>
  </si>
  <si>
    <t>LNR LUC8A30 6475</t>
  </si>
  <si>
    <t>SOLICITAR FLYER DE APRESENTAÇÃO DO PRODUTO</t>
  </si>
  <si>
    <r>
      <rPr>
        <rFont val="Calibri"/>
        <b/>
        <color rgb="FF434343"/>
        <sz val="8.0"/>
      </rPr>
      <t>Solicitação:</t>
    </r>
    <r>
      <rPr>
        <rFont val="Calibri"/>
        <color rgb="FF434343"/>
        <sz val="8.0"/>
      </rPr>
      <t xml:space="preserve">
Verificar ausência de dados de performance para os motoristas listados abaixo.
Motoristas / Veículos:
Iago Rosa dos Santos – Placa RJJ5E64
Último report do motorista: 11/03/2026 (no veículo RBE9E40)
Último report do veículo RJJ5E64: 21/11/2025
Janilson da Conceição Amorim – Placa RJE6H28
Último report (motorista e veículo): 30/04/2026
Pedro Gabriel de Carvalho Mendonça – Placa RBE9D11
Último report (motorista e veículo): 02/05/2026
</t>
    </r>
    <r>
      <rPr>
        <rFont val="Calibri"/>
        <b/>
        <color rgb="FF434343"/>
        <sz val="8.0"/>
      </rPr>
      <t>Problema:</t>
    </r>
    <r>
      <rPr>
        <rFont val="Calibri"/>
        <color rgb="FF434343"/>
        <sz val="8.0"/>
      </rPr>
      <t xml:space="preserve">
Os motoristas acima estão sem geração de dados de performance ou com registros desatualizados.
</t>
    </r>
    <r>
      <rPr>
        <rFont val="Calibri"/>
        <b/>
        <color rgb="FF434343"/>
        <sz val="8.0"/>
      </rPr>
      <t>Verificação:</t>
    </r>
    <r>
      <rPr>
        <rFont val="Calibri"/>
        <color rgb="FF434343"/>
        <sz val="8.0"/>
      </rPr>
      <t xml:space="preserve">
No sistema de rastreamento (Traccar), as informações estão chegando normalmente para todos, exceto para o veículo RJJ5E64, que não apresenta comunicação.
</t>
    </r>
    <r>
      <rPr>
        <rFont val="Calibri"/>
        <b/>
        <color rgb="FF434343"/>
        <sz val="8.0"/>
      </rPr>
      <t>Ação Realizada:</t>
    </r>
    <r>
      <rPr>
        <rFont val="Calibri"/>
        <color rgb="FF434343"/>
        <sz val="8.0"/>
      </rPr>
      <t xml:space="preserve">
Foi enviada configuração remota para os módulos, visando restabelecer o envio de dados.
</t>
    </r>
    <r>
      <rPr>
        <rFont val="Calibri"/>
        <b/>
        <color rgb="FF434343"/>
        <sz val="8.0"/>
      </rPr>
      <t>Impacto:</t>
    </r>
    <r>
      <rPr>
        <rFont val="Calibri"/>
        <color rgb="FF434343"/>
        <sz val="8.0"/>
      </rPr>
      <t xml:space="preserve">
A ausência ou desatualização dos dados compromete a análise de performance dos motoristas e o acompanhamento operacional.
</t>
    </r>
    <r>
      <rPr>
        <rFont val="Calibri"/>
        <b/>
        <color rgb="FF434343"/>
        <sz val="8.0"/>
      </rPr>
      <t xml:space="preserve">
Objetivo:</t>
    </r>
    <r>
      <rPr>
        <rFont val="Calibri"/>
        <color rgb="FF434343"/>
        <sz val="8.0"/>
      </rPr>
      <t xml:space="preserve">
Identificar a causa da falta de atualização dos dados e normalizar a geração de performance para todos os casos.
</t>
    </r>
    <r>
      <rPr>
        <rFont val="Calibri"/>
        <b/>
        <color rgb="FF434343"/>
        <sz val="8.0"/>
      </rPr>
      <t xml:space="preserve">Observação:
</t>
    </r>
    <r>
      <rPr>
        <rFont val="Calibri"/>
        <color rgb="FF434343"/>
        <sz val="8.0"/>
      </rPr>
      <t>Necessário validar comunicação do módulo (principalmente do veículo RJJ5E64), integração dos dados e vínculo entre motorista e veículo.</t>
    </r>
  </si>
  <si>
    <t>LNR LUC8A31 7783</t>
  </si>
  <si>
    <t>RJJ5E64
RJE6H28
RBE9D11</t>
  </si>
  <si>
    <r>
      <rPr>
        <rFont val="Calibri"/>
        <b/>
        <color rgb="FF434343"/>
        <sz val="8.0"/>
      </rPr>
      <t xml:space="preserve">11/05 - Marlon Brendon 
- JANILSON DA CONCEICAO AMORIM - RJE6H28: Veículo e motorista voltou a performar dia 04/05 - CONLCUÍDO
- PEDRO GABRIEL DE CARVALHO MENDONCA - RBE9D11: Veículo performando e motorista também. O mesmo performou até a data de desligamento que foi no dia 06/05 - CONCLUÍDO
- IAGO ROSA DOS SANTOS - RJJ5E64:Veículo sem performance. Motorista rodou o mês todo nesse veículo porem não está chegando performance para ele. Jornada chegando normalmente e identificando ele no veículo. - EM ANÁLISE TÉCNICA
12/05 - </t>
    </r>
    <r>
      <rPr>
        <rFont val="Calibri"/>
        <b val="0"/>
        <color rgb="FF434343"/>
        <sz val="8.0"/>
      </rPr>
      <t>Caso do Iago Rosa RJJ5E64, o veículo não está apresentando performance. Sugerimos enviar uma nova config para o veículo, para ver a atualização. Acompanhar para ver se o veículo irá reportar, caso não, avaliar a troca do módulo.</t>
    </r>
  </si>
  <si>
    <t>LNR LUC8A32 7239</t>
  </si>
  <si>
    <t>LNR LUC8A34 6706</t>
  </si>
  <si>
    <t>2026000292</t>
  </si>
  <si>
    <t>SISTEMA CAIU</t>
  </si>
  <si>
    <t>LNR LUC9B78 9047</t>
  </si>
  <si>
    <t>3199874-5004</t>
  </si>
  <si>
    <t>LNR LUH7H77 7802</t>
  </si>
  <si>
    <r>
      <rPr>
        <rFont val="Calibri"/>
        <b/>
        <color rgb="FF434343"/>
        <sz val="8.0"/>
      </rPr>
      <t xml:space="preserve">Solicitação:
</t>
    </r>
    <r>
      <rPr>
        <rFont val="Calibri"/>
        <color rgb="FF434343"/>
        <sz val="8.0"/>
      </rPr>
      <t xml:space="preserve">Verificar divergência de quilometragem para o veículo TTB4A45, vinculado ao motorista Fabrício Gusmão Murta.
</t>
    </r>
    <r>
      <rPr>
        <rFont val="Calibri"/>
        <b/>
        <color rgb="FF434343"/>
        <sz val="8.0"/>
      </rPr>
      <t xml:space="preserve">Problema:
</t>
    </r>
    <r>
      <rPr>
        <rFont val="Calibri"/>
        <color rgb="FF434343"/>
        <sz val="8.0"/>
      </rPr>
      <t xml:space="preserve">Há inconsistência entre os dados de KM registrados no sistema interno e no relatório da Sascar.
</t>
    </r>
    <r>
      <rPr>
        <rFont val="Calibri"/>
        <b/>
        <color rgb="FF434343"/>
        <sz val="8.0"/>
      </rPr>
      <t xml:space="preserve">Verificação:
</t>
    </r>
    <r>
      <rPr>
        <rFont val="Calibri"/>
        <color rgb="FF434343"/>
        <sz val="8.0"/>
      </rPr>
      <t xml:space="preserve">No dia 02/05/2026, conforme relatório da Sascar, o veículo rodou 273 km, porém no sistema foi contabilizado apenas 17 km.
No dia 03/05/2026, o relatório da Sascar aponta 189 km rodados, enquanto no sistema foi registrado 0 km.
</t>
    </r>
    <r>
      <rPr>
        <rFont val="Calibri"/>
        <b/>
        <color rgb="FF434343"/>
        <sz val="8.0"/>
      </rPr>
      <t xml:space="preserve">Impacto:
</t>
    </r>
    <r>
      <rPr>
        <rFont val="Calibri"/>
        <color rgb="FF434343"/>
        <sz val="8.0"/>
      </rPr>
      <t xml:space="preserve">A divergência compromete a confiabilidade dos dados de deslocamento e impacta diretamente a análise de performance e operação.
</t>
    </r>
    <r>
      <rPr>
        <rFont val="Calibri"/>
        <b/>
        <color rgb="FF434343"/>
        <sz val="8.0"/>
      </rPr>
      <t xml:space="preserve">Objetivo:
</t>
    </r>
    <r>
      <rPr>
        <rFont val="Calibri"/>
        <color rgb="FF434343"/>
        <sz val="8.0"/>
      </rPr>
      <t xml:space="preserve">Identificar a causa da inconsistência na contabilização de KM e garantir que os dados do sistema estejam alinhados com a origem (Sascar).
</t>
    </r>
    <r>
      <rPr>
        <rFont val="Calibri"/>
        <b/>
        <color rgb="FF434343"/>
        <sz val="8.0"/>
      </rPr>
      <t xml:space="preserve">Observação:
</t>
    </r>
    <r>
      <rPr>
        <rFont val="Calibri"/>
        <color rgb="FF434343"/>
        <sz val="8.0"/>
      </rPr>
      <t>Necessário validar integração, processamento dos dados de telemetria e possíveis falhas na leitura ou cálculo da quilometragem.</t>
    </r>
  </si>
  <si>
    <t>TTB4A45</t>
  </si>
  <si>
    <r>
      <rPr>
        <rFont val="Calibri"/>
        <b/>
        <color rgb="FF434343"/>
        <sz val="8.0"/>
      </rPr>
      <t xml:space="preserve">12/05 - </t>
    </r>
    <r>
      <rPr>
        <rFont val="Calibri"/>
        <color rgb="FF434343"/>
        <sz val="8.0"/>
      </rPr>
      <t>Módulo não estava reportando. A partir do dia 04/05, em ambas telemetrias, os dados chegaram normalmente após envio da config.</t>
    </r>
  </si>
  <si>
    <t>LNR LUH7H78 5690</t>
  </si>
  <si>
    <t>LNR LUH7H79 7222</t>
  </si>
  <si>
    <t>3197144-6221</t>
  </si>
  <si>
    <t>INCONSISTÊNCIA DE DADOS</t>
  </si>
  <si>
    <t>LNR LUK7A00 5507</t>
  </si>
  <si>
    <r>
      <rPr>
        <rFont val="Calibri"/>
        <b/>
        <color rgb="FF434343"/>
        <sz val="8.0"/>
      </rPr>
      <t xml:space="preserve">Solicitação:
</t>
    </r>
    <r>
      <rPr>
        <rFont val="Calibri"/>
        <color rgb="FF434343"/>
        <sz val="8.0"/>
      </rPr>
      <t xml:space="preserve">Verificar ausência de dados de telemetria para a motorista Clarisse Guimarães de Matos.
</t>
    </r>
    <r>
      <rPr>
        <rFont val="Calibri"/>
        <b/>
        <color rgb="FF434343"/>
        <sz val="8.0"/>
      </rPr>
      <t xml:space="preserve">Problema:
</t>
    </r>
    <r>
      <rPr>
        <rFont val="Calibri"/>
        <color rgb="FF434343"/>
        <sz val="8.0"/>
      </rPr>
      <t xml:space="preserve">Não é possível visualizar dados de telemetria da motorista. O último registro ocorreu no dia 13/03/2026, não havendo atualizações após essa data.
</t>
    </r>
    <r>
      <rPr>
        <rFont val="Calibri"/>
        <b/>
        <color rgb="FF434343"/>
        <sz val="8.0"/>
      </rPr>
      <t xml:space="preserve">Verificação:
</t>
    </r>
    <r>
      <rPr>
        <rFont val="Calibri"/>
        <color rgb="FF434343"/>
        <sz val="8.0"/>
      </rPr>
      <t xml:space="preserve">A motorista operou os veículos LUC8A32 e RFD7E91 no período.
No sistema de rastreamento (Traccar), as informações estão sendo recebidas normalmente para os veículos, indicando que os módulos estão comunicando.
</t>
    </r>
    <r>
      <rPr>
        <rFont val="Calibri"/>
        <b/>
        <color rgb="FF434343"/>
        <sz val="8.0"/>
      </rPr>
      <t xml:space="preserve">Impacto:
</t>
    </r>
    <r>
      <rPr>
        <rFont val="Calibri"/>
        <color rgb="FF434343"/>
        <sz val="8.0"/>
      </rPr>
      <t xml:space="preserve">A ausência de dados de telemetria impede a análise de condução e performance da motorista, comprometendo o acompanhamento operacional.
</t>
    </r>
    <r>
      <rPr>
        <rFont val="Calibri"/>
        <b/>
        <color rgb="FF434343"/>
        <sz val="8.0"/>
      </rPr>
      <t xml:space="preserve">Objetivo:
</t>
    </r>
    <r>
      <rPr>
        <rFont val="Calibri"/>
        <color rgb="FF434343"/>
        <sz val="8.0"/>
      </rPr>
      <t xml:space="preserve">Identificar a causa da não associação dos dados de telemetria à motorista e normalizar a exibição das informações no sistema.
</t>
    </r>
    <r>
      <rPr>
        <rFont val="Calibri"/>
        <b/>
        <color rgb="FF434343"/>
        <sz val="8.0"/>
      </rPr>
      <t xml:space="preserve">Observação:
</t>
    </r>
    <r>
      <rPr>
        <rFont val="Calibri"/>
        <color rgb="FF434343"/>
        <sz val="8.0"/>
      </rPr>
      <t>Necessário validar vínculo motorista x veículo, regras de associação de condução e possíveis falhas de integração entre rastreamento e sistema.</t>
    </r>
  </si>
  <si>
    <t>LUC8A32
RFD7E91</t>
  </si>
  <si>
    <t>LNR LUK7I02 3081</t>
  </si>
  <si>
    <r>
      <rPr>
        <rFont val="Calibri"/>
        <b/>
        <color rgb="FF434343"/>
        <sz val="8.0"/>
      </rPr>
      <t xml:space="preserve">11/05 - </t>
    </r>
    <r>
      <rPr>
        <rFont val="Calibri"/>
        <b val="0"/>
        <color rgb="FF434343"/>
        <sz val="8.0"/>
      </rPr>
      <t xml:space="preserve">Após análise, verificamos que houve erro no cadastro da base da sascar, havendo um erro de digitação na matrícula motorista, fazendo com que não recebecemos a jornada da Clarisse, podendo identifica-la em qual veículo estava trabalhando. Foi solicitado ao setor resposnsável do cliente a correção do dados para visualizarmos do dia de amanhã o comportamento do sistema.
</t>
    </r>
    <r>
      <rPr>
        <rFont val="Calibri"/>
        <b/>
        <color rgb="FF434343"/>
        <sz val="8.0"/>
      </rPr>
      <t xml:space="preserve">12/05 - </t>
    </r>
    <r>
      <rPr>
        <rFont val="Calibri"/>
        <b val="0"/>
        <color rgb="FF434343"/>
        <sz val="8.0"/>
      </rPr>
      <t>Jornada da motorista na tela de operações destravada. Agora é realizar o acompamento para validar se a performance da mesma volte a aparecer.</t>
    </r>
  </si>
  <si>
    <t>LNR LUK7I23 5608</t>
  </si>
  <si>
    <t>LNR LUM9J20 7427</t>
  </si>
  <si>
    <t>Veículo SHR3J92 sem report correto das iOs</t>
  </si>
  <si>
    <t xml:space="preserve">SHR3J92 </t>
  </si>
  <si>
    <t>LNR LUO1E27 6531</t>
  </si>
  <si>
    <t>ANALISADO</t>
  </si>
  <si>
    <t>3199987-8777</t>
  </si>
  <si>
    <t>LNR LUO5G82 0252</t>
  </si>
  <si>
    <r>
      <rPr>
        <rFont val="Calibri"/>
        <b/>
        <color rgb="FF434343"/>
        <sz val="8.0"/>
      </rPr>
      <t xml:space="preserve">Solicitação:
</t>
    </r>
    <r>
      <rPr>
        <rFont val="Calibri"/>
        <color rgb="FF434343"/>
        <sz val="8.0"/>
      </rPr>
      <t xml:space="preserve">Avaliar inconsistência na performance dos motoristas Pedro Henrique Prado e Robson Peixoto, vinculados ao veículo de placa RVZ2C77.
</t>
    </r>
    <r>
      <rPr>
        <rFont val="Calibri"/>
        <b/>
        <color rgb="FF434343"/>
        <sz val="8.0"/>
      </rPr>
      <t xml:space="preserve">Problema:
</t>
    </r>
    <r>
      <rPr>
        <rFont val="Calibri"/>
        <color rgb="FF434343"/>
        <sz val="8.0"/>
      </rPr>
      <t xml:space="preserve">Os indicadores de perda de torque dos dois motoristas estão apresentando valores incompatíveis com o histórico de desempenho desenvolvido nos meses anteriores.
</t>
    </r>
    <r>
      <rPr>
        <rFont val="Calibri"/>
        <b/>
        <color rgb="FF434343"/>
        <sz val="8.0"/>
      </rPr>
      <t xml:space="preserve">Verificação:
</t>
    </r>
    <r>
      <rPr>
        <rFont val="Calibri"/>
        <color rgb="FF434343"/>
        <sz val="8.0"/>
      </rPr>
      <t xml:space="preserve">Conforme evidências enviadas, ambos os motoristas apresentam aumento significativo no indicador de perda de torque, destoando do padrão histórico da condução.
Os dois motoristas operam o mesmo veículo (RVZ2C77), indicando possível influência do veículo, módulo ou processamento dos dados na geração da performance.
</t>
    </r>
    <r>
      <rPr>
        <rFont val="Calibri"/>
        <b/>
        <color rgb="FF434343"/>
        <sz val="8.0"/>
      </rPr>
      <t xml:space="preserve">Ação Realizada:
</t>
    </r>
    <r>
      <rPr>
        <rFont val="Calibri"/>
        <color rgb="FF434343"/>
        <sz val="8.0"/>
      </rPr>
      <t xml:space="preserve">Foi enviada configuração remota para o módulo, visando normalizar o envio e processamento das informações.
</t>
    </r>
    <r>
      <rPr>
        <rFont val="Calibri"/>
        <b/>
        <color rgb="FF434343"/>
        <sz val="8.0"/>
      </rPr>
      <t xml:space="preserve">Impacto:
</t>
    </r>
    <r>
      <rPr>
        <rFont val="Calibri"/>
        <color rgb="FF434343"/>
        <sz val="8.0"/>
      </rPr>
      <t xml:space="preserve">A inconsistência pode comprometer a confiabilidade da avaliação de condução e impactar diretamente os indicadores de performance e premiação dos motoristas.
</t>
    </r>
    <r>
      <rPr>
        <rFont val="Calibri"/>
        <b/>
        <color rgb="FF434343"/>
        <sz val="8.0"/>
      </rPr>
      <t xml:space="preserve">Objetivo:
</t>
    </r>
    <r>
      <rPr>
        <rFont val="Calibri"/>
        <color rgb="FF434343"/>
        <sz val="8.0"/>
      </rPr>
      <t xml:space="preserve">Identificar a causa da divergência nos dados de perda de torque e validar se há falha no módulo, no processamento da telemetria ou na regra de cálculo dos indicadores.
</t>
    </r>
    <r>
      <rPr>
        <rFont val="Calibri"/>
        <b/>
        <color rgb="FF434343"/>
        <sz val="8.0"/>
      </rPr>
      <t xml:space="preserve">Observação:
</t>
    </r>
    <r>
      <rPr>
        <rFont val="Calibri"/>
        <color rgb="FF434343"/>
        <sz val="8.0"/>
      </rPr>
      <t>Necessário comparar os dados atuais com o histórico de performance dos motoristas e acompanhar o comportamento após envio da configuração remota.</t>
    </r>
  </si>
  <si>
    <t>RVZ2C77</t>
  </si>
  <si>
    <t>LNR LUO5G84 2929</t>
  </si>
  <si>
    <r>
      <rPr>
        <rFont val="Calibri"/>
        <b/>
        <color rgb="FF434343"/>
        <sz val="8.0"/>
      </rPr>
      <t xml:space="preserve">14/05 - </t>
    </r>
    <r>
      <rPr>
        <rFont val="Calibri"/>
        <color rgb="FF434343"/>
        <sz val="8.0"/>
      </rPr>
      <t xml:space="preserve">Será necessário uma análise da equipe de telemetria ou nosso master drive para entender os números e trazer uma explicação técnica. Estou transferindo essa demanda para equipe de telemetria. - Pablo Assis
</t>
    </r>
    <r>
      <rPr>
        <rFont val="Calibri"/>
        <b/>
        <color rgb="FF434343"/>
        <sz val="8.0"/>
      </rPr>
      <t xml:space="preserve">09/06 - </t>
    </r>
    <r>
      <rPr>
        <rFont val="Calibri"/>
        <color rgb="FF434343"/>
        <sz val="8.0"/>
      </rPr>
      <t xml:space="preserve">Foi atualizado a config do veículo (08/06) e aparentemente o mesmo está reportando normalmente. Não encontramos nenhuma anormalidade para esse veículo, tanto na condução técnica quanto a recepção dos dados. - Pablo Assis
</t>
    </r>
  </si>
  <si>
    <t>LNR LUO5G85 0466</t>
  </si>
  <si>
    <t>(31) 99898-1720</t>
  </si>
  <si>
    <t>Veículo com módulo instalado não aparece no sistema</t>
  </si>
  <si>
    <t>LNR LUO5G86 0079</t>
  </si>
  <si>
    <t>RUQ3D19</t>
  </si>
  <si>
    <t>A placa foi adicionada manualmente ao novo TELEMETRIA</t>
  </si>
  <si>
    <t>LNR LUO5G87 3735</t>
  </si>
  <si>
    <t>RUQ9E26</t>
  </si>
  <si>
    <t>LNR LUO5G88 3867</t>
  </si>
  <si>
    <t>LNR LUO5G89 6002</t>
  </si>
  <si>
    <t>LNR LUO5G90 4825</t>
  </si>
  <si>
    <r>
      <rPr>
        <rFont val="Calibri"/>
        <b/>
        <color rgb="FF434343"/>
        <sz val="8.0"/>
      </rPr>
      <t xml:space="preserve">Solicitação:
</t>
    </r>
    <r>
      <rPr>
        <rFont val="Calibri"/>
        <color rgb="FF434343"/>
        <sz val="8.0"/>
      </rPr>
      <t xml:space="preserve">Verificar ausência de dados de telemetria para o motorista Rafael Barbosa Martins, vinculado ao veículo de placa LUS7H15.
</t>
    </r>
    <r>
      <rPr>
        <rFont val="Calibri"/>
        <b/>
        <color rgb="FF434343"/>
        <sz val="8.0"/>
      </rPr>
      <t xml:space="preserve">Problema:
</t>
    </r>
    <r>
      <rPr>
        <rFont val="Calibri"/>
        <color rgb="FF434343"/>
        <sz val="8.0"/>
      </rPr>
      <t xml:space="preserve">O motorista não está conseguindo visualizar dados de telemetria no sistema/aplicativo.
</t>
    </r>
    <r>
      <rPr>
        <rFont val="Calibri"/>
        <b/>
        <color rgb="FF434343"/>
        <sz val="8.0"/>
      </rPr>
      <t xml:space="preserve">Verificação:
</t>
    </r>
    <r>
      <rPr>
        <rFont val="Calibri"/>
        <color rgb="FF434343"/>
        <sz val="8.0"/>
      </rPr>
      <t xml:space="preserve">Foi identificado que a jornada do motorista está travada, possivelmente impedindo a atualização e associação correta dos dados de condução.
</t>
    </r>
    <r>
      <rPr>
        <rFont val="Calibri"/>
        <b/>
        <color rgb="FF434343"/>
        <sz val="8.0"/>
      </rPr>
      <t xml:space="preserve">Impacto:
</t>
    </r>
    <r>
      <rPr>
        <rFont val="Calibri"/>
        <color rgb="FF434343"/>
        <sz val="8.0"/>
      </rPr>
      <t xml:space="preserve">A falha compromete a visualização de telemetria, acompanhamento operacional e análise de performance do motorista.
</t>
    </r>
    <r>
      <rPr>
        <rFont val="Calibri"/>
        <b/>
        <color rgb="FF434343"/>
        <sz val="8.0"/>
      </rPr>
      <t xml:space="preserve">Objetivo:
</t>
    </r>
    <r>
      <rPr>
        <rFont val="Calibri"/>
        <color rgb="FF434343"/>
        <sz val="8.0"/>
      </rPr>
      <t xml:space="preserve">Identificar a causa do travamento da jornada e normalizar a geração/exibição dos dados de telemetria.
</t>
    </r>
    <r>
      <rPr>
        <rFont val="Calibri"/>
        <b/>
        <color rgb="FF434343"/>
        <sz val="8.0"/>
      </rPr>
      <t xml:space="preserve">Observação:
</t>
    </r>
    <r>
      <rPr>
        <rFont val="Calibri"/>
        <color rgb="FF434343"/>
        <sz val="8.0"/>
      </rPr>
      <t>Necessário validar regras de jornada, sincronização dos dados e possíveis inconsistências de vínculo entre motorista e veículo.</t>
    </r>
  </si>
  <si>
    <t>LNR LUO5G91 0996</t>
  </si>
  <si>
    <t>LUS7H15</t>
  </si>
  <si>
    <r>
      <rPr>
        <rFont val="Calibri"/>
        <b/>
        <color rgb="FF434343"/>
        <sz val="8.0"/>
      </rPr>
      <t xml:space="preserve">14/05 - </t>
    </r>
    <r>
      <rPr>
        <rFont val="Calibri"/>
        <color rgb="FF434343"/>
        <sz val="8.0"/>
      </rPr>
      <t xml:space="preserve">Nossa suspeita é erro no cadastro do motorista. Estamos em contato com o setor do cliente responsável pelo cadastro dos motoristas na base de jornada para avaliar o caso.
</t>
    </r>
    <r>
      <rPr>
        <rFont val="Calibri"/>
        <b/>
        <color rgb="FF434343"/>
        <sz val="8.0"/>
      </rPr>
      <t xml:space="preserve">20/05 - </t>
    </r>
    <r>
      <rPr>
        <rFont val="Calibri"/>
        <color rgb="FF434343"/>
        <sz val="8.0"/>
      </rPr>
      <t>Dados cadastrais do motorista estava divergente com a matricula do Sascar. Dados atualizados pela Lenarge e motorista voltou a reportar.</t>
    </r>
  </si>
  <si>
    <t>LNR LUO5G92 4451</t>
  </si>
  <si>
    <t>LNR LUO5G93 4188</t>
  </si>
  <si>
    <t>FLÁVIO</t>
  </si>
  <si>
    <t>LNR LUO5G94 6814</t>
  </si>
  <si>
    <r>
      <rPr>
        <rFont val="Calibri"/>
        <b/>
        <color rgb="FF434343"/>
        <sz val="8.0"/>
      </rPr>
      <t>Solicitação</t>
    </r>
    <r>
      <rPr>
        <rFont val="Calibri"/>
        <color rgb="FF434343"/>
        <sz val="8.0"/>
      </rPr>
      <t xml:space="preserve">:
Incluir uma nova aba de alertas no App Lenarge para o cliente MRS, contendo os trechos e limites de velocidade informados abaixo.
</t>
    </r>
    <r>
      <rPr>
        <rFont val="Calibri"/>
        <b/>
        <color rgb="FF434343"/>
        <sz val="8.0"/>
      </rPr>
      <t>Necessidade</t>
    </r>
    <r>
      <rPr>
        <rFont val="Calibri"/>
        <color rgb="FF434343"/>
        <sz val="8.0"/>
      </rPr>
      <t xml:space="preserve">:
Adicionar na seção de alertas do aplicativo os seguintes trechos monitorados:
30 KM/h – TRECHO – Rua Conceição do Pará – Belo Horizonte/MG
35 KM/h – Alça de Acesso – Rua Conceição do Pará – Belo Horizonte/MG
60 KM/h – TRECHO – Av. José Cândido da Silveira – Belo Horizonte/MG
30 KM/h – TRECHO – Rua Al. das Aroeiras – Betim/MG
20 KM/h – TRECHO – MG-05 – Belo Horizonte/MG
</t>
    </r>
    <r>
      <rPr>
        <rFont val="Calibri"/>
        <b/>
        <color rgb="FF434343"/>
        <sz val="8.0"/>
      </rPr>
      <t>Problema</t>
    </r>
    <r>
      <rPr>
        <rFont val="Calibri"/>
        <color rgb="FF434343"/>
        <sz val="8.0"/>
      </rPr>
      <t xml:space="preserve">:
Atualmente os trechos acima não estão cadastrados/configurados na aba de alertas do cliente MRS.
</t>
    </r>
    <r>
      <rPr>
        <rFont val="Calibri"/>
        <b/>
        <color rgb="FF434343"/>
        <sz val="8.0"/>
      </rPr>
      <t>Impacto</t>
    </r>
    <r>
      <rPr>
        <rFont val="Calibri"/>
        <color rgb="FF434343"/>
        <sz val="8.0"/>
      </rPr>
      <t xml:space="preserve">:
A ausência dos alertas compromete o monitoramento adequado de velocidade e o acompanhamento operacional dos motoristas nesses locais.
</t>
    </r>
    <r>
      <rPr>
        <rFont val="Calibri"/>
        <b/>
        <color rgb="FF434343"/>
        <sz val="8.0"/>
      </rPr>
      <t>Objetivo</t>
    </r>
    <r>
      <rPr>
        <rFont val="Calibri"/>
        <color rgb="FF434343"/>
        <sz val="8.0"/>
      </rPr>
      <t xml:space="preserve">:
Criar/configurar a aba de alertas da operação MRS no App Lenarge, garantindo que os trechos e limites de velocidade sejam monitorados corretamente.
</t>
    </r>
    <r>
      <rPr>
        <rFont val="Calibri"/>
        <b/>
        <color rgb="FF434343"/>
        <sz val="8.0"/>
      </rPr>
      <t>Observação</t>
    </r>
    <r>
      <rPr>
        <rFont val="Calibri"/>
        <color rgb="FF434343"/>
        <sz val="8.0"/>
      </rPr>
      <t>:
Validar se os alertas deverão gerar eventos/pontuação e se haverá integração com regras de performance/premiação.</t>
    </r>
  </si>
  <si>
    <r>
      <rPr>
        <rFont val="Calibri"/>
        <b/>
        <color rgb="FF434343"/>
        <sz val="8.0"/>
      </rPr>
      <t xml:space="preserve">19/05 - </t>
    </r>
    <r>
      <rPr>
        <rFont val="Calibri"/>
        <color rgb="FF434343"/>
        <sz val="8.0"/>
      </rPr>
      <t xml:space="preserve">Aguardando que o cliente envie os nome contador para o desenvolvimeto.
</t>
    </r>
  </si>
  <si>
    <t>LNR LUO5G95 6912</t>
  </si>
  <si>
    <t>319874-5002</t>
  </si>
  <si>
    <t>LNR LUO5G96 0955</t>
  </si>
  <si>
    <r>
      <rPr>
        <rFont val="Calibri"/>
        <b/>
        <color rgb="FF434343"/>
        <sz val="8.0"/>
      </rPr>
      <t xml:space="preserve">Solicitação:
</t>
    </r>
    <r>
      <rPr>
        <rFont val="Calibri"/>
        <color rgb="FF434343"/>
        <sz val="8.0"/>
      </rPr>
      <t xml:space="preserve">Verificar inconsistência na quilometragem registrada para o motorista Túlio Júlio da Silva, vinculado ao veículo de placa SRM1C03.
</t>
    </r>
    <r>
      <rPr>
        <rFont val="Calibri"/>
        <b/>
        <color rgb="FF434343"/>
        <sz val="8.0"/>
      </rPr>
      <t xml:space="preserve">Problema:
</t>
    </r>
    <r>
      <rPr>
        <rFont val="Calibri"/>
        <color rgb="FF434343"/>
        <sz val="8.0"/>
      </rPr>
      <t xml:space="preserve">O motorista informou que a quilometragem exibida no aplicativo não está correta, apresentando valor inferior ao realmente percorrido.
</t>
    </r>
    <r>
      <rPr>
        <rFont val="Calibri"/>
        <b/>
        <color rgb="FF434343"/>
        <sz val="8.0"/>
      </rPr>
      <t xml:space="preserve">Verificação:
</t>
    </r>
    <r>
      <rPr>
        <rFont val="Calibri"/>
        <color rgb="FF434343"/>
        <sz val="8.0"/>
      </rPr>
      <t xml:space="preserve">Há indício de divergência entre o KM efetivamente rodado pelo veículo e o valor contabilizado no sistema/aplicativo.
</t>
    </r>
    <r>
      <rPr>
        <rFont val="Calibri"/>
        <b/>
        <color rgb="FF434343"/>
        <sz val="8.0"/>
      </rPr>
      <t xml:space="preserve">Impacto:
</t>
    </r>
    <r>
      <rPr>
        <rFont val="Calibri"/>
        <color rgb="FF434343"/>
        <sz val="8.0"/>
      </rPr>
      <t xml:space="preserve">A inconsistência compromete a confiabilidade dos dados operacionais e pode impactar análises de performance e acompanhamento de deslocamento.
</t>
    </r>
    <r>
      <rPr>
        <rFont val="Calibri"/>
        <b/>
        <color rgb="FF434343"/>
        <sz val="8.0"/>
      </rPr>
      <t xml:space="preserve">Objetivo:
</t>
    </r>
    <r>
      <rPr>
        <rFont val="Calibri"/>
        <color rgb="FF434343"/>
        <sz val="8.0"/>
      </rPr>
      <t xml:space="preserve">Identificar a causa da divergência na contabilização dos quilômetros rodados e corrigir a exibição/processamento dos dados no aplicativo.
</t>
    </r>
    <r>
      <rPr>
        <rFont val="Calibri"/>
        <b/>
        <color rgb="FF434343"/>
        <sz val="8.0"/>
      </rPr>
      <t xml:space="preserve">Observação:
</t>
    </r>
    <r>
      <rPr>
        <rFont val="Calibri"/>
        <color rgb="FF434343"/>
        <sz val="8.0"/>
      </rPr>
      <t>Necessário validar leitura do hodômetro, integração da telemetria e processamento dos dados de quilometragem.</t>
    </r>
  </si>
  <si>
    <t>SRM1C03</t>
  </si>
  <si>
    <r>
      <rPr>
        <rFont val="Calibri"/>
        <b/>
        <color rgb="FF434343"/>
        <sz val="8.0"/>
      </rPr>
      <t xml:space="preserve">21/05 - </t>
    </r>
    <r>
      <rPr>
        <rFont val="Calibri"/>
        <b val="0"/>
        <color rgb="FF434343"/>
        <sz val="8.0"/>
      </rPr>
      <t>Ao analisar o caso, não diagonosticamos km divergente do motorista com o veículo.</t>
    </r>
  </si>
  <si>
    <t>LNR LUS7H11 7577</t>
  </si>
  <si>
    <t>CRIAR ABA COM VALORES JUNTO A REBECA</t>
  </si>
  <si>
    <t>LNR LUS7H12 3520</t>
  </si>
  <si>
    <t xml:space="preserve">Habilitar pontadas no app </t>
  </si>
  <si>
    <t>Habilitamos a visão de pontadas no app do motorista.</t>
  </si>
  <si>
    <t>2026000293</t>
  </si>
  <si>
    <t>LNR LUS7H14 7391</t>
  </si>
  <si>
    <t>LNR LUS7H15 2690</t>
  </si>
  <si>
    <t>Correção na funcionalidade de pontadas. Foi comunicado pelo Alessandro, que o veículo RMY7H21 gerou uma pontada de 166km/h e com uma marcação fora da área operacional rodoviária do mapa.</t>
  </si>
  <si>
    <t>RMY7H21</t>
  </si>
  <si>
    <r>
      <rPr>
        <rFont val="Calibri"/>
        <b/>
        <color rgb="FF434343"/>
        <sz val="8.0"/>
      </rPr>
      <t xml:space="preserve">21/05 - </t>
    </r>
    <r>
      <rPr>
        <rFont val="Calibri"/>
        <b val="0"/>
        <color rgb="FF434343"/>
        <sz val="8.0"/>
      </rPr>
      <t>Foi identificado o erro e está na fila para correção.</t>
    </r>
  </si>
  <si>
    <t>LNR LUS7H35 4014</t>
  </si>
  <si>
    <t>2026000294</t>
  </si>
  <si>
    <t>LNR LUS7H36 7824</t>
  </si>
  <si>
    <t>3199799-7470</t>
  </si>
  <si>
    <t>LNR LUS7H37 9551</t>
  </si>
  <si>
    <r>
      <rPr>
        <rFont val="Calibri"/>
        <b/>
        <color rgb="FF434343"/>
        <sz val="8.0"/>
      </rPr>
      <t xml:space="preserve">Solicitação:
</t>
    </r>
    <r>
      <rPr>
        <rFont val="Calibri"/>
        <color rgb="FF434343"/>
        <sz val="8.0"/>
      </rPr>
      <t xml:space="preserve">Verificar ausência de dados de performance para o veículo SSB9J69 e o motorista Edson Costa Almeida.
</t>
    </r>
    <r>
      <rPr>
        <rFont val="Calibri"/>
        <b/>
        <color rgb="FF434343"/>
        <sz val="8.0"/>
      </rPr>
      <t xml:space="preserve">Problema:
</t>
    </r>
    <r>
      <rPr>
        <rFont val="Calibri"/>
        <color rgb="FF434343"/>
        <sz val="8.0"/>
      </rPr>
      <t xml:space="preserve">O motorista está operando o veículo normalmente todos os dias, porém os dados de performance estão ficando zerados tanto para o veículo quanto para o motorista.
</t>
    </r>
    <r>
      <rPr>
        <rFont val="Calibri"/>
        <b/>
        <color rgb="FF434343"/>
        <sz val="8.0"/>
      </rPr>
      <t xml:space="preserve">Verificação:
</t>
    </r>
    <r>
      <rPr>
        <rFont val="Calibri"/>
        <color rgb="FF434343"/>
        <sz val="8.0"/>
      </rPr>
      <t xml:space="preserve">Foi realizada análise das configurações e está tudo aparentemente normal.
No sistema Traccar, as IO’s de combustível e RPM estão chegando corretamente, indicando que o módulo está comunicando normalmente.
</t>
    </r>
    <r>
      <rPr>
        <rFont val="Calibri"/>
        <b/>
        <color rgb="FF434343"/>
        <sz val="8.0"/>
      </rPr>
      <t xml:space="preserve">Impacto:
</t>
    </r>
    <r>
      <rPr>
        <rFont val="Calibri"/>
        <color rgb="FF434343"/>
        <sz val="8.0"/>
      </rPr>
      <t xml:space="preserve">A ausência de dados de performance compromete o acompanhamento operacional e a avaliação de condução do motorista.
</t>
    </r>
    <r>
      <rPr>
        <rFont val="Calibri"/>
        <b/>
        <color rgb="FF434343"/>
        <sz val="8.0"/>
      </rPr>
      <t xml:space="preserve">Objetivo:
</t>
    </r>
    <r>
      <rPr>
        <rFont val="Calibri"/>
        <color rgb="FF434343"/>
        <sz val="8.0"/>
      </rPr>
      <t xml:space="preserve">Identificar a causa da não geração/processamento da performance, mesmo com recebimento correto das informações no rastreamento.
</t>
    </r>
    <r>
      <rPr>
        <rFont val="Calibri"/>
        <b/>
        <color rgb="FF434343"/>
        <sz val="8.0"/>
      </rPr>
      <t xml:space="preserve">Observação:
</t>
    </r>
    <r>
      <rPr>
        <rFont val="Calibri"/>
        <color rgb="FF434343"/>
        <sz val="8.0"/>
      </rPr>
      <t>Necessário validar processamento da telemetria, regras de cálculo da performance e integração entre Traccar e o sistema de condução.</t>
    </r>
  </si>
  <si>
    <t>SSB9J69</t>
  </si>
  <si>
    <t>ABRIR SATEL NO CRM SHEETS</t>
  </si>
  <si>
    <r>
      <rPr>
        <rFont val="Calibri"/>
        <b/>
        <color rgb="FF434343"/>
        <sz val="8.0"/>
      </rPr>
      <t xml:space="preserve">25/05 - </t>
    </r>
    <r>
      <rPr>
        <rFont val="Calibri"/>
        <b val="0"/>
        <color rgb="FF434343"/>
        <sz val="8.0"/>
      </rPr>
      <t>Após análise, constatamos que veículo nbão estava trazendo alguns parametros, o que impossibilitou a leitura correta da performance, não sendo atribuído nenhum dado a placa e ao motorista. Verificamos que a equipe operacional atualizou a config do módulo no dia 22/05 às 12:58 (GT -3), a partir disso o mesmo voltou a reportar normalmente. Não teremos dados dos dias 13 ao 21/05.</t>
    </r>
  </si>
  <si>
    <t>LNR LUS7H38 5143</t>
  </si>
  <si>
    <t>2026000295</t>
  </si>
  <si>
    <t>LNR LUS7H39 8971</t>
  </si>
  <si>
    <r>
      <rPr>
        <rFont val="Calibri"/>
        <color rgb="FF434343"/>
        <sz val="8.0"/>
      </rPr>
      <t xml:space="preserve">Verificar o caso de emissão que pegou somente a placa.
</t>
    </r>
    <r>
      <rPr>
        <rFont val="Calibri"/>
        <b/>
        <color rgb="FF434343"/>
        <sz val="8.0"/>
      </rPr>
      <t xml:space="preserve">Agentes do Contexto:
</t>
    </r>
    <r>
      <rPr>
        <rFont val="Calibri"/>
        <color rgb="FF434343"/>
        <sz val="8.0"/>
      </rPr>
      <t>Motorista: FELIPE NEVES DE MATOS
Cavalo: RJR6G34
Carreta: RJC4B11</t>
    </r>
  </si>
  <si>
    <t>RJR6G34</t>
  </si>
  <si>
    <r>
      <rPr>
        <rFont val="Calibri"/>
        <b/>
        <color rgb="FF434343"/>
        <sz val="8.0"/>
      </rPr>
      <t xml:space="preserve">22/05 - </t>
    </r>
    <r>
      <rPr>
        <rFont val="Calibri"/>
        <color rgb="FF434343"/>
        <sz val="8.0"/>
      </rPr>
      <t xml:space="preserve">Caso na fila para analise de técnica.
</t>
    </r>
    <r>
      <rPr>
        <rFont val="Calibri"/>
        <b/>
        <color rgb="FF434343"/>
        <sz val="8.0"/>
      </rPr>
      <t xml:space="preserve">25/05 - </t>
    </r>
    <r>
      <rPr>
        <rFont val="Calibri"/>
        <color rgb="FF434343"/>
        <sz val="8.0"/>
      </rPr>
      <t>Realizamos atualização na API, fazendo com que a mesma ignore atualizações que não tragam os dados completos</t>
    </r>
  </si>
  <si>
    <t>LNR LUS7H40 5608</t>
  </si>
  <si>
    <t>2026000296</t>
  </si>
  <si>
    <t>DÚVIDA/TREINAMENTO</t>
  </si>
  <si>
    <t>LNR LUS7H41 6497</t>
  </si>
  <si>
    <t>LNR LUS7H57 6670</t>
  </si>
  <si>
    <t>INTERAGIR COM O CLIENTE E MOSTRAR MELHORIAS</t>
  </si>
  <si>
    <r>
      <rPr>
        <rFont val="Calibri"/>
        <b/>
        <color rgb="FF434343"/>
        <sz val="8.0"/>
      </rPr>
      <t xml:space="preserve">Solicitação:
</t>
    </r>
    <r>
      <rPr>
        <rFont val="Calibri"/>
        <color rgb="FF434343"/>
        <sz val="8.0"/>
      </rPr>
      <t xml:space="preserve">Verificar ocorrência de localização incorreta para o veículo de placa RVD3D63.
</t>
    </r>
    <r>
      <rPr>
        <rFont val="Calibri"/>
        <b/>
        <color rgb="FF434343"/>
        <sz val="8.0"/>
      </rPr>
      <t xml:space="preserve">Problema:
</t>
    </r>
    <r>
      <rPr>
        <rFont val="Calibri"/>
        <color rgb="FF434343"/>
        <sz val="8.0"/>
      </rPr>
      <t xml:space="preserve">No último sábado, houve um registro indicando que o caminhão estaria localizado no Paraguai, informação considerada inconsistente para a operação.
</t>
    </r>
    <r>
      <rPr>
        <rFont val="Calibri"/>
        <b/>
        <color rgb="FF434343"/>
        <sz val="8.0"/>
      </rPr>
      <t xml:space="preserve">Verificação:
</t>
    </r>
    <r>
      <rPr>
        <rFont val="Calibri"/>
        <color rgb="FF434343"/>
        <sz val="8.0"/>
      </rPr>
      <t xml:space="preserve">Foi identificado apontamento de localização fora da área esperada, indicando possível falha de GPS, erro de posicionamento ou inconsistência no processamento da telemetria.
</t>
    </r>
    <r>
      <rPr>
        <rFont val="Calibri"/>
        <b/>
        <color rgb="FF434343"/>
        <sz val="8.0"/>
      </rPr>
      <t xml:space="preserve">Impacto:
</t>
    </r>
    <r>
      <rPr>
        <rFont val="Calibri"/>
        <color rgb="FF434343"/>
        <sz val="8.0"/>
      </rPr>
      <t xml:space="preserve">A divergência de localização compromete a confiabilidade das informações de rastreamento e pode impactar análises operacionais e de rota.
</t>
    </r>
    <r>
      <rPr>
        <rFont val="Calibri"/>
        <b/>
        <color rgb="FF434343"/>
        <sz val="8.0"/>
      </rPr>
      <t xml:space="preserve">Objetivo:
</t>
    </r>
    <r>
      <rPr>
        <rFont val="Calibri"/>
        <color rgb="FF434343"/>
        <sz val="8.0"/>
      </rPr>
      <t xml:space="preserve">Identificar a causa da marcação incorreta de localização e validar se houve falha de GPS, comunicação ou processamento dos dados de rastreamento.
</t>
    </r>
    <r>
      <rPr>
        <rFont val="Calibri"/>
        <b/>
        <color rgb="FF434343"/>
        <sz val="8.0"/>
      </rPr>
      <t xml:space="preserve">Observação:
</t>
    </r>
    <r>
      <rPr>
        <rFont val="Calibri"/>
        <color rgb="FF434343"/>
        <sz val="8.0"/>
      </rPr>
      <t>Necessário analisar histórico de posicionamento do veículo no período e validar possíveis oscilações de sinal ou inconsistências do módulo.</t>
    </r>
  </si>
  <si>
    <t xml:space="preserve">RVD3D63
</t>
  </si>
  <si>
    <t>LNR LUS7H59 3247</t>
  </si>
  <si>
    <t xml:space="preserve">Não tem nada que eu possa fazer sobre isso. O GPS do veiculo pode dar erros. </t>
  </si>
  <si>
    <t>LNR LUS7H60 5374</t>
  </si>
  <si>
    <t>2026000297</t>
  </si>
  <si>
    <t>LNR LUT6A37 3677</t>
  </si>
  <si>
    <r>
      <rPr>
        <rFont val="Calibri"/>
        <b/>
        <color rgb="FF434343"/>
        <sz val="8.0"/>
      </rPr>
      <t xml:space="preserve">Solicitação: 
</t>
    </r>
    <r>
      <rPr>
        <rFont val="Calibri"/>
        <color rgb="FF434343"/>
        <sz val="8.0"/>
      </rPr>
      <t>Na visão de manutenção preventiva, o app está mostrando uma OS errônea, 16/107877 está para a placa  SGD6C45, quando passamos o mouse no ícone de vencido, porem no rodopar essa OS pertence ao veículo TCA8A12. No app, TCA8A12 ao passar o ícone de vencido ele mostra a OS 1/618440. 
Parece estar ocorrendo com mais placas</t>
    </r>
  </si>
  <si>
    <t>TCA8A12 
SGD6C45</t>
  </si>
  <si>
    <t>LNR LUT6A38 2407</t>
  </si>
  <si>
    <r>
      <rPr>
        <rFont val="Calibri"/>
        <b/>
        <color rgb="FF434343"/>
        <sz val="8.0"/>
      </rPr>
      <t xml:space="preserve">03/06 - </t>
    </r>
    <r>
      <rPr>
        <rFont val="Calibri"/>
        <color rgb="FF434343"/>
        <sz val="8.0"/>
      </rPr>
      <t xml:space="preserve"> Demanda entregue para Walker. Dev Daniel realizou as correções necessárias e realizou a publicação da correção.</t>
    </r>
  </si>
  <si>
    <t>ACOMPANHAR SUPORTE SOLICITADO PELO CLIENTE - OS 2026000286</t>
  </si>
  <si>
    <t>2026000298</t>
  </si>
  <si>
    <t>LNR TUW2I54 9915</t>
  </si>
  <si>
    <r>
      <rPr>
        <rFont val="Calibri"/>
        <b/>
        <color rgb="FF434343"/>
        <sz val="8.0"/>
      </rPr>
      <t xml:space="preserve">Solicitação:
</t>
    </r>
    <r>
      <rPr>
        <rFont val="Calibri"/>
        <color rgb="FF434343"/>
        <sz val="8.0"/>
      </rPr>
      <t xml:space="preserve">Verificar inconsistência na exibição da performance mensal no App do Motorista.
</t>
    </r>
    <r>
      <rPr>
        <rFont val="Calibri"/>
        <b/>
        <color rgb="FF434343"/>
        <sz val="8.0"/>
      </rPr>
      <t xml:space="preserve">Problema:
</t>
    </r>
    <r>
      <rPr>
        <rFont val="Calibri"/>
        <color rgb="FF434343"/>
        <sz val="8.0"/>
      </rPr>
      <t xml:space="preserve">O motorista não está conseguindo visualizar a performance completa do mês no aplicativo.
</t>
    </r>
    <r>
      <rPr>
        <rFont val="Calibri"/>
        <b/>
        <color rgb="FF434343"/>
        <sz val="8.0"/>
      </rPr>
      <t xml:space="preserve">Verificação:
</t>
    </r>
    <r>
      <rPr>
        <rFont val="Calibri"/>
        <color rgb="FF434343"/>
        <sz val="8.0"/>
      </rPr>
      <t xml:space="preserve">Foi identificado que o calendário do app apresenta apenas 28 quadros/dias, independentemente da quantidade real de dias do mês, limitando a visualização completa das informações.
</t>
    </r>
    <r>
      <rPr>
        <rFont val="Calibri"/>
        <b/>
        <color rgb="FF434343"/>
        <sz val="8.0"/>
      </rPr>
      <t xml:space="preserve">Impacto:
</t>
    </r>
    <r>
      <rPr>
        <rFont val="Calibri"/>
        <color rgb="FF434343"/>
        <sz val="8.0"/>
      </rPr>
      <t xml:space="preserve">A falha compromete o acompanhamento correto da performance diária do motorista e pode gerar divergências na análise dos dados mensais.
</t>
    </r>
    <r>
      <rPr>
        <rFont val="Calibri"/>
        <b/>
        <color rgb="FF434343"/>
        <sz val="8.0"/>
      </rPr>
      <t xml:space="preserve">Objetivo:
</t>
    </r>
    <r>
      <rPr>
        <rFont val="Calibri"/>
        <color rgb="FF434343"/>
        <sz val="8.0"/>
      </rPr>
      <t xml:space="preserve">Corrigir a exibição do calendário no aplicativo, garantindo que todos os dias do mês sejam apresentados corretamente.
</t>
    </r>
    <r>
      <rPr>
        <rFont val="Calibri"/>
        <b/>
        <color rgb="FF434343"/>
        <sz val="8.0"/>
      </rPr>
      <t xml:space="preserve">Observação:
</t>
    </r>
    <r>
      <rPr>
        <rFont val="Calibri"/>
        <color rgb="FF434343"/>
        <sz val="8.0"/>
      </rPr>
      <t>Necessário validar regra de renderização do calendário e tratamento de meses com 29, 30 e 31 dias.</t>
    </r>
  </si>
  <si>
    <t>LNR QOE2322 2030</t>
  </si>
  <si>
    <t xml:space="preserve">RVD3D63
</t>
  </si>
  <si>
    <t>Já foi resovido, e esta em produção.</t>
  </si>
  <si>
    <t>LNR QOE2347 1520</t>
  </si>
  <si>
    <t>2026000299</t>
  </si>
  <si>
    <t>LNR QOE2375 8979</t>
  </si>
  <si>
    <t>Config enviada novamente</t>
  </si>
  <si>
    <t>INTERAGIR COM O CLIENTE</t>
  </si>
  <si>
    <t>LNR QOE2D01 4518</t>
  </si>
  <si>
    <t>2026000300</t>
  </si>
  <si>
    <t>LNR TYF0G14 3537</t>
  </si>
  <si>
    <t>QQN6F80</t>
  </si>
  <si>
    <t>LNR QUP8D63 7261 TELTONIKA</t>
  </si>
  <si>
    <t>2026000301</t>
  </si>
  <si>
    <t>QQK0A73</t>
  </si>
  <si>
    <t>GFM RNO9B68 4552</t>
  </si>
  <si>
    <t>2026000302</t>
  </si>
  <si>
    <t>LNR QUS7190 8329</t>
  </si>
  <si>
    <t>ED6G08</t>
  </si>
  <si>
    <t>2026000303</t>
  </si>
  <si>
    <t>Wagner</t>
  </si>
  <si>
    <t>(31) 97152-9054</t>
  </si>
  <si>
    <t>LNR QUV9216 6288</t>
  </si>
  <si>
    <t>Módulo não está reportando dados de litragem</t>
  </si>
  <si>
    <t>PVK6042</t>
  </si>
  <si>
    <t>LNR TUB2I51 7529</t>
  </si>
  <si>
    <t>2026000304</t>
  </si>
  <si>
    <t>LNR QUV9223 1081</t>
  </si>
  <si>
    <t>QUQ7J18</t>
  </si>
  <si>
    <t>2026000305</t>
  </si>
  <si>
    <t>PVJ8106</t>
  </si>
  <si>
    <t>LNR QUY8178 6874</t>
  </si>
  <si>
    <t>2026000306</t>
  </si>
  <si>
    <t>LNR QUY8186 0989</t>
  </si>
  <si>
    <t>EIJ1F62</t>
  </si>
  <si>
    <t>2026000307</t>
  </si>
  <si>
    <t>LNR QUY8190 3442</t>
  </si>
  <si>
    <t>HND8D73</t>
  </si>
  <si>
    <t>2026000308</t>
  </si>
  <si>
    <t>Modulo foi substituido</t>
  </si>
  <si>
    <t>OLR9734</t>
  </si>
  <si>
    <t>LNR QUY8210 1933</t>
  </si>
  <si>
    <t>2026000309</t>
  </si>
  <si>
    <t>CONVERSA COM O CLIENTE PARA ENTENDER SE HÁ PENDÊNCIAS.</t>
  </si>
  <si>
    <t>LNR QYH6H31 9013</t>
  </si>
  <si>
    <t>2026000310</t>
  </si>
  <si>
    <t>LNR RBE3H32 5648</t>
  </si>
  <si>
    <t>Média do caminhão está sendo reportada errada</t>
  </si>
  <si>
    <t>TWY5F58</t>
  </si>
  <si>
    <t>LNR RBE4B16 1670</t>
  </si>
  <si>
    <t>2026000311</t>
  </si>
  <si>
    <t>LNR RBE4B81 3800</t>
  </si>
  <si>
    <t>ENTENDER COM O CLIENTE SE ESTÃO PREMIANDO</t>
  </si>
  <si>
    <t>2026000312</t>
  </si>
  <si>
    <t>LNR RBE4B84 4089</t>
  </si>
  <si>
    <t>TYF0G14</t>
  </si>
  <si>
    <t>LNR RBE4B87 5242</t>
  </si>
  <si>
    <t>2026000313</t>
  </si>
  <si>
    <t>TYF0G06</t>
  </si>
  <si>
    <t>LNR RBE5G79 5671</t>
  </si>
  <si>
    <t>RPM COM DIVERGÊNCIA NA VISÃO DO MOTORISTA</t>
  </si>
  <si>
    <t>2026000314</t>
  </si>
  <si>
    <t>LNR RBE5G87 6331</t>
  </si>
  <si>
    <t>LNR RBE5G89 5267</t>
  </si>
  <si>
    <t>2026000315</t>
  </si>
  <si>
    <t>RFH2I16</t>
  </si>
  <si>
    <t>LNR RBE5G91 2902</t>
  </si>
  <si>
    <t>ASSINATURA DE CONTRATO</t>
  </si>
  <si>
    <t>2026000316</t>
  </si>
  <si>
    <t>LNR RBE5G92 8208</t>
  </si>
  <si>
    <t>2026000317</t>
  </si>
  <si>
    <t>LNR RBE5G94 5582</t>
  </si>
  <si>
    <t>RFU8B48</t>
  </si>
  <si>
    <t>LNR RBE5G95 3982</t>
  </si>
  <si>
    <t>PROGRAMAR INSTALAÇÕES</t>
  </si>
  <si>
    <t>2026000318</t>
  </si>
  <si>
    <t>RVD6H55</t>
  </si>
  <si>
    <t>LNR RBE5G97 1974</t>
  </si>
  <si>
    <t>2026000319</t>
  </si>
  <si>
    <t>LNR RBE7I10 7462</t>
  </si>
  <si>
    <t>QWZ5F35</t>
  </si>
  <si>
    <t>LNR RBE7I12 6935</t>
  </si>
  <si>
    <t>2026000320</t>
  </si>
  <si>
    <t>PROGRAMAR VISITA E TREINAMENTO</t>
  </si>
  <si>
    <t>SRO4F70</t>
  </si>
  <si>
    <t>LNR RKP8D07 5581</t>
  </si>
  <si>
    <t>2026000321</t>
  </si>
  <si>
    <t>LNR RBE7I16 7419</t>
  </si>
  <si>
    <t>RIQ7B74</t>
  </si>
  <si>
    <t>2026000322</t>
  </si>
  <si>
    <t>LNR RBE7I18 0286</t>
  </si>
  <si>
    <t>INCONSISTÊNCIA DE DADOS QUG4E93</t>
  </si>
  <si>
    <t>LNR RBE7I20 4331</t>
  </si>
  <si>
    <t>HIV3G11</t>
  </si>
  <si>
    <t>2026000323</t>
  </si>
  <si>
    <t>LNR RBE7I22 6265</t>
  </si>
  <si>
    <t>RFH2H90</t>
  </si>
  <si>
    <t>LNR RBE7I25 4312</t>
  </si>
  <si>
    <t>2026000324</t>
  </si>
  <si>
    <t>RELATÓRIO DE INSTALAÇÃO DE MÓDULOS</t>
  </si>
  <si>
    <t>LNR RBE7I26 7342</t>
  </si>
  <si>
    <t>RFR1G68</t>
  </si>
  <si>
    <t>2026000325</t>
  </si>
  <si>
    <t>LNR RBE7I27 7446</t>
  </si>
  <si>
    <t>RKV4I16</t>
  </si>
  <si>
    <t>LNR RBE7I31 0045</t>
  </si>
  <si>
    <t>2026000326</t>
  </si>
  <si>
    <t>LNR RBE7I32 3091</t>
  </si>
  <si>
    <t>LNR RBE7I33 9632</t>
  </si>
  <si>
    <t>APRESENTAÇÃO DE DIAGNÓSTICO</t>
  </si>
  <si>
    <t>2026000327</t>
  </si>
  <si>
    <t>LNR RBE7I36 7120</t>
  </si>
  <si>
    <t>Andre</t>
  </si>
  <si>
    <t>LNR RBE7I37 6125</t>
  </si>
  <si>
    <r>
      <rPr>
        <rFont val="Calibri"/>
        <b/>
        <color rgb="FF434343"/>
        <sz val="8.0"/>
      </rPr>
      <t xml:space="preserve">Solicitação:
</t>
    </r>
    <r>
      <rPr>
        <rFont val="Calibri"/>
        <color rgb="FF434343"/>
        <sz val="8.0"/>
      </rPr>
      <t xml:space="preserve">Verificar ausência de jornada do motorista Claudiney Silva no aplicativo para o veículo de placa RBE7J59.
</t>
    </r>
    <r>
      <rPr>
        <rFont val="Calibri"/>
        <b/>
        <color rgb="FF434343"/>
        <sz val="8.0"/>
      </rPr>
      <t xml:space="preserve">Problema:
</t>
    </r>
    <r>
      <rPr>
        <rFont val="Calibri"/>
        <color rgb="FF434343"/>
        <sz val="8.0"/>
      </rPr>
      <t xml:space="preserve">A jornada do motorista não está sendo exibida corretamente no aplicativo.
</t>
    </r>
    <r>
      <rPr>
        <rFont val="Calibri"/>
        <b/>
        <color rgb="FF434343"/>
        <sz val="8.0"/>
      </rPr>
      <t xml:space="preserve">Verificação:
</t>
    </r>
    <r>
      <rPr>
        <rFont val="Calibri"/>
        <color rgb="FF434343"/>
        <sz val="8.0"/>
      </rPr>
      <t xml:space="preserve">Conforme evidência enviada, no sistema SAGC a jornada do motorista Claudiney Silva está registrada normalmente, indicando que a informação existe na origem, porém não está sendo refletida no app.
</t>
    </r>
    <r>
      <rPr>
        <rFont val="Calibri"/>
        <b/>
        <color rgb="FF434343"/>
        <sz val="8.0"/>
      </rPr>
      <t xml:space="preserve">Impacto:
</t>
    </r>
    <r>
      <rPr>
        <rFont val="Calibri"/>
        <color rgb="FF434343"/>
        <sz val="8.0"/>
      </rPr>
      <t xml:space="preserve">A inconsistência compromete o acompanhamento operacional e a visualização correta do status de jornada do motorista.
</t>
    </r>
    <r>
      <rPr>
        <rFont val="Calibri"/>
        <b/>
        <color rgb="FF434343"/>
        <sz val="8.0"/>
      </rPr>
      <t xml:space="preserve">Objetivo:
</t>
    </r>
    <r>
      <rPr>
        <rFont val="Calibri"/>
        <color rgb="FF434343"/>
        <sz val="8.0"/>
      </rPr>
      <t xml:space="preserve">Identificar a causa da divergência entre o SAGC e o aplicativo, garantindo que a jornada seja sincronizada e exibida corretamente.
</t>
    </r>
    <r>
      <rPr>
        <rFont val="Calibri"/>
        <b/>
        <color rgb="FF434343"/>
        <sz val="8.0"/>
      </rPr>
      <t xml:space="preserve">Observação:
</t>
    </r>
    <r>
      <rPr>
        <rFont val="Calibri"/>
        <color rgb="FF434343"/>
        <sz val="8.0"/>
      </rPr>
      <t>Necessário validar integração entre sistemas, sincronização de jornadas e possíveis falhas no processamento/exibição das informações no app.</t>
    </r>
  </si>
  <si>
    <t>RBE7J59</t>
  </si>
  <si>
    <t>- 02/06 - Houve a troca do rastreador sascar, fazendo com o id do rastreador mudasse. Com isso paramos de receber os dados de jornada. Gentileza orientar o usuário que quando realizar a troca do rastreador sascar, nos comunicar via suporte.</t>
  </si>
  <si>
    <t>LNR RBE7I39 1218</t>
  </si>
  <si>
    <t>2026000328</t>
  </si>
  <si>
    <t>LNR RBE7I41 7208</t>
  </si>
  <si>
    <r>
      <rPr>
        <rFont val="Calibri"/>
        <b/>
        <color rgb="FF434343"/>
        <sz val="8.0"/>
      </rPr>
      <t xml:space="preserve">Solicitação:
</t>
    </r>
    <r>
      <rPr>
        <rFont val="Calibri"/>
        <color rgb="FF434343"/>
        <sz val="8.0"/>
      </rPr>
      <t xml:space="preserve">Verificar ausência de jornada do motorista Cristóvão Henrique Ferreira Loubach no aplicativo para o veículo de placa LTQ9A66.
</t>
    </r>
    <r>
      <rPr>
        <rFont val="Calibri"/>
        <b/>
        <color rgb="FF434343"/>
        <sz val="8.0"/>
      </rPr>
      <t xml:space="preserve">Problema:
</t>
    </r>
    <r>
      <rPr>
        <rFont val="Calibri"/>
        <color rgb="FF434343"/>
        <sz val="8.0"/>
      </rPr>
      <t xml:space="preserve">A jornada do motorista não está sendo exibida corretamente no aplicativo.
</t>
    </r>
    <r>
      <rPr>
        <rFont val="Calibri"/>
        <b/>
        <color rgb="FF434343"/>
        <sz val="8.0"/>
      </rPr>
      <t xml:space="preserve">Verificação:
</t>
    </r>
    <r>
      <rPr>
        <rFont val="Calibri"/>
        <color rgb="FF434343"/>
        <sz val="8.0"/>
      </rPr>
      <t xml:space="preserve">Foi constatado que no sistema SAGC a jornada do motorista está registrada normalmente, indicando que a informação está sendo gerada na origem. Entretanto, os dados não estão sendo refletidos no aplicativo.
</t>
    </r>
    <r>
      <rPr>
        <rFont val="Calibri"/>
        <b/>
        <color rgb="FF434343"/>
        <sz val="8.0"/>
      </rPr>
      <t xml:space="preserve">Impacto:
</t>
    </r>
    <r>
      <rPr>
        <rFont val="Calibri"/>
        <color rgb="FF434343"/>
        <sz val="8.0"/>
      </rPr>
      <t xml:space="preserve">A inconsistência impede o acompanhamento correto da jornada do motorista, podendo gerar divergências operacionais e dificuldades na validação das atividades realizadas.
</t>
    </r>
    <r>
      <rPr>
        <rFont val="Calibri"/>
        <b/>
        <color rgb="FF434343"/>
        <sz val="8.0"/>
      </rPr>
      <t xml:space="preserve">Objetivo:
</t>
    </r>
    <r>
      <rPr>
        <rFont val="Calibri"/>
        <color rgb="FF434343"/>
        <sz val="8.0"/>
      </rPr>
      <t xml:space="preserve">Identificar a causa da divergência entre o SAGC e o aplicativo, garantindo que a jornada do motorista seja sincronizada e exibida corretamente.
</t>
    </r>
    <r>
      <rPr>
        <rFont val="Calibri"/>
        <b/>
        <color rgb="FF434343"/>
        <sz val="8.0"/>
      </rPr>
      <t xml:space="preserve">Observação:
</t>
    </r>
    <r>
      <rPr>
        <rFont val="Calibri"/>
        <color rgb="FF434343"/>
        <sz val="8.0"/>
      </rPr>
      <t>Necessário validar a integração entre os sistemas, a sincronização das jornadas e possíveis falhas no processamento ou na exibição das informações no app.</t>
    </r>
  </si>
  <si>
    <t>LTQ9A66</t>
  </si>
  <si>
    <r>
      <rPr>
        <rFont val="Calibri"/>
        <b/>
        <color rgb="FF434343"/>
        <sz val="8.0"/>
      </rPr>
      <t xml:space="preserve">- 02/06 - </t>
    </r>
    <r>
      <rPr>
        <rFont val="Calibri"/>
        <color rgb="FF434343"/>
        <sz val="8.0"/>
      </rPr>
      <t>Houve a troca do rastreador sascar, fazendo com o id do rastreador mudasse. Com isso paramos de receber os dados de jornada. Gentileza orientar o usuário que quando realizar a troca do rastreador sascar, nos comunicar via suporte.</t>
    </r>
  </si>
  <si>
    <t>Falha Freio 22/09/2025 - Reenvio de Config</t>
  </si>
  <si>
    <t>2026000329</t>
  </si>
  <si>
    <t>3199874-5002</t>
  </si>
  <si>
    <t>LNR RBE7J49 5929</t>
  </si>
  <si>
    <r>
      <rPr>
        <rFont val="Calibri"/>
        <b/>
        <color rgb="FF434343"/>
        <sz val="8.0"/>
      </rPr>
      <t xml:space="preserve">Solicitação:
</t>
    </r>
    <r>
      <rPr>
        <rFont val="Calibri"/>
        <color rgb="FF434343"/>
        <sz val="8.0"/>
      </rPr>
      <t xml:space="preserve">Verificar ausência de dados de telemetria para o motorista Cristóvão Henrique Ferreira, vinculado ao veículo de placa LTQ9A66.
</t>
    </r>
    <r>
      <rPr>
        <rFont val="Calibri"/>
        <b/>
        <color rgb="FF434343"/>
        <sz val="8.0"/>
      </rPr>
      <t xml:space="preserve">Problema:
</t>
    </r>
    <r>
      <rPr>
        <rFont val="Calibri"/>
        <color rgb="FF434343"/>
        <sz val="8.0"/>
      </rPr>
      <t xml:space="preserve">O motorista não está apresentando dados de telemetria desde o dia 26/05/2026.
</t>
    </r>
    <r>
      <rPr>
        <rFont val="Calibri"/>
        <b/>
        <color rgb="FF434343"/>
        <sz val="8.0"/>
      </rPr>
      <t xml:space="preserve">Verificação:
</t>
    </r>
    <r>
      <rPr>
        <rFont val="Calibri"/>
        <color rgb="FF434343"/>
        <sz val="8.0"/>
      </rPr>
      <t xml:space="preserve">Foi realizada análise e constatado que o veículo LTQ9A66 está gerando performance normalmente, indicando que os dados do veículo estão sendo processados. Entretanto, as informações não estão sendo atribuídas ao motorista.
</t>
    </r>
    <r>
      <rPr>
        <rFont val="Calibri"/>
        <b/>
        <color rgb="FF434343"/>
        <sz val="8.0"/>
      </rPr>
      <t xml:space="preserve">Impacto:
</t>
    </r>
    <r>
      <rPr>
        <rFont val="Calibri"/>
        <color rgb="FF434343"/>
        <sz val="8.0"/>
      </rPr>
      <t xml:space="preserve">A ausência de telemetria impede o acompanhamento da condução e da performance individual do motorista, comprometendo análises operacionais e indicadores.
</t>
    </r>
    <r>
      <rPr>
        <rFont val="Calibri"/>
        <b/>
        <color rgb="FF434343"/>
        <sz val="8.0"/>
      </rPr>
      <t xml:space="preserve">Objetivo:
</t>
    </r>
    <r>
      <rPr>
        <rFont val="Calibri"/>
        <color rgb="FF434343"/>
        <sz val="8.0"/>
      </rPr>
      <t xml:space="preserve">Identificar a causa da não geração de telemetria para o motorista e restabelecer a correta associação dos dados entre veículo e condutor.
</t>
    </r>
    <r>
      <rPr>
        <rFont val="Calibri"/>
        <b/>
        <color rgb="FF434343"/>
        <sz val="8.0"/>
      </rPr>
      <t xml:space="preserve">Observação:
</t>
    </r>
    <r>
      <rPr>
        <rFont val="Calibri"/>
        <color rgb="FF434343"/>
        <sz val="8.0"/>
      </rPr>
      <t>Necessário validar o vínculo motorista x veículo, regras de associação da telemetria e possíveis inconsistências no processamento dos dados do condutor.</t>
    </r>
  </si>
  <si>
    <t>a mesma devolutiva da O.S. 2026000327 - por ser o mesmo caso. Motorista ficará sem performance anterior, pelo fato de não termos a jornada informada pelo novo rastreador vinculado a ele.</t>
  </si>
  <si>
    <t>LNR RBE7J52 8974</t>
  </si>
  <si>
    <t>2026000330</t>
  </si>
  <si>
    <t>LNR RBE7J54 6681</t>
  </si>
  <si>
    <r>
      <rPr>
        <rFont val="Calibri"/>
        <b/>
        <color rgb="FF434343"/>
        <sz val="8.0"/>
      </rPr>
      <t>Solicitação</t>
    </r>
    <r>
      <rPr>
        <rFont val="Calibri"/>
        <color rgb="FF434343"/>
        <sz val="8.0"/>
      </rPr>
      <t xml:space="preserve">:
Verificar ausência de dados de telemetria e erro no reporte de quilometragem para o motorista Diego Samuel da silva Soares, vinculado ao veículo de placa RIW1D53, no período de 03/06 a 09/06.
</t>
    </r>
    <r>
      <rPr>
        <rFont val="Calibri"/>
        <b/>
        <color rgb="FF434343"/>
        <sz val="8.0"/>
      </rPr>
      <t>Problema</t>
    </r>
    <r>
      <rPr>
        <rFont val="Calibri"/>
        <color rgb="FF434343"/>
        <sz val="8.0"/>
      </rPr>
      <t xml:space="preserve">:
O veículo não está reportando a quilometragem corretamente no sistema desde o dia 03/06, o que está impactando negativamente e atrapalhando a condução do motorista no dia a dia.
</t>
    </r>
    <r>
      <rPr>
        <rFont val="Calibri"/>
        <b/>
        <color rgb="FF434343"/>
        <sz val="8.0"/>
      </rPr>
      <t>Verificação</t>
    </r>
    <r>
      <rPr>
        <rFont val="Calibri"/>
        <color rgb="FF434343"/>
        <sz val="8.0"/>
      </rPr>
      <t xml:space="preserve">:
Foi identificado que a jornada do motorista está travada durante o período de 03/06 a 09/06, impedindo a atualização, o reporte correto da quilometragem e a associação adequada dos dados de condução.
</t>
    </r>
    <r>
      <rPr>
        <rFont val="Calibri"/>
        <b/>
        <color rgb="FF434343"/>
        <sz val="8.0"/>
      </rPr>
      <t>Impacto</t>
    </r>
    <r>
      <rPr>
        <rFont val="Calibri"/>
        <color rgb="FF434343"/>
        <sz val="8.0"/>
      </rPr>
      <t xml:space="preserve">:
A falha compromete a visualização de telemetria, o acompanhamento operacional, a análise de performance e prejudica diretamente a rotina de trabalho e a condução do motorista.
</t>
    </r>
    <r>
      <rPr>
        <rFont val="Calibri"/>
        <b/>
        <color rgb="FF434343"/>
        <sz val="8.0"/>
      </rPr>
      <t>Objetivo</t>
    </r>
    <r>
      <rPr>
        <rFont val="Calibri"/>
        <color rgb="FF434343"/>
        <sz val="8.0"/>
      </rPr>
      <t xml:space="preserve">:
Identificar a causa do travamento da jornada no período citado, corrigir o erro no reporte de quilometragem e normalizar a geração/exibição dos dados de telemetria retrospectivos e atuais.
</t>
    </r>
    <r>
      <rPr>
        <rFont val="Calibri"/>
        <b/>
        <color rgb="FF434343"/>
        <sz val="8.0"/>
      </rPr>
      <t>Observação</t>
    </r>
    <r>
      <rPr>
        <rFont val="Calibri"/>
        <color rgb="FF434343"/>
        <sz val="8.0"/>
      </rPr>
      <t>:
Necessário validar regras de jornada, sincronização dos dados de quilometragem/telemetria entre os dias 03/06 e 09/06 e possíveis inconsistências de vínculo entre motorista e veículo.</t>
    </r>
  </si>
  <si>
    <t>ENVIAR APRESENTAÇÃO DE DIAGNÓSTICO E PREMIAÇÃO</t>
  </si>
  <si>
    <r>
      <rPr>
        <rFont val="Calibri"/>
        <b/>
        <color rgb="FF434343"/>
        <sz val="8.0"/>
      </rPr>
      <t xml:space="preserve">- 10/06 - </t>
    </r>
    <r>
      <rPr>
        <rFont val="Calibri"/>
        <color rgb="FF434343"/>
        <sz val="8.0"/>
      </rPr>
      <t>Veículo reportando após atualização da config. Caso cliente reclame de alguma alteração e preciso validar com o mesmo se o veículo estava operante.</t>
    </r>
  </si>
  <si>
    <t>LNR RBE7J59 8413</t>
  </si>
  <si>
    <t>2026000331</t>
  </si>
  <si>
    <t>LNR RBE7J62 3905</t>
  </si>
  <si>
    <r>
      <rPr>
        <rFont val="Calibri"/>
        <b/>
        <color rgb="FF434343"/>
        <sz val="8.0"/>
      </rPr>
      <t>Solicitação</t>
    </r>
    <r>
      <rPr>
        <rFont val="Calibri"/>
        <color rgb="FF434343"/>
        <sz val="8.0"/>
      </rPr>
      <t xml:space="preserve">:
Verificar possível inconsistência na contabilização de eventos de Pista Seca para o motorista Márcio Moreira, vinculado ao veículo de placa SRG9G39.
</t>
    </r>
    <r>
      <rPr>
        <rFont val="Calibri"/>
        <b/>
        <color rgb="FF434343"/>
        <sz val="8.0"/>
      </rPr>
      <t>Problema</t>
    </r>
    <r>
      <rPr>
        <rFont val="Calibri"/>
        <color rgb="FF434343"/>
        <sz val="8.0"/>
      </rPr>
      <t xml:space="preserve">:
Na performance do motorista, referente ao dia 04/06/2026, constam 8 ocorrências de Pista Seca (velocidade superior a 80 km/h). Entretanto, o motorista contesta os registros e apresentou o disco de tacógrafo do veículo, no qual não foram identificados excessos de velocidade acima de 80 km/h.
</t>
    </r>
    <r>
      <rPr>
        <rFont val="Calibri"/>
        <b/>
        <color rgb="FF434343"/>
        <sz val="8.0"/>
      </rPr>
      <t>Verificação</t>
    </r>
    <r>
      <rPr>
        <rFont val="Calibri"/>
        <color rgb="FF434343"/>
        <sz val="8.0"/>
      </rPr>
      <t xml:space="preserve">:
Foi realizada conferência do disco de tacógrafo apresentado pelo motorista, que aparentemente não demonstra os excessos registrados pelo sistema. Dessa forma, existe indício de divergência entre os eventos contabilizados na performance e os dados do veículo.
</t>
    </r>
    <r>
      <rPr>
        <rFont val="Calibri"/>
        <b/>
        <color rgb="FF434343"/>
        <sz val="8.0"/>
      </rPr>
      <t>Impacto</t>
    </r>
    <r>
      <rPr>
        <rFont val="Calibri"/>
        <color rgb="FF434343"/>
        <sz val="8.0"/>
      </rPr>
      <t xml:space="preserve">:
A inconsistência pode estar gerando descontos indevidos ao motorista, além de comprometer a confiabilidade dos indicadores de condução e dos critérios de avaliação de performance.
</t>
    </r>
    <r>
      <rPr>
        <rFont val="Calibri"/>
        <b/>
        <color rgb="FF434343"/>
        <sz val="8.0"/>
      </rPr>
      <t>Objetivo</t>
    </r>
    <r>
      <rPr>
        <rFont val="Calibri"/>
        <color rgb="FF434343"/>
        <sz val="8.0"/>
      </rPr>
      <t xml:space="preserve">:
Validar a origem dos registros de Pista Seca, identificar quais parâmetros e regras estão sendo utilizados para contabilização dos eventos e verificar se houve falha no processamento ou interpretação dos dados.
</t>
    </r>
    <r>
      <rPr>
        <rFont val="Calibri"/>
        <b/>
        <color rgb="FF434343"/>
        <sz val="8.0"/>
      </rPr>
      <t>Observação</t>
    </r>
    <r>
      <rPr>
        <rFont val="Calibri"/>
        <color rgb="FF434343"/>
        <sz val="8.0"/>
      </rPr>
      <t>:
Solicita-se detalhamento dos critérios utilizados pelo contador de Pista Seca, bem como a validação dos eventos registrados no dia 04/06/2026 para confirmar a legitimidade das 8 ocorrências apontadas pelo sistema.</t>
    </r>
  </si>
  <si>
    <t>SRG9G39</t>
  </si>
  <si>
    <r>
      <rPr>
        <rFont val="Calibri"/>
        <b/>
        <color rgb="FF434343"/>
        <sz val="8.0"/>
      </rPr>
      <t xml:space="preserve">- 12/06 - </t>
    </r>
    <r>
      <rPr>
        <rFont val="Calibri"/>
        <b val="0"/>
        <color rgb="FF434343"/>
        <sz val="8.0"/>
      </rPr>
      <t xml:space="preserve">Orientação: Informar ao usuário que esses dados vem de integração do rastreador. O que siginifica que não tratamos esse dados, apenas exibimos o que vem da Sascar. Ela precisa verificar com o fornecedor o que pode ter acontecido para haver essa divergência.
</t>
    </r>
  </si>
  <si>
    <t>2026000332</t>
  </si>
  <si>
    <t>LNR RBE8I06 1412</t>
  </si>
  <si>
    <r>
      <rPr>
        <rFont val="Calibri"/>
        <b/>
        <color rgb="FF434343"/>
        <sz val="8.0"/>
      </rPr>
      <t>Solicitação:</t>
    </r>
    <r>
      <rPr>
        <rFont val="Calibri"/>
        <color rgb="FF434343"/>
        <sz val="8.0"/>
      </rPr>
      <t xml:space="preserve">
Verificar inconsistência na regra de premiação referente ao indicador Perda de Torque.
</t>
    </r>
    <r>
      <rPr>
        <rFont val="Calibri"/>
        <b/>
        <color rgb="FF434343"/>
        <sz val="8.0"/>
      </rPr>
      <t>Problema:</t>
    </r>
    <r>
      <rPr>
        <rFont val="Calibri"/>
        <color rgb="FF434343"/>
        <sz val="8.0"/>
      </rPr>
      <t xml:space="preserve">
A regra definida prevê pagamento de R$ 500,00 apenas para resultados de Perda de Torque abaixo de 0,50%. Entretanto, o sistema continua computando a premiação de forma incorreta.
</t>
    </r>
    <r>
      <rPr>
        <rFont val="Calibri"/>
        <b/>
        <color rgb="FF434343"/>
        <sz val="8.0"/>
      </rPr>
      <t>Verificação:</t>
    </r>
    <r>
      <rPr>
        <rFont val="Calibri"/>
        <color rgb="FF434343"/>
        <sz val="8.0"/>
      </rPr>
      <t xml:space="preserve">
Foram identificados casos em que motoristas com resultado acima de 0,50% estão recebendo a mesma premiação de R$ 500,00, contrariando a regra estabelecida.
</t>
    </r>
    <r>
      <rPr>
        <rFont val="Calibri"/>
        <b/>
        <color rgb="FF434343"/>
        <sz val="8.0"/>
      </rPr>
      <t>Exemplos identificados:</t>
    </r>
    <r>
      <rPr>
        <rFont val="Calibri"/>
        <color rgb="FF434343"/>
        <sz val="8.0"/>
      </rPr>
      <t xml:space="preserve">
Adilson Adão – Perda de Torque: 0,55% – Premiação exibida: R$ 500,00
Lucas Bento de ... – Perda de Torque: 0,54% – Premiação exibida: R$ 500,00
Além disso, no relatório de performance é possível observar outros registros com 0,52% de Perda de Torque também recebendo a premiação máxima.
</t>
    </r>
    <r>
      <rPr>
        <rFont val="Calibri"/>
        <b/>
        <color rgb="FF434343"/>
        <sz val="8.0"/>
      </rPr>
      <t>Impacto:</t>
    </r>
    <r>
      <rPr>
        <rFont val="Calibri"/>
        <color rgb="FF434343"/>
        <sz val="8.0"/>
      </rPr>
      <t xml:space="preserve">
A inconsistência afeta diretamente o cálculo da premiação dos motoristas, podendo gerar pagamentos indevidos e divergências na apuração dos resultados.
</t>
    </r>
    <r>
      <rPr>
        <rFont val="Calibri"/>
        <b/>
        <color rgb="FF434343"/>
        <sz val="8.0"/>
      </rPr>
      <t>Objetivo:</t>
    </r>
    <r>
      <rPr>
        <rFont val="Calibri"/>
        <color rgb="FF434343"/>
        <sz val="8.0"/>
      </rPr>
      <t xml:space="preserve">
Validar a regra de cálculo da premiação por Perda de Torque e corrigir o processamento para que apenas resultados inferiores a 0,50% recebam a bonificação de R$ 500,00.
Observação:
Necessário verificar se o sistema está utilizando arredondamento incorreto, regra desatualizada ou processamento divergente entre o relatório e a tela de premiação.</t>
    </r>
  </si>
  <si>
    <t>LNR RBE8J07 6422</t>
  </si>
  <si>
    <r>
      <rPr>
        <rFont val="Calibri"/>
        <b/>
        <color rgb="FF434343"/>
        <sz val="8.0"/>
      </rPr>
      <t xml:space="preserve">- 10/06 - </t>
    </r>
    <r>
      <rPr>
        <rFont val="Calibri"/>
        <color rgb="FF434343"/>
        <sz val="8.0"/>
      </rPr>
      <t>Regra alterada e recalculo relizado</t>
    </r>
  </si>
  <si>
    <t>2026000333</t>
  </si>
  <si>
    <t>PTNR SYA4B17 4525</t>
  </si>
  <si>
    <t>Maeli</t>
  </si>
  <si>
    <r>
      <rPr>
        <rFont val="Calibri"/>
        <b/>
        <color rgb="FF434343"/>
        <sz val="8.0"/>
      </rPr>
      <t xml:space="preserve">Solicitação:
</t>
    </r>
    <r>
      <rPr>
        <rFont val="Calibri"/>
        <color rgb="FF434343"/>
        <sz val="8.0"/>
      </rPr>
      <t xml:space="preserve">Liberar acesso à funcionalidade de Troca de Motorista no aplicativo para a usuária abaixo.
</t>
    </r>
    <r>
      <rPr>
        <rFont val="Calibri"/>
        <b/>
        <color rgb="FF434343"/>
        <sz val="8.0"/>
      </rPr>
      <t xml:space="preserve">Dados da Usuária:
</t>
    </r>
    <r>
      <rPr>
        <rFont val="Calibri"/>
        <color rgb="FF434343"/>
        <sz val="8.0"/>
      </rPr>
      <t xml:space="preserve">E-mail: maeli.silva@lenarge.com.br
</t>
    </r>
    <r>
      <rPr>
        <rFont val="Calibri"/>
        <b/>
        <color rgb="FF434343"/>
        <sz val="8.0"/>
      </rPr>
      <t xml:space="preserve">Problema:
</t>
    </r>
    <r>
      <rPr>
        <rFont val="Calibri"/>
        <color rgb="FF434343"/>
        <sz val="8.0"/>
      </rPr>
      <t xml:space="preserve">A usuária não possui acesso à aba de Troca de Motorista, funcionalidade necessária para execução das atividades operacionais.
</t>
    </r>
    <r>
      <rPr>
        <rFont val="Calibri"/>
        <b/>
        <color rgb="FF434343"/>
        <sz val="8.0"/>
      </rPr>
      <t xml:space="preserve">Impacto:
</t>
    </r>
    <r>
      <rPr>
        <rFont val="Calibri"/>
        <color rgb="FF434343"/>
        <sz val="8.0"/>
      </rPr>
      <t xml:space="preserve">A ausência da permissão impede a realização de trocas de motorista pelo aplicativo, impactando o fluxo operacional.
</t>
    </r>
    <r>
      <rPr>
        <rFont val="Calibri"/>
        <b/>
        <color rgb="FF434343"/>
        <sz val="8.0"/>
      </rPr>
      <t xml:space="preserve">Objetivo:
</t>
    </r>
    <r>
      <rPr>
        <rFont val="Calibri"/>
        <color rgb="FF434343"/>
        <sz val="8.0"/>
      </rPr>
      <t xml:space="preserve">Conceder acesso à aba de Troca de Motorista para a usuária informada, garantindo a utilização da funcionalidade no app.
</t>
    </r>
    <r>
      <rPr>
        <rFont val="Calibri"/>
        <b/>
        <color rgb="FF434343"/>
        <sz val="8.0"/>
      </rPr>
      <t xml:space="preserve">Observação:
</t>
    </r>
    <r>
      <rPr>
        <rFont val="Calibri"/>
        <color rgb="FF434343"/>
        <sz val="8.0"/>
      </rPr>
      <t>Após a liberação, validar se a permissão foi aplicada corretamente e se a funcionalidade está disponível para utilização.</t>
    </r>
  </si>
  <si>
    <t>Atualizado a permissão para a Usuária</t>
  </si>
  <si>
    <t>LNR RBE8J62 0814</t>
  </si>
  <si>
    <t>2026000334</t>
  </si>
  <si>
    <t>FAZER PESQUISA DE QUAL JORNADA OS CLIENTES USAM</t>
  </si>
  <si>
    <t>Gustavo Matos</t>
  </si>
  <si>
    <t>LNR RBE9A55 7829</t>
  </si>
  <si>
    <r>
      <rPr>
        <rFont val="Calibri"/>
        <b/>
        <color rgb="FF434343"/>
        <sz val="8.0"/>
      </rPr>
      <t>Solicitação</t>
    </r>
    <r>
      <rPr>
        <rFont val="Calibri"/>
        <color rgb="FF434343"/>
        <sz val="8.0"/>
      </rPr>
      <t xml:space="preserve">:
Verificar travamento e ausência de atualização nas posições de rastreamento do veículo de placa LMV3F08, vinculado ao motorista CHASRAMSES SCHINAIDER CARVALHO.
</t>
    </r>
    <r>
      <rPr>
        <rFont val="Calibri"/>
        <b/>
        <color rgb="FF434343"/>
        <sz val="8.0"/>
      </rPr>
      <t>Problema</t>
    </r>
    <r>
      <rPr>
        <rFont val="Calibri"/>
        <color rgb="FF434343"/>
        <sz val="8.0"/>
      </rPr>
      <t xml:space="preserve">:
O sistema de monitoramento indica que o veículo encontra-se travado na mesma posição desde o dia 10/06 às 09:33. Não há recebimento de novos pacotes de dados (telemetria ou posições de GPS), impossibilitando o acompanhamento em tempo real do veículo e da carga.
</t>
    </r>
    <r>
      <rPr>
        <rFont val="Calibri"/>
        <b/>
        <color rgb="FF434343"/>
        <sz val="8.0"/>
      </rPr>
      <t>Verificação</t>
    </r>
    <r>
      <rPr>
        <rFont val="Calibri"/>
        <color rgb="FF434343"/>
        <sz val="8.0"/>
      </rPr>
      <t xml:space="preserve">:
Foi realizada tentativa de envio de comandos de atualização (keep alive / polling) e comandos de reinicialização do módulo de rastreamento, porém o dispositivo não respondeu aos estímulos da central. Não há alertas de violação de painel ou perda de alimentação principal ativos antes do congelamento da posição.
</t>
    </r>
    <r>
      <rPr>
        <rFont val="Calibri"/>
        <b/>
        <color rgb="FF434343"/>
        <sz val="8.0"/>
      </rPr>
      <t>Impacto</t>
    </r>
    <r>
      <rPr>
        <rFont val="Calibri"/>
        <color rgb="FF434343"/>
        <sz val="8.0"/>
      </rPr>
      <t xml:space="preserve">:
A falta de rastreamento gera perda total de visibilidade operacional, viola as regras de gerenciamento de risco (GR) para transporte de cargas e impede o acionamento de alertas de segurança (como desvio de rota ou botão de pânico), elevando significativamente a vulnerabilidade do veículo contra sinistros.
</t>
    </r>
    <r>
      <rPr>
        <rFont val="Calibri"/>
        <b/>
        <color rgb="FF434343"/>
        <sz val="8.0"/>
      </rPr>
      <t>Objetivo</t>
    </r>
    <r>
      <rPr>
        <rFont val="Calibri"/>
        <color rgb="FF434343"/>
        <sz val="8.0"/>
      </rPr>
      <t xml:space="preserve">:
Identificar a causa raiz do travamento do rastreador (falha de hardware, travamento de firmware, perda de comunicação por falta de cobertura celular ou falha na alimentação de energia do módulo) e restabelecer a comunicação com o veículo.
</t>
    </r>
    <r>
      <rPr>
        <rFont val="Calibri"/>
        <b/>
        <color rgb="FF434343"/>
        <sz val="8.0"/>
      </rPr>
      <t>Observação</t>
    </r>
    <r>
      <rPr>
        <rFont val="Calibri"/>
        <color rgb="FF434343"/>
        <sz val="8.0"/>
      </rPr>
      <t>:
Solicita-se a análise dos últimos logs de transmissão antes do travamento para verificar se houve falha de buffer ou queda de tensão na bateria. Caso o comando de reinicialização remota não surta efeito, será necessário o agendamento de manutenção corretiva presencial em assistência técnica autorizada.</t>
    </r>
  </si>
  <si>
    <t>Foi vinculado o novo rastreador SASCAR ao APP Lenarge</t>
  </si>
  <si>
    <t>LNR RBE9A95 3784</t>
  </si>
  <si>
    <t>2026000335</t>
  </si>
  <si>
    <t>Cleison</t>
  </si>
  <si>
    <t>LNR RBE9C45 0350</t>
  </si>
  <si>
    <t>ORIENTAÇÃO</t>
  </si>
  <si>
    <r>
      <rPr>
        <rFont val="Calibri"/>
        <b/>
        <color rgb="FF434343"/>
        <sz val="8.0"/>
      </rPr>
      <t xml:space="preserve">Solicitação:
</t>
    </r>
    <r>
      <rPr>
        <rFont val="Calibri"/>
        <color rgb="FF434343"/>
        <sz val="8.0"/>
      </rPr>
      <t xml:space="preserve">Liberar acesso ao módulo de Requisição de Compra no Rodopar para o usuário Cleison Magno da Cruz.
</t>
    </r>
    <r>
      <rPr>
        <rFont val="Calibri"/>
        <b/>
        <color rgb="FF434343"/>
        <sz val="8.0"/>
      </rPr>
      <t xml:space="preserve">Dados do Usuário:
</t>
    </r>
    <r>
      <rPr>
        <rFont val="Calibri"/>
        <color rgb="FF434343"/>
        <sz val="8.0"/>
      </rPr>
      <t xml:space="preserve">Nome: Cleison Magno da Cruz
E-mail: cleison.cruz@lenarge.com.br
</t>
    </r>
    <r>
      <rPr>
        <rFont val="Calibri"/>
        <b/>
        <color rgb="FF434343"/>
        <sz val="8.0"/>
      </rPr>
      <t xml:space="preserve">Problema:
</t>
    </r>
    <r>
      <rPr>
        <rFont val="Calibri"/>
        <color rgb="FF434343"/>
        <sz val="8.0"/>
      </rPr>
      <t xml:space="preserve">O usuário não está conseguindo acessar as requisições de compra da Filial 37 e também não possui permissão para alterar requisições da Filial 16.
</t>
    </r>
    <r>
      <rPr>
        <rFont val="Calibri"/>
        <b/>
        <color rgb="FF434343"/>
        <sz val="8.0"/>
      </rPr>
      <t xml:space="preserve">Impacto:
</t>
    </r>
    <r>
      <rPr>
        <rFont val="Calibri"/>
        <color rgb="FF434343"/>
        <sz val="8.0"/>
      </rPr>
      <t xml:space="preserve">A ausência das permissões necessárias impede a consulta e manutenção das requisições de compra, afetando as atividades operacionais do usuário.
</t>
    </r>
    <r>
      <rPr>
        <rFont val="Calibri"/>
        <b/>
        <color rgb="FF434343"/>
        <sz val="8.0"/>
      </rPr>
      <t xml:space="preserve">Objetivo:
</t>
    </r>
    <r>
      <rPr>
        <rFont val="Calibri"/>
        <color rgb="FF434343"/>
        <sz val="8.0"/>
      </rPr>
      <t xml:space="preserve">Conceder acesso às requisições de compra da Filial 37 e liberar permissão para alteração de requisições da Filial 16.
</t>
    </r>
    <r>
      <rPr>
        <rFont val="Calibri"/>
        <b/>
        <color rgb="FF434343"/>
        <sz val="8.0"/>
      </rPr>
      <t xml:space="preserve">Observação:
</t>
    </r>
    <r>
      <rPr>
        <rFont val="Calibri"/>
        <color rgb="FF434343"/>
        <sz val="8.0"/>
      </rPr>
      <t>Após a liberação, validar se os acessos foram aplicados corretamente e se o usuário consegue consultar e alterar as requisições conforme necessário.</t>
    </r>
  </si>
  <si>
    <t>LNR RBE9C64 3371</t>
  </si>
  <si>
    <t>2026000336</t>
  </si>
  <si>
    <t>LISTA COM DESCRIÇÃO DOS VEÍCULOS</t>
  </si>
  <si>
    <t>LNR RBE9D06 9632</t>
  </si>
  <si>
    <r>
      <rPr>
        <rFont val="Calibri"/>
        <b/>
        <color rgb="FF434343"/>
        <sz val="8.0"/>
      </rPr>
      <t xml:space="preserve">Solicitação:
</t>
    </r>
    <r>
      <rPr>
        <rFont val="Calibri"/>
        <color rgb="FF434343"/>
        <sz val="8.0"/>
      </rPr>
      <t xml:space="preserve">Verificar inconsistência no filtro de período do relatório geral de performance do veículo.
</t>
    </r>
    <r>
      <rPr>
        <rFont val="Calibri"/>
        <b/>
        <color rgb="FF434343"/>
        <sz val="8.0"/>
      </rPr>
      <t xml:space="preserve">Problema:
</t>
    </r>
    <r>
      <rPr>
        <rFont val="Calibri"/>
        <color rgb="FF434343"/>
        <sz val="8.0"/>
      </rPr>
      <t xml:space="preserve">O usuário não consegue consolidar ou visualizar os dados de telemetria de um veículo específico no relatório geral quando busca por um período estendido (ex: 16/05 a 06/06). Os dados do veículo só são exibidos quando utilizado o relatório restrito de 7 dias.
</t>
    </r>
    <r>
      <rPr>
        <rFont val="Calibri"/>
        <b/>
        <color rgb="FF434343"/>
        <sz val="8.0"/>
      </rPr>
      <t xml:space="preserve">Verificação:
</t>
    </r>
    <r>
      <rPr>
        <rFont val="Calibri"/>
        <color rgb="FF434343"/>
        <sz val="8.0"/>
      </rPr>
      <t xml:space="preserve">Foi identificado que o relatório de curto prazo (7 dias) renderiza corretamente as informações de consumo, quilometragem e indicadores (Perda de Torque, Inércia, Excesso de RPM e Marcha Lenta) do veículo sob a placa TYU4G99 (P&amp;W Igarapé Transportes). No entanto, o sistema apresenta uma falha de agregação ou busca no relatório geral (visão macro), impossibilitando a análise de períodos maiores necessários para a operação.
</t>
    </r>
    <r>
      <rPr>
        <rFont val="Calibri"/>
        <b/>
        <color rgb="FF434343"/>
        <sz val="8.0"/>
      </rPr>
      <t>Impacto:</t>
    </r>
    <r>
      <rPr>
        <rFont val="Calibri"/>
        <color rgb="FF434343"/>
        <sz val="8.0"/>
      </rPr>
      <t xml:space="preserve">
A limitação impede o setor operacional de realizar análises e auditorias mensais ou de períodos customizados longos, restringindo o acompanhamento da evolução do veículo e da condução do motorista.
</t>
    </r>
    <r>
      <rPr>
        <rFont val="Calibri"/>
        <b/>
        <color rgb="FF434343"/>
        <sz val="8.0"/>
      </rPr>
      <t>Objetivo:</t>
    </r>
    <r>
      <rPr>
        <rFont val="Calibri"/>
        <color rgb="FF434343"/>
        <sz val="8.0"/>
      </rPr>
      <t xml:space="preserve">
Corrigir o banco de dados ou a query de busca do relatório geral para garantir que os dados históricos dos veículos sejam carregados perfeitamente em qualquer intervalo de datas selecionado pelo usuário, eliminando a limitação forçada de 7 dias.
</t>
    </r>
    <r>
      <rPr>
        <rFont val="Calibri"/>
        <b/>
        <color rgb="FF434343"/>
        <sz val="8.0"/>
      </rPr>
      <t>Observação:</t>
    </r>
    <r>
      <rPr>
        <rFont val="Calibri"/>
        <color rgb="FF434343"/>
        <sz val="8.0"/>
      </rPr>
      <t xml:space="preserve">
Validar se o problema ocorre por timeout na consulta de períodos longos, falha na indexação dos dados do veículo no relatório geral ou se há uma trava intencional de escopo na tela que precisa ser flexibilizada.</t>
    </r>
  </si>
  <si>
    <t>LNR RBE9D08 5805</t>
  </si>
  <si>
    <t>2026000337</t>
  </si>
  <si>
    <t>LNR RBE9D11 2025</t>
  </si>
  <si>
    <t>Iago</t>
  </si>
  <si>
    <t>31 9733-5206</t>
  </si>
  <si>
    <t>Liberar o acesso ao app da Portaria para um celular novo.</t>
  </si>
  <si>
    <t>LNR RBE9D13 5732</t>
  </si>
  <si>
    <t>30/06 - Usuário não deu mais retorno no chamado</t>
  </si>
  <si>
    <t>2026000338</t>
  </si>
  <si>
    <t>BUSCAR RETORNO COM A EMPRESA SOBRE A POC</t>
  </si>
  <si>
    <t>LNR RBE9D16 4098</t>
  </si>
  <si>
    <t>Avaliar ajustes na api que alimenta a tabela de conjunto do Rodopar. Função do app que alimenta essa tabela, está mandando contextos sem placa da carreta.</t>
  </si>
  <si>
    <t xml:space="preserve">RBE9E77 </t>
  </si>
  <si>
    <t>LNR RBE9D17 0731</t>
  </si>
  <si>
    <t>-19/06: API do rodopar está apresentando um erro quando enviamos a informação. Gabriel foi informado do erro, para que o pessoal do Rodopar corrija o mesmo.</t>
  </si>
  <si>
    <t>2026000339</t>
  </si>
  <si>
    <t>LNR RBE9D19 0110</t>
  </si>
  <si>
    <t>Atualizar informações do motorista/veículo conforme solicitação do operacional (Lenarge). Veículo Cavalo com rastreador apresentando divergência de status/travado no aplicativo, enquanto consta liberado no Sascar.</t>
  </si>
  <si>
    <t>SRJ3H94</t>
  </si>
  <si>
    <t>-19/06: Cliente realizou a troca do módulo de rastreador da sascar e não informou via suporte a troca, inativando o que estava anteriormente no veículo. Atualizamos o veículo com o id do novo rastreador e mesmo voltou a mostrar os dados de localização</t>
  </si>
  <si>
    <t>LNR RBE9D23 3178</t>
  </si>
  <si>
    <t>2026000340</t>
  </si>
  <si>
    <t>LNR RBE9D27 4161</t>
  </si>
  <si>
    <t>Analisar perda de telemetria (condução econômica) no veículo RBE9E71 conforme solicitado pelo Salvador (Lenarge). Cliente relata ausência total de dados e necessita da extração/normalização do histórico do mês completo para tratativas internas.</t>
  </si>
  <si>
    <t>RBE9E71</t>
  </si>
  <si>
    <t>LNR RBE9D28 4153</t>
  </si>
  <si>
    <t>2026000341</t>
  </si>
  <si>
    <t>Avaliar a viabilidade de remover a limitação de retrocesso de 7 dias no relatório de telemetria solicitado pelo Kener (PW Transportes). O cliente sinaliza que o relatório é ideal para alinhamento com motoristas, mas a restrição atual prejudica extrações mais abrangentes.</t>
  </si>
  <si>
    <t>LNR RBE9D31 5986</t>
  </si>
  <si>
    <t>2026000342</t>
  </si>
  <si>
    <t>LNR RBE9D35 6668</t>
  </si>
  <si>
    <t>Analisar ausência de dados de motoristas em operação na tela do sistema (Torre). A cliente (Thalita - Lenarge) sinaliza que, ao pesquisar pelo nome do funcionário ativo, nenhuma informação é retornada na busca, agindo como se o motorista não existisse. Investigar se há falha na query de busca ou na sincronização de dados operacionais.</t>
  </si>
  <si>
    <t>WANDERLEY MANOEL DE LIMA</t>
  </si>
  <si>
    <t>30/06 - Muitos dos motoristas estão vinculado a uma outra empresa do grupo Lenarge e os mesmo as vezes não tem o cadastro no rodopar da Lenarge, ocorrendo que as informações não cheguem ao motorista. Já houve um chamado com esse assunto pelo Gaspar, e segundo ele, ainda não tinha sido resolvido a questão dos cadastros do motirstas, em qual base seria.</t>
  </si>
  <si>
    <t>LNR RBE9D39 2116</t>
  </si>
  <si>
    <t>2026000343</t>
  </si>
  <si>
    <t>LNR RBE9D49 9533</t>
  </si>
  <si>
    <t>Motoristas estão reclamando que está parecendo dados de outros motoristas na condução deles.
Minha suspeita é de que não está ocorrendo a leitura de jornada. Caso ocorrendo com todos os motoristas da empresa</t>
  </si>
  <si>
    <t>RVZ2C77
TXP9B97</t>
  </si>
  <si>
    <t xml:space="preserve">30/06 - Foi aberto um chamado junto a fornecdor do cliente para validar o envio dos dados via api. Nossa api chama a rota /aticapi/v1/accounts/19973/vehicles porem não retorna enhum dado.
Após correção da api por parte da autotrac, os dados voltaram a ser reportados.
</t>
  </si>
  <si>
    <t>LNR RBE9D50 5655</t>
  </si>
  <si>
    <t>2026000344</t>
  </si>
  <si>
    <t>Devido ao caso ocorrido com RLR, conferi o relatório de jornada por veículo, alguns pararam pela manhã. E a maioria que peguei por amostragem, está vindo o ultimo evento com "data invalida".</t>
  </si>
  <si>
    <t>LNR RBE9D80 8920</t>
  </si>
  <si>
    <t>30/06 - Api funcionando conforme esperado.</t>
  </si>
  <si>
    <t>2026000345</t>
  </si>
  <si>
    <t>LNR RBE9E17 1297</t>
  </si>
  <si>
    <t>31 99874-5002</t>
  </si>
  <si>
    <t>LNR RBE9E33 3434</t>
  </si>
  <si>
    <r>
      <rPr>
        <rFont val="Calibri"/>
        <b/>
        <color rgb="FF434343"/>
        <sz val="8.0"/>
      </rPr>
      <t xml:space="preserve">Solicitação:
</t>
    </r>
    <r>
      <rPr>
        <rFont val="Calibri"/>
        <color rgb="FF434343"/>
        <sz val="8.0"/>
      </rPr>
      <t xml:space="preserve">Verificar inconsistência na pontuação da telemetria/condução dos motoristas no aplicativo.
</t>
    </r>
    <r>
      <rPr>
        <rFont val="Calibri"/>
        <b/>
        <color rgb="FF434343"/>
        <sz val="8.0"/>
      </rPr>
      <t xml:space="preserve">Problema:
</t>
    </r>
    <r>
      <rPr>
        <rFont val="Calibri"/>
        <color rgb="FF434343"/>
        <sz val="8.0"/>
      </rPr>
      <t xml:space="preserve">O aplicativo não está pontuando corretamente os indicadores de condução dos motoristas. Os dados apresentados aparentam estar inconsistentes, gerando dúvidas quanto à confiabilidade das informações.
</t>
    </r>
    <r>
      <rPr>
        <rFont val="Calibri"/>
        <b/>
        <color rgb="FF434343"/>
        <sz val="8.0"/>
      </rPr>
      <t xml:space="preserve">Verificação:
</t>
    </r>
    <r>
      <rPr>
        <rFont val="Calibri"/>
        <color rgb="FF434343"/>
        <sz val="8.0"/>
      </rPr>
      <t xml:space="preserve">Foi identificado que diversos motoristas estão apresentando indicadores de telemetria que não condizem com o comportamento esperado da operação. Solicita-se a validação para identificar se a inconsistência está relacionada a falha no processamento da telemetria, problema de comunicação dos módulos ou outra inconsistência sistêmica.
</t>
    </r>
    <r>
      <rPr>
        <rFont val="Calibri"/>
        <b/>
        <color rgb="FF434343"/>
        <sz val="8.0"/>
      </rPr>
      <t xml:space="preserve">Impacto:
</t>
    </r>
    <r>
      <rPr>
        <rFont val="Calibri"/>
        <color rgb="FF434343"/>
        <sz val="8.0"/>
      </rPr>
      <t xml:space="preserve">A falha compromete a apuração da performance dos motoristas, podendo gerar avaliações incorretas, divergências nos indicadores operacionais e impactos na premiação.
</t>
    </r>
    <r>
      <rPr>
        <rFont val="Calibri"/>
        <b/>
        <color rgb="FF434343"/>
        <sz val="8.0"/>
      </rPr>
      <t xml:space="preserve">Objetivo:
</t>
    </r>
    <r>
      <rPr>
        <rFont val="Calibri"/>
        <color rgb="FF434343"/>
        <sz val="8.0"/>
      </rPr>
      <t xml:space="preserve">Identificar a causa da inconsistência na pontuação da telemetria, verificando se há falha de comunicação, processamento dos dados, integração entre sistemas ou erro na regra de cálculo dos indicadores.
</t>
    </r>
    <r>
      <rPr>
        <rFont val="Calibri"/>
        <b/>
        <color rgb="FF434343"/>
        <sz val="8.0"/>
      </rPr>
      <t xml:space="preserve">Observação:
</t>
    </r>
    <r>
      <rPr>
        <rFont val="Calibri"/>
        <color rgb="FF434343"/>
        <sz val="8.0"/>
      </rPr>
      <t>Necessário analisar a origem dos dados de telemetria e validar se as informações recebidas pelos módulos estão sendo processadas corretamente antes da geração da performance dos motoristas.</t>
    </r>
  </si>
  <si>
    <t>- Foram atualizados alguns dados para outros chamados. Esse chamado está muito generalista, precisamos de mais dados entender qual o problema mais afundo. O que realmente não está funcionando com evidência para que possamos debugar o erro.</t>
  </si>
  <si>
    <t>LNR RBE9E35 9616</t>
  </si>
  <si>
    <t>2026000346</t>
  </si>
  <si>
    <t>Thiago</t>
  </si>
  <si>
    <t>31 99779-0503</t>
  </si>
  <si>
    <r>
      <rPr>
        <rFont val="Calibri"/>
        <b/>
        <color rgb="FF434343"/>
        <sz val="8.0"/>
      </rPr>
      <t xml:space="preserve">Solicitação:
</t>
    </r>
    <r>
      <rPr>
        <rFont val="Calibri"/>
        <color rgb="FF434343"/>
        <sz val="8.0"/>
      </rPr>
      <t xml:space="preserve">Implementar no App do Motorista a funcionalidade de filtro por período para consulta da performance e premiação.
</t>
    </r>
    <r>
      <rPr>
        <rFont val="Calibri"/>
        <b/>
        <color rgb="FF434343"/>
        <sz val="8.0"/>
      </rPr>
      <t xml:space="preserve">Necessidade:
</t>
    </r>
    <r>
      <rPr>
        <rFont val="Calibri"/>
        <color rgb="FF434343"/>
        <sz val="8.0"/>
      </rPr>
      <t xml:space="preserve">Atualmente, o aplicativo permite visualizar apenas a performance do mês completo, impossibilitando a consulta por períodos específicos.
</t>
    </r>
    <r>
      <rPr>
        <rFont val="Calibri"/>
        <b/>
        <color rgb="FF434343"/>
        <sz val="8.0"/>
      </rPr>
      <t xml:space="preserve">Contexto da Operação:
</t>
    </r>
    <r>
      <rPr>
        <rFont val="Calibri"/>
        <color rgb="FF434343"/>
        <sz val="8.0"/>
      </rPr>
      <t xml:space="preserve">O fechamento da premiação dos motoristas não é realizado considerando o mês calendário, mas sim o período de 21 do mês anterior até o dia 20 do mês vigente, seguindo o mesmo padrão utilizado para o pagamento das viagens.
Como o motorista visualiza apenas o mês fechado, os valores apresentados no aplicativo não correspondem ao período efetivamente utilizado para cálculo da premiação, gerando divergências entre o que o motorista visualiza e o que é pago pela empresa.
</t>
    </r>
    <r>
      <rPr>
        <rFont val="Calibri"/>
        <b/>
        <color rgb="FF434343"/>
        <sz val="8.0"/>
      </rPr>
      <t xml:space="preserve">Objetivo:
</t>
    </r>
    <r>
      <rPr>
        <rFont val="Calibri"/>
        <color rgb="FF434343"/>
        <sz val="8.0"/>
      </rPr>
      <t xml:space="preserve">Disponibilizar um filtro de datas no App do Motorista, permitindo que o usuário selecione um período personalizado (ex.: 21/05 a 20/06) para consultar sua performance e premiação exatamente conforme o período de fechamento da operação.
</t>
    </r>
    <r>
      <rPr>
        <rFont val="Calibri"/>
        <b/>
        <color rgb="FF434343"/>
        <sz val="8.0"/>
      </rPr>
      <t xml:space="preserve">Impacto Esperado:
</t>
    </r>
    <r>
      <rPr>
        <rFont val="Calibri"/>
        <color rgb="FF434343"/>
        <sz val="8.0"/>
      </rPr>
      <t xml:space="preserve">Alinhar as informações apresentadas ao motorista com o período utilizado para pagamento da premiação;
Reduzir divergências e questionamentos sobre os valores pagos;
Melhorar a transparência e a experiência do motorista ao consultar seus indicadores de desempenho.
</t>
    </r>
    <r>
      <rPr>
        <rFont val="Calibri"/>
        <b/>
        <color rgb="FF434343"/>
        <sz val="8.0"/>
      </rPr>
      <t xml:space="preserve">Observação:
</t>
    </r>
    <r>
      <rPr>
        <rFont val="Calibri"/>
        <color rgb="FF434343"/>
        <sz val="8.0"/>
      </rPr>
      <t>A funcionalidade deverá permitir a seleção de qualquer intervalo de datas, não ficando restrita apenas ao mês calendário.</t>
    </r>
  </si>
  <si>
    <t>LNR RBE9E40 7511</t>
  </si>
  <si>
    <t>2026000347</t>
  </si>
  <si>
    <t>31 99898-1720</t>
  </si>
  <si>
    <t>LNR RBE9E44 0336</t>
  </si>
  <si>
    <r>
      <rPr>
        <rFont val="Calibri"/>
        <b/>
        <color rgb="FF434343"/>
        <sz val="8.0"/>
      </rPr>
      <t xml:space="preserve">Solicitação:
</t>
    </r>
    <r>
      <rPr>
        <rFont val="Calibri"/>
        <color rgb="FF434343"/>
        <sz val="8.0"/>
      </rPr>
      <t xml:space="preserve">Verificar inconsistência nos dados de RPM do veículo RVD3D62, vinculado ao motorista Célio Estevem Cláudio.
</t>
    </r>
    <r>
      <rPr>
        <rFont val="Calibri"/>
        <b/>
        <color rgb="FF434343"/>
        <sz val="8.0"/>
      </rPr>
      <t xml:space="preserve">Problema:
</t>
    </r>
    <r>
      <rPr>
        <rFont val="Calibri"/>
        <color rgb="FF434343"/>
        <sz val="8.0"/>
      </rPr>
      <t xml:space="preserve">Foi identificado que o sistema está registrando valores elevados de RPM mesmo com o veículo parado, o que pode estar impactando os indicadores de telemetria e performance.
</t>
    </r>
    <r>
      <rPr>
        <rFont val="Calibri"/>
        <b/>
        <color rgb="FF434343"/>
        <sz val="8.0"/>
      </rPr>
      <t xml:space="preserve">Verificação:
</t>
    </r>
    <r>
      <rPr>
        <rFont val="Calibri"/>
        <color rgb="FF434343"/>
        <sz val="8.0"/>
      </rPr>
      <t xml:space="preserve">Conforme evidências anexadas, há registros em que o veículo apresenta velocidade de 0 km/h e, ao mesmo tempo, 558 RPM, além de outros momentos com oscilações de RPM que aparentam estar incoerentes com a operação do veículo. Essas leituras podem estar influenciando os cálculos dos indicadores de condução.
</t>
    </r>
    <r>
      <rPr>
        <rFont val="Calibri"/>
        <b/>
        <color rgb="FF434343"/>
        <sz val="8.0"/>
      </rPr>
      <t xml:space="preserve">Impacto:
</t>
    </r>
    <r>
      <rPr>
        <rFont val="Calibri"/>
        <color rgb="FF434343"/>
        <sz val="8.0"/>
      </rPr>
      <t xml:space="preserve">A inconsistência pode gerar distorções nos indicadores de telemetria, especialmente nos eventos relacionados à rotação do motor, comprometendo a avaliação de performance do motorista.
</t>
    </r>
    <r>
      <rPr>
        <rFont val="Calibri"/>
        <b/>
        <color rgb="FF434343"/>
        <sz val="8.0"/>
      </rPr>
      <t xml:space="preserve">Objetivo:
</t>
    </r>
    <r>
      <rPr>
        <rFont val="Calibri"/>
        <color rgb="FF434343"/>
        <sz val="8.0"/>
      </rPr>
      <t xml:space="preserve">Identificar a causa dos registros de RPM elevados com o veículo parado e validar se a origem da inconsistência está no módulo de telemetria, na leitura do sinal do veículo ou no processamento dos dados.
</t>
    </r>
    <r>
      <rPr>
        <rFont val="Calibri"/>
        <b/>
        <color rgb="FF434343"/>
        <sz val="8.0"/>
      </rPr>
      <t xml:space="preserve">Observação:
</t>
    </r>
    <r>
      <rPr>
        <rFont val="Calibri"/>
        <color rgb="FF434343"/>
        <sz val="8.0"/>
      </rPr>
      <t>Solicita-se a análise dos logs de telemetria e da origem dos sinais de RPM para confirmar se os valores registrados representam o comportamento real do veículo ou se há falha na coleta/processamento das informações.</t>
    </r>
  </si>
  <si>
    <t>RVD3D62</t>
  </si>
  <si>
    <t>LNR RBE9E45 7504</t>
  </si>
  <si>
    <t>2026000348</t>
  </si>
  <si>
    <t>Kenner</t>
  </si>
  <si>
    <t>31 99484-00-38</t>
  </si>
  <si>
    <t>LNR RBE9E66 0798</t>
  </si>
  <si>
    <r>
      <rPr>
        <rFont val="Calibri"/>
        <b/>
        <color rgb="FF434343"/>
        <sz val="8.0"/>
      </rPr>
      <t xml:space="preserve">Solicitação:
</t>
    </r>
    <r>
      <rPr>
        <rFont val="Calibri"/>
        <color rgb="FF434343"/>
        <sz val="8.0"/>
      </rPr>
      <t xml:space="preserve">Avaliar a coleta de hodômetro dos veículos RVF9C70 e GEF8D74.
</t>
    </r>
    <r>
      <rPr>
        <rFont val="Calibri"/>
        <b/>
        <color rgb="FF434343"/>
        <sz val="8.0"/>
      </rPr>
      <t xml:space="preserve">Problema:
</t>
    </r>
    <r>
      <rPr>
        <rFont val="Calibri"/>
        <color rgb="FF434343"/>
        <sz val="8.0"/>
      </rPr>
      <t xml:space="preserve">Os veículos não estão realizando a coleta correta do hodômetro, impossibilitando a atualização da quilometragem no sistema.
</t>
    </r>
    <r>
      <rPr>
        <rFont val="Calibri"/>
        <b/>
        <color rgb="FF434343"/>
        <sz val="8.0"/>
      </rPr>
      <t xml:space="preserve">Verificação:
</t>
    </r>
    <r>
      <rPr>
        <rFont val="Calibri"/>
        <color rgb="FF434343"/>
        <sz val="8.0"/>
      </rPr>
      <t xml:space="preserve">Foi identificado que as placas RVF9C70 e GEF8D74 não estão reportando os dados de hodômetro, indicando possível falha na leitura da informação ou no processamento da telemetria.
</t>
    </r>
    <r>
      <rPr>
        <rFont val="Calibri"/>
        <b/>
        <color rgb="FF434343"/>
        <sz val="8.0"/>
      </rPr>
      <t xml:space="preserve">Impacto:
</t>
    </r>
    <r>
      <rPr>
        <rFont val="Calibri"/>
        <color rgb="FF434343"/>
        <sz val="8.0"/>
      </rPr>
      <t xml:space="preserve">A ausência da leitura do hodômetro compromete a confiabilidade da quilometragem registrada, podendo impactar indicadores operacionais, performance dos motoristas e demais funcionalidades que dependem dessa informação.
</t>
    </r>
    <r>
      <rPr>
        <rFont val="Calibri"/>
        <b/>
        <color rgb="FF434343"/>
        <sz val="8.0"/>
      </rPr>
      <t xml:space="preserve">Objetivo:
</t>
    </r>
    <r>
      <rPr>
        <rFont val="Calibri"/>
        <color rgb="FF434343"/>
        <sz val="8.0"/>
      </rPr>
      <t xml:space="preserve">Identificar a causa da não coleta do hodômetro e restabelecer o envio correto dos dados para ambos os veículos.
</t>
    </r>
    <r>
      <rPr>
        <rFont val="Calibri"/>
        <b/>
        <color rgb="FF434343"/>
        <sz val="8.0"/>
      </rPr>
      <t xml:space="preserve">Observação:
</t>
    </r>
    <r>
      <rPr>
        <rFont val="Calibri"/>
        <color rgb="FF434343"/>
        <sz val="8.0"/>
      </rPr>
      <t>Necessário validar a comunicação do módulo, a leitura da CAN/IO responsável pelo hodômetro e o processamento da informação no sistema.</t>
    </r>
  </si>
  <si>
    <t>RVF9C70
GEF8D74</t>
  </si>
  <si>
    <t>LNR RBE9E68 6858</t>
  </si>
  <si>
    <t>2026000349</t>
  </si>
  <si>
    <t>LNR RBE9E71 6437</t>
  </si>
  <si>
    <r>
      <rPr>
        <rFont val="Calibri"/>
        <b/>
        <color rgb="FF434343"/>
        <sz val="8.0"/>
      </rPr>
      <t xml:space="preserve">Solicitação:
</t>
    </r>
    <r>
      <rPr>
        <rFont val="Calibri"/>
        <color rgb="FF434343"/>
        <sz val="8.0"/>
      </rPr>
      <t xml:space="preserve">Verificar ausência de quilometragem e dados de performance para o veículo SRV7B84 e o motorista Alysson Camilo Neves Freire.
</t>
    </r>
    <r>
      <rPr>
        <rFont val="Calibri"/>
        <b/>
        <color rgb="FF434343"/>
        <sz val="8.0"/>
      </rPr>
      <t xml:space="preserve">Problema:
</t>
    </r>
    <r>
      <rPr>
        <rFont val="Calibri"/>
        <color rgb="FF434343"/>
        <sz val="8.0"/>
      </rPr>
      <t xml:space="preserve">O veículo não está gerando dados de KM rodado e, consequentemente, o motorista também não está apresentando dados de performance.
</t>
    </r>
    <r>
      <rPr>
        <rFont val="Calibri"/>
        <b/>
        <color rgb="FF434343"/>
        <sz val="8.0"/>
      </rPr>
      <t xml:space="preserve">Verificação:
</t>
    </r>
    <r>
      <rPr>
        <rFont val="Calibri"/>
        <color rgb="FF434343"/>
        <sz val="8.0"/>
      </rPr>
      <t xml:space="preserve">Foi identificado que não há atualização da quilometragem do veículo SRV7B84, o que pode estar impedindo o processamento da performance do motorista Alysson Camilo Neves Freire.
</t>
    </r>
    <r>
      <rPr>
        <rFont val="Calibri"/>
        <b/>
        <color rgb="FF434343"/>
        <sz val="8.0"/>
      </rPr>
      <t xml:space="preserve">Ação Realizada:
</t>
    </r>
    <r>
      <rPr>
        <rFont val="Calibri"/>
        <color rgb="FF434343"/>
        <sz val="8.0"/>
      </rPr>
      <t xml:space="preserve">Foi enviada configuração remota para o módulo, visando restabelecer a comunicação e a geração dos dados.
</t>
    </r>
    <r>
      <rPr>
        <rFont val="Calibri"/>
        <b/>
        <color rgb="FF434343"/>
        <sz val="8.0"/>
      </rPr>
      <t xml:space="preserve">Impacto:
</t>
    </r>
    <r>
      <rPr>
        <rFont val="Calibri"/>
        <color rgb="FF434343"/>
        <sz val="8.0"/>
      </rPr>
      <t xml:space="preserve">A ausência de quilometragem e performance compromete o acompanhamento operacional, a avaliação da condução e os indicadores do motorista.
</t>
    </r>
    <r>
      <rPr>
        <rFont val="Calibri"/>
        <b/>
        <color rgb="FF434343"/>
        <sz val="8.0"/>
      </rPr>
      <t xml:space="preserve">Objetivo:
</t>
    </r>
    <r>
      <rPr>
        <rFont val="Calibri"/>
        <color rgb="FF434343"/>
        <sz val="8.0"/>
      </rPr>
      <t xml:space="preserve">Identificar a causa da não geração de KM rodado e da performance, verificando se há falha no módulo, na coleta da telemetria ou no processamento das informações.
</t>
    </r>
    <r>
      <rPr>
        <rFont val="Calibri"/>
        <b/>
        <color rgb="FF434343"/>
        <sz val="8.0"/>
      </rPr>
      <t xml:space="preserve">Observação:
</t>
    </r>
    <r>
      <rPr>
        <rFont val="Calibri"/>
        <color rgb="FF434343"/>
        <sz val="8.0"/>
      </rPr>
      <t>Necessário validar a comunicação do módulo após o envio da configuração remota, bem como a leitura do hodômetro e o processamento dos dados de telemetria.</t>
    </r>
  </si>
  <si>
    <t>LNR RBE9E77 5507</t>
  </si>
  <si>
    <t>SRV7B84</t>
  </si>
  <si>
    <t>- Foi realizado uma melhoria nos deltas de velocidade. Processamento de dados.</t>
  </si>
  <si>
    <t>2026000350</t>
  </si>
  <si>
    <t>ENTENDER A NOVA OPERAÇÃO DE CARVÃO DO CLIENTE</t>
  </si>
  <si>
    <t>LNR RBE9E78 5251</t>
  </si>
  <si>
    <t>desvinculado 10/08 09:25</t>
  </si>
  <si>
    <r>
      <rPr>
        <rFont val="Calibri"/>
        <b/>
        <color rgb="FF434343"/>
        <sz val="8.0"/>
      </rPr>
      <t xml:space="preserve">Solicitação:
</t>
    </r>
    <r>
      <rPr>
        <rFont val="Calibri"/>
        <color rgb="FF434343"/>
        <sz val="8.0"/>
      </rPr>
      <t xml:space="preserve">Verificar inconsistência na quilometragem do veículo RIZ7J84, vinculado ao motorista Vanderlei Bom Sucesso de Almeida.
</t>
    </r>
    <r>
      <rPr>
        <rFont val="Calibri"/>
        <b/>
        <color rgb="FF434343"/>
        <sz val="8.0"/>
      </rPr>
      <t xml:space="preserve">Problema:
</t>
    </r>
    <r>
      <rPr>
        <rFont val="Calibri"/>
        <color rgb="FF434343"/>
        <sz val="8.0"/>
      </rPr>
      <t xml:space="preserve">O veículo não está gerando corretamente a quilometragem no sistema. O hodômetro apresentado no painel do veículo diverge da quilometragem exibida no sistema FACSS.
</t>
    </r>
    <r>
      <rPr>
        <rFont val="Calibri"/>
        <b/>
        <color rgb="FF434343"/>
        <sz val="8.0"/>
      </rPr>
      <t xml:space="preserve">Verificação:
</t>
    </r>
    <r>
      <rPr>
        <rFont val="Calibri"/>
        <color rgb="FF434343"/>
        <sz val="8.0"/>
      </rPr>
      <t xml:space="preserve">Foi identificado que a quilometragem registrada no veículo não corresponde à quilometragem processada pelo sistema, indicando possível falha na leitura do hodômetro ou no processamento da telemetria.
</t>
    </r>
    <r>
      <rPr>
        <rFont val="Calibri"/>
        <b/>
        <color rgb="FF434343"/>
        <sz val="8.0"/>
      </rPr>
      <t xml:space="preserve">Ação Realizada:
</t>
    </r>
    <r>
      <rPr>
        <rFont val="Calibri"/>
        <color rgb="FF434343"/>
        <sz val="8.0"/>
      </rPr>
      <t xml:space="preserve">Foi enviada configuração remota para o módulo, visando restabelecer a comunicação e a correta coleta dos dados.
</t>
    </r>
    <r>
      <rPr>
        <rFont val="Calibri"/>
        <b/>
        <color rgb="FF434343"/>
        <sz val="8.0"/>
      </rPr>
      <t xml:space="preserve">Impacto:
</t>
    </r>
    <r>
      <rPr>
        <rFont val="Calibri"/>
        <color rgb="FF434343"/>
        <sz val="8.0"/>
      </rPr>
      <t xml:space="preserve">A divergência na quilometragem compromete a confiabilidade dos dados operacionais, podendo impactar a performance do motorista, relatórios e demais indicadores que dependem do KM rodado.
</t>
    </r>
    <r>
      <rPr>
        <rFont val="Calibri"/>
        <b/>
        <color rgb="FF434343"/>
        <sz val="8.0"/>
      </rPr>
      <t xml:space="preserve">Objetivo:
</t>
    </r>
    <r>
      <rPr>
        <rFont val="Calibri"/>
        <color rgb="FF434343"/>
        <sz val="8.0"/>
      </rPr>
      <t xml:space="preserve">Identificar a causa da divergência entre a quilometragem do veículo e a registrada no sistema FACSS, normalizando a leitura e o processamento dos dados.
</t>
    </r>
    <r>
      <rPr>
        <rFont val="Calibri"/>
        <b/>
        <color rgb="FF434343"/>
        <sz val="8.0"/>
      </rPr>
      <t xml:space="preserve">Observação:
</t>
    </r>
    <r>
      <rPr>
        <rFont val="Calibri"/>
        <color rgb="FF434343"/>
        <sz val="8.0"/>
      </rPr>
      <t>Necessário validar a comunicação do módulo após o envio da configuração remota, bem como a leitura do hodômetro e a integração dos dados de telemetria.</t>
    </r>
  </si>
  <si>
    <t>RIZ7J84</t>
  </si>
  <si>
    <t>LNR RBE9E85 6465</t>
  </si>
  <si>
    <t>2026000351</t>
  </si>
  <si>
    <t>LNR RBE9E88 5481</t>
  </si>
  <si>
    <t>LNR RBE9E89 1313</t>
  </si>
  <si>
    <r>
      <rPr>
        <rFont val="Calibri"/>
        <b/>
        <color rgb="FF434343"/>
        <sz val="8.0"/>
      </rPr>
      <t xml:space="preserve">Solicitação:
</t>
    </r>
    <r>
      <rPr>
        <rFont val="Calibri"/>
        <color rgb="FF434343"/>
        <sz val="8.0"/>
      </rPr>
      <t xml:space="preserve">Verificar ausência de dados de performance e premiação para o motorista Dayvisson Geraldo Leonidas, vinculado ao veículo de placa LMZ0D66.
</t>
    </r>
    <r>
      <rPr>
        <rFont val="Calibri"/>
        <b/>
        <color rgb="FF434343"/>
        <sz val="8.0"/>
      </rPr>
      <t xml:space="preserve">Problema:
</t>
    </r>
    <r>
      <rPr>
        <rFont val="Calibri"/>
        <color rgb="FF434343"/>
        <sz val="8.0"/>
      </rPr>
      <t xml:space="preserve">A premiação mensal do motorista está sendo apresentada como zerada. Além disso, sua performance não está sendo contabilizada e todos os indicadores de condução permanecem em 0,00%.
</t>
    </r>
    <r>
      <rPr>
        <rFont val="Calibri"/>
        <b/>
        <color rgb="FF434343"/>
        <sz val="8.0"/>
      </rPr>
      <t xml:space="preserve">Verificação:
</t>
    </r>
    <r>
      <rPr>
        <rFont val="Calibri"/>
        <color rgb="FF434343"/>
        <sz val="8.0"/>
      </rPr>
      <t xml:space="preserve">Foi identificado que o motorista não está tendo seus dados de performance processados corretamente, resultando em ausência de pontuação nos indicadores e, consequentemente, na premiação mensal.
</t>
    </r>
    <r>
      <rPr>
        <rFont val="Calibri"/>
        <b/>
        <color rgb="FF434343"/>
        <sz val="8.0"/>
      </rPr>
      <t xml:space="preserve">Impacto:
</t>
    </r>
    <r>
      <rPr>
        <rFont val="Calibri"/>
        <color rgb="FF434343"/>
        <sz val="8.0"/>
      </rPr>
      <t xml:space="preserve">A inconsistência compromete a avaliação da condução do motorista e pode gerar prejuízo no cálculo da premiação, além de afetar a confiabilidade dos indicadores apresentados no sistema.
</t>
    </r>
    <r>
      <rPr>
        <rFont val="Calibri"/>
        <b/>
        <color rgb="FF434343"/>
        <sz val="8.0"/>
      </rPr>
      <t xml:space="preserve">Objetivo:
</t>
    </r>
    <r>
      <rPr>
        <rFont val="Calibri"/>
        <color rgb="FF434343"/>
        <sz val="8.0"/>
      </rPr>
      <t xml:space="preserve">Identificar a causa da não geração da performance e da premiação do motorista, restabelecendo o processamento correto dos indicadores de condução.
</t>
    </r>
    <r>
      <rPr>
        <rFont val="Calibri"/>
        <b/>
        <color rgb="FF434343"/>
        <sz val="8.0"/>
      </rPr>
      <t xml:space="preserve">Observação:
</t>
    </r>
    <r>
      <rPr>
        <rFont val="Calibri"/>
        <color rgb="FF434343"/>
        <sz val="8.0"/>
      </rPr>
      <t>Necessário validar o vínculo entre motorista e veículo, a geração dos eventos de telemetria e o processamento das regras de cálculo da performance e da premiação.</t>
    </r>
  </si>
  <si>
    <t>LMZ0D66</t>
  </si>
  <si>
    <t>desvinculado 30/07 15:38</t>
  </si>
  <si>
    <t>LNR RBE9E95 1321</t>
  </si>
  <si>
    <t>2026000352</t>
  </si>
  <si>
    <t>LNR RBE9E97 2893</t>
  </si>
  <si>
    <t>Junior Lima</t>
  </si>
  <si>
    <t>PREMIAÇÃO COM QUILOMETRAGEM</t>
  </si>
  <si>
    <t>LNR RBE9E98 0062</t>
  </si>
  <si>
    <r>
      <rPr>
        <rFont val="Calibri"/>
        <b/>
        <color rgb="FF434343"/>
        <sz val="8.0"/>
      </rPr>
      <t xml:space="preserve">Solicitação:
</t>
    </r>
    <r>
      <rPr>
        <rFont val="Calibri"/>
        <color rgb="FF434343"/>
        <sz val="8.0"/>
      </rPr>
      <t xml:space="preserve">Verificar inconsistência na quilometragem registrada no Dashboard para o motorista Lúcio Caldeira Gandra, vinculado ao veículo de placa TZX1I19.
</t>
    </r>
    <r>
      <rPr>
        <rFont val="Calibri"/>
        <b/>
        <color rgb="FF434343"/>
        <sz val="8.0"/>
      </rPr>
      <t xml:space="preserve">Problema:
</t>
    </r>
    <r>
      <rPr>
        <rFont val="Calibri"/>
        <color rgb="FF434343"/>
        <sz val="8.0"/>
      </rPr>
      <t xml:space="preserve">A quilometragem apresentada no Dashboard não condiz com a distância efetivamente percorrida pelo motorista.
</t>
    </r>
    <r>
      <rPr>
        <rFont val="Calibri"/>
        <b/>
        <color rgb="FF434343"/>
        <sz val="8.0"/>
      </rPr>
      <t xml:space="preserve">Verificação:
</t>
    </r>
    <r>
      <rPr>
        <rFont val="Calibri"/>
        <color rgb="FF434343"/>
        <sz val="8.0"/>
      </rPr>
      <t xml:space="preserve">Conforme evidência apresentada, a viagem realizada teve aproximadamente 150 km, porém o Dashboard está contabilizando 287,7 km, indicando divergência no cálculo da quilometragem.
</t>
    </r>
    <r>
      <rPr>
        <rFont val="Calibri"/>
        <b/>
        <color rgb="FF434343"/>
        <sz val="8.0"/>
      </rPr>
      <t xml:space="preserve">Impacto:
</t>
    </r>
    <r>
      <rPr>
        <rFont val="Calibri"/>
        <color rgb="FF434343"/>
        <sz val="8.0"/>
      </rPr>
      <t xml:space="preserve">A inconsistência compromete a confiabilidade dos indicadores operacionais, podendo impactar a análise de performance, relatórios gerenciais e demais funcionalidades que utilizam a quilometragem como base.
</t>
    </r>
    <r>
      <rPr>
        <rFont val="Calibri"/>
        <b/>
        <color rgb="FF434343"/>
        <sz val="8.0"/>
      </rPr>
      <t xml:space="preserve">Objetivo:
</t>
    </r>
    <r>
      <rPr>
        <rFont val="Calibri"/>
        <color rgb="FF434343"/>
        <sz val="8.0"/>
      </rPr>
      <t xml:space="preserve">Identificar a causa da divergência entre a quilometragem efetivamente percorrida e a registrada no Dashboard, corrigindo o processamento dos dados.
</t>
    </r>
    <r>
      <rPr>
        <rFont val="Calibri"/>
        <b/>
        <color rgb="FF434343"/>
        <sz val="8.0"/>
      </rPr>
      <t xml:space="preserve">Observação:
</t>
    </r>
    <r>
      <rPr>
        <rFont val="Calibri"/>
        <color rgb="FF434343"/>
        <sz val="8.0"/>
      </rPr>
      <t>Necessário validar a origem da quilometragem, processamento da telemetria, leitura do hodômetro e regras de cálculo utilizadas pelo Dashboard.</t>
    </r>
  </si>
  <si>
    <t>TZX1L19</t>
  </si>
  <si>
    <t>LNR RBG8H09 5301</t>
  </si>
  <si>
    <t>2026000353</t>
  </si>
  <si>
    <t>LNR RBG8H22 4701</t>
  </si>
  <si>
    <t>Gabriela</t>
  </si>
  <si>
    <t>3199943-6172</t>
  </si>
  <si>
    <t>LNR RBG8H26 4351</t>
  </si>
  <si>
    <r>
      <rPr>
        <rFont val="Calibri"/>
        <b/>
        <color rgb="FF434343"/>
        <sz val="8.0"/>
      </rPr>
      <t xml:space="preserve">Solicitação:
</t>
    </r>
    <r>
      <rPr>
        <rFont val="Calibri"/>
        <color rgb="FF434343"/>
        <sz val="8.0"/>
      </rPr>
      <t xml:space="preserve">Verificar inconsistência na funcionalidade de vínculo retroativo de motorista, pois a realização de um vínculo retroativo está desfazendo vínculos posteriores que já estavam corretos.
</t>
    </r>
    <r>
      <rPr>
        <rFont val="Calibri"/>
        <b/>
        <color rgb="FF434343"/>
        <sz val="8.0"/>
      </rPr>
      <t xml:space="preserve">Problema:
</t>
    </r>
    <r>
      <rPr>
        <rFont val="Calibri"/>
        <color rgb="FF434343"/>
        <sz val="8.0"/>
      </rPr>
      <t xml:space="preserve">Durante os ajustes para fechamento do período de premiação, ao realizar um vínculo retroativo para um motorista em um intervalo específico, o sistema remove automaticamente o vínculo do motorista original nos períodos posteriores, mesmo sem haver alteração nesses horários.
</t>
    </r>
    <r>
      <rPr>
        <rFont val="Calibri"/>
        <b/>
        <color rgb="FF434343"/>
        <sz val="8.0"/>
      </rPr>
      <t xml:space="preserve">Verificação:
</t>
    </r>
    <r>
      <rPr>
        <rFont val="Calibri"/>
        <color rgb="FF434343"/>
        <sz val="8.0"/>
      </rPr>
      <t xml:space="preserve">O problema foi reproduzido em mais de um caso.
</t>
    </r>
    <r>
      <rPr>
        <rFont val="Calibri"/>
        <b/>
        <color rgb="FF434343"/>
        <sz val="8.0"/>
      </rPr>
      <t xml:space="preserve">Caso 1:
</t>
    </r>
    <r>
      <rPr>
        <rFont val="Calibri"/>
        <color rgb="FF434343"/>
        <sz val="8.0"/>
      </rPr>
      <t xml:space="preserve">O motorista permaneceu vinculado ao caminhão durante todo o período de 22/06 a 21/07. No dia 17/07, o veículo entrou em manutenção e foi realizado um vínculo retroativo apenas para essa data, em nome do encarregado da manutenção. Após essa alteração, os vínculos do motorista entre 18/07 e 21/07 foram desfeitos indevidamente.
</t>
    </r>
    <r>
      <rPr>
        <rFont val="Calibri"/>
        <b/>
        <color rgb="FF434343"/>
        <sz val="8.0"/>
      </rPr>
      <t xml:space="preserve">Caso 2:
</t>
    </r>
    <r>
      <rPr>
        <rFont val="Calibri"/>
        <color rgb="FF434343"/>
        <sz val="8.0"/>
      </rPr>
      <t xml:space="preserve">O motorista Douglas permaneceu vinculado ao veículo RJK9H55 de 22/06 até a data atual. No dia 21/07, foi realizado um vínculo retroativo em nome do motorista Fabrício, apenas no período de 15:15 às 16:12. Após essa alteração, o vínculo do Douglas foi removido a partir das 16:12 do mesmo dia, mesmo ele permanecendo vinculado ao veículo após esse horário.
Foi observado que esse comportamento já havia ocorrido no fechamento do período anterior, ocasião em que o problema foi reportado e aparentemente corrigido. Entretanto, a falha voltou a ocorrer.
</t>
    </r>
    <r>
      <rPr>
        <rFont val="Calibri"/>
        <b/>
        <color rgb="FF434343"/>
        <sz val="8.0"/>
      </rPr>
      <t xml:space="preserve">Impacto:
</t>
    </r>
    <r>
      <rPr>
        <rFont val="Calibri"/>
        <color rgb="FF434343"/>
        <sz val="8.0"/>
      </rPr>
      <t xml:space="preserve">A inconsistência compromete os vínculos históricos dos motoristas, afetando diretamente o cálculo da performance e da premiação, além de exigir retrabalho manual para correção dos registros.
</t>
    </r>
    <r>
      <rPr>
        <rFont val="Calibri"/>
        <b/>
        <color rgb="FF434343"/>
        <sz val="8.0"/>
      </rPr>
      <t xml:space="preserve">Objetivo:
</t>
    </r>
    <r>
      <rPr>
        <rFont val="Calibri"/>
        <color rgb="FF434343"/>
        <sz val="8.0"/>
      </rPr>
      <t xml:space="preserve">Identificar a causa da remoção indevida dos vínculos posteriores ao realizar alterações retroativas, garantindo que apenas o intervalo informado seja alterado, preservando os vínculos existentes antes e após o período modificado.
</t>
    </r>
    <r>
      <rPr>
        <rFont val="Calibri"/>
        <b/>
        <color rgb="FF434343"/>
        <sz val="8.0"/>
      </rPr>
      <t xml:space="preserve">Observação:
</t>
    </r>
    <r>
      <rPr>
        <rFont val="Calibri"/>
        <color rgb="FF434343"/>
        <sz val="8.0"/>
      </rPr>
      <t>Necessário revisar a rotina de processamento dos vínculos retroativos, assegurando que alterações em um intervalo específico não desfaçam automaticamente vínculos válidos em períodos subsequentes.</t>
    </r>
  </si>
  <si>
    <t>LNR RBG8H32 7950</t>
  </si>
  <si>
    <t>RJK9H55</t>
  </si>
  <si>
    <t>FAZER A PREMIÇÃO NOS GRUPOS</t>
  </si>
  <si>
    <t>LNR RBG8H44 4964</t>
  </si>
  <si>
    <t>2026000354</t>
  </si>
  <si>
    <t>LNR RBG8H50 9137</t>
  </si>
  <si>
    <t>LNR RBG8H56 6273</t>
  </si>
  <si>
    <r>
      <rPr>
        <rFont val="Calibri"/>
        <b/>
        <color rgb="FF434343"/>
        <sz val="8.0"/>
      </rPr>
      <t xml:space="preserve">Solicitação:
</t>
    </r>
    <r>
      <rPr>
        <rFont val="Calibri"/>
        <color rgb="FF434343"/>
        <sz val="8.0"/>
      </rPr>
      <t xml:space="preserve">Verificar ausência de dados de performance para o motorista vinculado ao veículo SYT9D27.
</t>
    </r>
    <r>
      <rPr>
        <rFont val="Calibri"/>
        <b/>
        <color rgb="FF434343"/>
        <sz val="8.0"/>
      </rPr>
      <t xml:space="preserve">Problema:
</t>
    </r>
    <r>
      <rPr>
        <rFont val="Calibri"/>
        <color rgb="FF434343"/>
        <sz val="8.0"/>
      </rPr>
      <t xml:space="preserve">O motorista não está conseguindo visualizar os dados de telemetria/performance desde que o veículo passou por uma manutenção no dia 21/07.
</t>
    </r>
    <r>
      <rPr>
        <rFont val="Calibri"/>
        <b/>
        <color rgb="FF434343"/>
        <sz val="8.0"/>
      </rPr>
      <t xml:space="preserve">Verificação:
</t>
    </r>
    <r>
      <rPr>
        <rFont val="Calibri"/>
        <color rgb="FF434343"/>
        <sz val="8.0"/>
      </rPr>
      <t xml:space="preserve">Foram realizadas verificações no T2 e no Traccar, sendo constatado que as informações estão chegando normalmente e não há indícios de falha na comunicação do módulo.
</t>
    </r>
    <r>
      <rPr>
        <rFont val="Calibri"/>
        <b/>
        <color rgb="FF434343"/>
        <sz val="8.0"/>
      </rPr>
      <t xml:space="preserve">Impacto:
</t>
    </r>
    <r>
      <rPr>
        <rFont val="Calibri"/>
        <color rgb="FF434343"/>
        <sz val="8.0"/>
      </rPr>
      <t xml:space="preserve">A ausência dos dados impede o acompanhamento da performance pelo motorista e pode impactar os indicadores e a premiação.
</t>
    </r>
    <r>
      <rPr>
        <rFont val="Calibri"/>
        <b/>
        <color rgb="FF434343"/>
        <sz val="8.0"/>
      </rPr>
      <t xml:space="preserve">Objetivo:
</t>
    </r>
    <r>
      <rPr>
        <rFont val="Calibri"/>
        <color rgb="FF434343"/>
        <sz val="8.0"/>
      </rPr>
      <t xml:space="preserve">Identificar a causa da interrupção da geração da performance após a manutenção realizada no veículo, normalizando a exibição dos dados para o motorista.
</t>
    </r>
    <r>
      <rPr>
        <rFont val="Calibri"/>
        <b/>
        <color rgb="FF434343"/>
        <sz val="8.0"/>
      </rPr>
      <t xml:space="preserve">Observação:
</t>
    </r>
    <r>
      <rPr>
        <rFont val="Calibri"/>
        <color rgb="FF434343"/>
        <sz val="8.0"/>
      </rPr>
      <t>Como a telemetria está sendo recebida corretamente no T2 e no Traccar, solicita-se a verificação do processamento e da vinculação das informações no sistema de performance.</t>
    </r>
  </si>
  <si>
    <t>SYT9D27</t>
  </si>
  <si>
    <t>LNR RBG8H60 5598</t>
  </si>
  <si>
    <t>2026000355</t>
  </si>
  <si>
    <t>LNR RBG8H66 1038</t>
  </si>
  <si>
    <t>LNR RBG8H68 9583</t>
  </si>
  <si>
    <t>Observação:
Necessário revisar o cadastro e o mapeamento das novas frotas vinculadas à unidade de Itamarandiba da Aperam no sistema.
Solicitação:
Verificar a ausência e realizar a disponibilização das novas frotas no dashboard para o cliente Sidney Alves dos Santos (Aperam).
Problema:
O cliente realizou a troca das frotas na unidade de Itamarandiba, porém não está conseguindo visualizar nem localizar os novos veículos no dashboard ao realizar a busca.
Verificação:
Ao filtrar por "Itamarandiba" ou realizar a busca de frotas, nenhum dos novos veículos é localizado (placas: TZV6F47, UAC0E02, UAC0E09, UAC0E05, TZV8F19, TZY5H56, TZY5H51, TZY5H54, TZY8D34, TZY8H58, TZZ3H45, TZZ4E95, TZZ4E57, UAE6G19, UAE4C83, UAE4D70, UAE6G15, UAG9I73, UAG9I91 e UAH2E47).
Impacto:
A impossibilidade de visualizar as novas frotas impede o acompanhamento operacional e o monitoramento dos veículos da unidade pelo cliente.
Objetivo:
Identificar a causa da não exibição dos veículos e normalizar a visualização das novas frotas no dashboard para a unidade de Itamarandiba.
Observação:
Como a troca das frotas foi efetuada na unidade, solicita-se a verificação do processamento do cadastro e da vinculação das localidades no sistema para que os dados sejam exibidos corretamente.</t>
  </si>
  <si>
    <t>LNR RBG8H74 5756</t>
  </si>
  <si>
    <t>2026000356</t>
  </si>
  <si>
    <t>PABLO: INTERAGIR COM CLIENTE SOBRE NOVA OPERAÇÃO</t>
  </si>
  <si>
    <t>LNR RBG8H80 4387</t>
  </si>
  <si>
    <t>31 99987-8777</t>
  </si>
  <si>
    <r>
      <rPr>
        <rFont val="Calibri"/>
        <b/>
        <color rgb="FF434343"/>
        <sz val="8.0"/>
      </rPr>
      <t xml:space="preserve">Solicitação:
</t>
    </r>
    <r>
      <rPr>
        <rFont val="Calibri"/>
        <color rgb="FF434343"/>
        <sz val="8.0"/>
      </rPr>
      <t xml:space="preserve">Verificar ausência de telemetria do veículo RFZ7G47.
</t>
    </r>
    <r>
      <rPr>
        <rFont val="Calibri"/>
        <b/>
        <color rgb="FF434343"/>
        <sz val="8.0"/>
      </rPr>
      <t xml:space="preserve">Problema:
</t>
    </r>
    <r>
      <rPr>
        <rFont val="Calibri"/>
        <color rgb="FF434343"/>
        <sz val="8.0"/>
      </rPr>
      <t xml:space="preserve">O veículo está em operação desde o dia 03/08/2026, porém a telemetria não está sendo apresentada no sistema. Não há atualização do hodômetro nem da localização do veículo.
</t>
    </r>
    <r>
      <rPr>
        <rFont val="Calibri"/>
        <b/>
        <color rgb="FF434343"/>
        <sz val="8.0"/>
      </rPr>
      <t xml:space="preserve">Verificação:
</t>
    </r>
    <r>
      <rPr>
        <rFont val="Calibri"/>
        <color rgb="FF434343"/>
        <sz val="8.0"/>
      </rPr>
      <t xml:space="preserve">Conforme evidência anexada, o veículo permanece em operação, porém os dados de telemetria não estão sendo exibidos no sistema.
</t>
    </r>
    <r>
      <rPr>
        <rFont val="Calibri"/>
        <b/>
        <color rgb="FF434343"/>
        <sz val="8.0"/>
      </rPr>
      <t xml:space="preserve">Impacto:
</t>
    </r>
    <r>
      <rPr>
        <rFont val="Calibri"/>
        <color rgb="FF434343"/>
        <sz val="8.0"/>
      </rPr>
      <t xml:space="preserve">A ausência das informações de hodômetro e localização compromete o acompanhamento operacional do veículo, além de impactar os indicadores e funcionalidades que dependem desses dados.
</t>
    </r>
    <r>
      <rPr>
        <rFont val="Calibri"/>
        <b/>
        <color rgb="FF434343"/>
        <sz val="8.0"/>
      </rPr>
      <t xml:space="preserve">Objetivo:
</t>
    </r>
    <r>
      <rPr>
        <rFont val="Calibri"/>
        <color rgb="FF434343"/>
        <sz val="8.0"/>
      </rPr>
      <t xml:space="preserve">Identificar a causa da ausência de telemetria e restabelecer o envio das informações de hodômetro e localização para o veículo RFZ7G47.
</t>
    </r>
    <r>
      <rPr>
        <rFont val="Calibri"/>
        <b/>
        <color rgb="FF434343"/>
        <sz val="8.0"/>
      </rPr>
      <t xml:space="preserve">Observação:
</t>
    </r>
    <r>
      <rPr>
        <rFont val="Calibri"/>
        <color rgb="FF434343"/>
        <sz val="8.0"/>
      </rPr>
      <t>Solicita-se validar a comunicação do módulo, o envio das informações de GPS e hodômetro, bem como o processamento dos dados no sistema.</t>
    </r>
  </si>
  <si>
    <t>Falha Freio 15/09/2025 - Reenvio de Config</t>
  </si>
  <si>
    <t xml:space="preserve">RFZ7G47 </t>
  </si>
  <si>
    <t>LNR RBG8H84 1958</t>
  </si>
  <si>
    <t>2026000357</t>
  </si>
  <si>
    <t>LNR RFD7E70 9907</t>
  </si>
  <si>
    <r>
      <rPr>
        <rFont val="Calibri"/>
        <b/>
        <color rgb="FF434343"/>
        <sz val="8.0"/>
      </rPr>
      <t xml:space="preserve">Solicitação:
</t>
    </r>
    <r>
      <rPr>
        <rFont val="Calibri"/>
        <color rgb="FF434343"/>
        <sz val="8.0"/>
      </rPr>
      <t xml:space="preserve">Desenvolvimento de novas funcionalidades no sistema e no aplicativo do motorista.
1. Relatório em Excel separado por percentual (%) e valor (R$)
</t>
    </r>
    <r>
      <rPr>
        <rFont val="Calibri"/>
        <b/>
        <color rgb="FF434343"/>
        <sz val="8.0"/>
      </rPr>
      <t xml:space="preserve">Necessidade:
</t>
    </r>
    <r>
      <rPr>
        <rFont val="Calibri"/>
        <color rgb="FF434343"/>
        <sz val="8.0"/>
      </rPr>
      <t xml:space="preserve">Disponibilizar um relatório em Excel contendo os indicadores de performance já separados por percentual (%) e valor (R$), facilitando a conferência e o fechamento da premiação dos motoristas.
</t>
    </r>
    <r>
      <rPr>
        <rFont val="Calibri"/>
        <b/>
        <color rgb="FF434343"/>
        <sz val="8.0"/>
      </rPr>
      <t xml:space="preserve">Objetivo:
</t>
    </r>
    <r>
      <rPr>
        <rFont val="Calibri"/>
        <color rgb="FF434343"/>
        <sz val="8.0"/>
      </rPr>
      <t xml:space="preserve">Gerar um relatório mais organizado, permitindo a análise dos percentuais alcançados e dos respectivos valores financeiros sem necessidade de tratamento manual dos dados.
2. Período de fechamento no App do Motorista
</t>
    </r>
    <r>
      <rPr>
        <rFont val="Calibri"/>
        <b/>
        <color rgb="FF434343"/>
        <sz val="8.0"/>
      </rPr>
      <t xml:space="preserve">Necessidade:
</t>
    </r>
    <r>
      <rPr>
        <rFont val="Calibri"/>
        <color rgb="FF434343"/>
        <sz val="8.0"/>
      </rPr>
      <t xml:space="preserve">Adequar o período de exibição da performance no aplicativo do motorista para seguir o mesmo período de fechamento da operação.
</t>
    </r>
    <r>
      <rPr>
        <rFont val="Calibri"/>
        <b/>
        <color rgb="FF434343"/>
        <sz val="8.0"/>
      </rPr>
      <t xml:space="preserve">Contexto:
</t>
    </r>
    <r>
      <rPr>
        <rFont val="Calibri"/>
        <color rgb="FF434343"/>
        <sz val="8.0"/>
      </rPr>
      <t xml:space="preserve">Atualmente o aplicativo apresenta apenas o mês calendário, porém a empresa realiza o fechamento da premiação entre os dias 22 de um mês e 21 do mês seguinte.
</t>
    </r>
    <r>
      <rPr>
        <rFont val="Calibri"/>
        <b/>
        <color rgb="FF434343"/>
        <sz val="8.0"/>
      </rPr>
      <t xml:space="preserve">Objetivo:
</t>
    </r>
    <r>
      <rPr>
        <rFont val="Calibri"/>
        <color rgb="FF434343"/>
        <sz val="8.0"/>
      </rPr>
      <t xml:space="preserve">Permitir que o motorista visualize sua performance considerando o período de fechamento utilizado pela empresa (22 a 21), garantindo que as informações apresentadas no aplicativo sejam as mesmas utilizadas para o cálculo da premiação.
</t>
    </r>
    <r>
      <rPr>
        <rFont val="Calibri"/>
        <b/>
        <color rgb="FF434343"/>
        <sz val="8.0"/>
      </rPr>
      <t xml:space="preserve">Impacto Esperado:
</t>
    </r>
    <r>
      <rPr>
        <rFont val="Calibri"/>
        <color rgb="FF434343"/>
        <sz val="8.0"/>
      </rPr>
      <t>Redução de divergências entre a performance visualizada pelo motorista e a utilizada para pagamento;
Maior transparência no cálculo da premiação;
Diminuição de questionamentos e retrabalho operacional durante o fechamento mensal.</t>
    </r>
  </si>
  <si>
    <t>LNR RFD7E72 3271</t>
  </si>
  <si>
    <t>2026000358</t>
  </si>
  <si>
    <t>LNR RFD7E74 3034</t>
  </si>
  <si>
    <t>31 999878777</t>
  </si>
  <si>
    <r>
      <rPr>
        <rFont val="Calibri"/>
        <b/>
        <color rgb="FF434343"/>
        <sz val="8.0"/>
      </rPr>
      <t xml:space="preserve">Solicitação:
</t>
    </r>
    <r>
      <rPr>
        <rFont val="Calibri"/>
        <color rgb="FF434343"/>
        <sz val="8.0"/>
      </rPr>
      <t xml:space="preserve">Verificar inconsistência na geração da performance do motorista Leonardo Menezes dos Santos.
</t>
    </r>
    <r>
      <rPr>
        <rFont val="Calibri"/>
        <b/>
        <color rgb="FF434343"/>
        <sz val="8.0"/>
      </rPr>
      <t xml:space="preserve">Problema:
</t>
    </r>
    <r>
      <rPr>
        <rFont val="Calibri"/>
        <color rgb="FF434343"/>
        <sz val="8.0"/>
      </rPr>
      <t xml:space="preserve">A performance do motorista não contabilizou o dia 05/08/2026, embora exista registro de jornada e eventos de condução nesse período.
</t>
    </r>
    <r>
      <rPr>
        <rFont val="Calibri"/>
        <b/>
        <color rgb="FF434343"/>
        <sz val="8.0"/>
      </rPr>
      <t xml:space="preserve">Verificação:
</t>
    </r>
    <r>
      <rPr>
        <rFont val="Calibri"/>
        <color rgb="FF434343"/>
        <sz val="8.0"/>
      </rPr>
      <t xml:space="preserve">Ao analisar o histórico de eventos, é possível verificar que no dia 05/08/2026 foram registrados normalmente eventos de Jornada, Direção, Alimentação e Fim de Jornada. No entanto, na tela de Performance do motorista, apenas os dias 04/08 e 06/08 aparecem contabilizados, não havendo registro para o dia 05/08.
</t>
    </r>
    <r>
      <rPr>
        <rFont val="Calibri"/>
        <b/>
        <color rgb="FF434343"/>
        <sz val="8.0"/>
      </rPr>
      <t xml:space="preserve">Impacto:
</t>
    </r>
    <r>
      <rPr>
        <rFont val="Calibri"/>
        <color rgb="FF434343"/>
        <sz val="8.0"/>
      </rPr>
      <t xml:space="preserve">A ausência da performance diária pode gerar inconsistências nos indicadores de condução e impactar o cálculo da premiação do motorista.
</t>
    </r>
    <r>
      <rPr>
        <rFont val="Calibri"/>
        <b/>
        <color rgb="FF434343"/>
        <sz val="8.0"/>
      </rPr>
      <t xml:space="preserve">Objetivo:
</t>
    </r>
    <r>
      <rPr>
        <rFont val="Calibri"/>
        <color rgb="FF434343"/>
        <sz val="8.0"/>
      </rPr>
      <t xml:space="preserve">Identificar o motivo pelo qual a performance do dia 05/08/2026 não foi processada, mesmo havendo registros de eventos para essa data, e realizar a devida correção.
</t>
    </r>
    <r>
      <rPr>
        <rFont val="Calibri"/>
        <b/>
        <color rgb="FF434343"/>
        <sz val="8.0"/>
      </rPr>
      <t xml:space="preserve">Observação:
</t>
    </r>
    <r>
      <rPr>
        <rFont val="Calibri"/>
        <color rgb="FF434343"/>
        <sz val="8.0"/>
      </rPr>
      <t>As evidências anexadas demonstram que os eventos do dia foram registrados normalmente, porém a performance correspondente não foi gerada.</t>
    </r>
  </si>
  <si>
    <t>LNR RFD7E78 5424</t>
  </si>
  <si>
    <t>TCE0A10</t>
  </si>
  <si>
    <t>LNR RFD7E84 9526</t>
  </si>
  <si>
    <t>2026000359</t>
  </si>
  <si>
    <t>Bernardo Caldeira</t>
  </si>
  <si>
    <t>31 99978-6515</t>
  </si>
  <si>
    <t>LNR RFD7E86 8733</t>
  </si>
  <si>
    <r>
      <rPr>
        <rFont val="Calibri"/>
        <b/>
        <color rgb="FF434343"/>
        <sz val="8.0"/>
      </rPr>
      <t xml:space="preserve">Solicitação:
</t>
    </r>
    <r>
      <rPr>
        <rFont val="Calibri"/>
        <color rgb="FF434343"/>
        <sz val="8.0"/>
      </rPr>
      <t xml:space="preserve">Verificar divergências nas médias de consumo de combustível entre a bomba de abastecimento (DON) e o sistema FACSS.
</t>
    </r>
    <r>
      <rPr>
        <rFont val="Calibri"/>
        <b/>
        <color rgb="FF434343"/>
        <sz val="8.0"/>
      </rPr>
      <t xml:space="preserve">Problema:
</t>
    </r>
    <r>
      <rPr>
        <rFont val="Calibri"/>
        <color rgb="FF434343"/>
        <sz val="8.0"/>
      </rPr>
      <t xml:space="preserve">Foi realizada uma comparação entre as médias de consumo de combustível referentes ao mês de julho/2026, sendo identificadas divergências entre os valores registrados na bomba (DON) e os apresentados no FACSS.
</t>
    </r>
    <r>
      <rPr>
        <rFont val="Calibri"/>
        <b/>
        <color rgb="FF434343"/>
        <sz val="8.0"/>
      </rPr>
      <t xml:space="preserve">Verificação:
Na planilha em anexo:
</t>
    </r>
    <r>
      <rPr>
        <rFont val="Calibri"/>
        <color rgb="FF434343"/>
        <sz val="8.0"/>
      </rPr>
      <t xml:space="preserve">As placas destacadas em amarelo apresentam diferenças de consumo que necessitam de validação;
As placas destacadas em vermelho apresentam divergências significativas, indicando possível inconsistência no cálculo ou processamento dos dados.
Foram identificadas as seguintes placas com maior atenção:
TCI3J38
RTD4B49
RTL6B22
RVW5E97 (divergência elevada)
LUH7D72
QUG4E93 (divergência elevada)
</t>
    </r>
    <r>
      <rPr>
        <rFont val="Calibri"/>
        <b/>
        <color rgb="FF434343"/>
        <sz val="8.0"/>
      </rPr>
      <t xml:space="preserve">Impacto:
</t>
    </r>
    <r>
      <rPr>
        <rFont val="Calibri"/>
        <color rgb="FF434343"/>
        <sz val="8.0"/>
      </rPr>
      <t xml:space="preserve">As inconsistências comprometem a confiabilidade dos indicadores de consumo apresentados no FACSS, podendo afetar análises operacionais, comparativos de desempenho e tomadas de decisão.
</t>
    </r>
    <r>
      <rPr>
        <rFont val="Calibri"/>
        <b/>
        <color rgb="FF434343"/>
        <sz val="8.0"/>
      </rPr>
      <t xml:space="preserve">Objetivo:
</t>
    </r>
    <r>
      <rPr>
        <rFont val="Calibri"/>
        <color rgb="FF434343"/>
        <sz val="8.0"/>
      </rPr>
      <t xml:space="preserve">Identificar a origem das divergências entre os dados da bomba (DON) e os cálculos realizados pelo FACSS, validando a regra utilizada para o cálculo da média de consumo e corrigindo eventuais inconsistências.
</t>
    </r>
    <r>
      <rPr>
        <rFont val="Calibri"/>
        <b/>
        <color rgb="FF434343"/>
        <sz val="8.0"/>
      </rPr>
      <t xml:space="preserve">Observação:
</t>
    </r>
    <r>
      <rPr>
        <rFont val="Calibri"/>
        <color rgb="FF434343"/>
        <sz val="8.0"/>
      </rPr>
      <t>A planilha comparativa segue anexa para análise. Solicito prioridade na verificação, principalmente das placas destacadas em vermelho, que apresentam diferenças expressivas em relação aos dados da bomba de abastecimento.</t>
    </r>
  </si>
  <si>
    <t>LNR RFD7E91 4824</t>
  </si>
  <si>
    <t>2026000360</t>
  </si>
  <si>
    <t>LNR RFD7E95 9246</t>
  </si>
  <si>
    <r>
      <rPr>
        <rFont val="Calibri"/>
        <b/>
        <color rgb="FF434343"/>
        <sz val="8.0"/>
      </rPr>
      <t>Solicitação:</t>
    </r>
    <r>
      <rPr>
        <rFont val="Calibri"/>
        <color rgb="FF434343"/>
        <sz val="8.0"/>
      </rPr>
      <t xml:space="preserve">
Verificar ausência de performance do motorista Luciano Martins de Azevedo, vinculado ao veículo de placa RTE3C61.
</t>
    </r>
    <r>
      <rPr>
        <rFont val="Calibri"/>
        <b/>
        <color rgb="FF434343"/>
        <sz val="8.0"/>
      </rPr>
      <t>Problema:</t>
    </r>
    <r>
      <rPr>
        <rFont val="Calibri"/>
        <color rgb="FF434343"/>
        <sz val="8.0"/>
      </rPr>
      <t xml:space="preserve">
Mesmo estando corretamente vinculado ao veículo, o motorista não está conseguindo visualizar os dados de performance no aplicativo.
</t>
    </r>
    <r>
      <rPr>
        <rFont val="Calibri"/>
        <b/>
        <color rgb="FF434343"/>
        <sz val="8.0"/>
      </rPr>
      <t>Impacto:</t>
    </r>
    <r>
      <rPr>
        <rFont val="Calibri"/>
        <color rgb="FF434343"/>
        <sz val="8.0"/>
      </rPr>
      <t xml:space="preserve">
A ausência das informações impede o acompanhamento da performance e pode comprometer os indicadores e o cálculo da premiação do motorista.
</t>
    </r>
    <r>
      <rPr>
        <rFont val="Calibri"/>
        <b/>
        <color rgb="FF434343"/>
        <sz val="8.0"/>
      </rPr>
      <t xml:space="preserve">
Objetivo:</t>
    </r>
    <r>
      <rPr>
        <rFont val="Calibri"/>
        <color rgb="FF434343"/>
        <sz val="8.0"/>
      </rPr>
      <t xml:space="preserve">
Verificar o motivo pelo qual a performance não está sendo disponibilizada para o motorista, validando o vínculo entre motorista e veículo, o recebimento dos dados de telemetria e o processamento da performance no sistema.</t>
    </r>
  </si>
  <si>
    <t>TRE3C61</t>
  </si>
  <si>
    <t>LNR RFE0H16 4180</t>
  </si>
  <si>
    <t>2026000361</t>
  </si>
  <si>
    <t>LNR RFE0H22 5259</t>
  </si>
  <si>
    <r>
      <rPr>
        <rFont val="Calibri"/>
        <b/>
        <color rgb="FF434343"/>
        <sz val="8.0"/>
      </rPr>
      <t>Solicitação:</t>
    </r>
    <r>
      <rPr>
        <rFont val="Calibri"/>
        <color rgb="FF434343"/>
        <sz val="8.0"/>
      </rPr>
      <t xml:space="preserve">
Verificar possível impacto no consumo de combustível relacionado a uma falha na performance do veículo TCE0A10.
</t>
    </r>
    <r>
      <rPr>
        <rFont val="Calibri"/>
        <b/>
        <color rgb="FF434343"/>
        <sz val="8.0"/>
      </rPr>
      <t>Problema:</t>
    </r>
    <r>
      <rPr>
        <rFont val="Calibri"/>
        <color rgb="FF434343"/>
        <sz val="8.0"/>
      </rPr>
      <t xml:space="preserve">
Foi identificado que a performance do motorista Leonardo Menezes dos Santos apresentou inconsistências no aplicativo, permanecendo dois dias sem registros, apesar de haver movimentação e eventos registrados.
O responsável pelo acompanhamento informou que a situação pode impactar o consumo de combustível, uma vez que o fechamento mensal do consumo é realizado com base nos dados do FACSS.
</t>
    </r>
    <r>
      <rPr>
        <rFont val="Calibri"/>
        <b/>
        <color rgb="FF434343"/>
        <sz val="8.0"/>
      </rPr>
      <t>Verificação:</t>
    </r>
    <r>
      <rPr>
        <rFont val="Calibri"/>
        <color rgb="FF434343"/>
        <sz val="8.0"/>
      </rPr>
      <t xml:space="preserve">
É necessário validar se os dias em que a performance não foi contabilizada deixaram de considerar eventos de condução e indicadores que são utilizados no cálculo ou acompanhamento do consumo de combustível.
</t>
    </r>
    <r>
      <rPr>
        <rFont val="Calibri"/>
        <b/>
        <color rgb="FF434343"/>
        <sz val="8.0"/>
      </rPr>
      <t xml:space="preserve">
Impacto:</t>
    </r>
    <r>
      <rPr>
        <rFont val="Calibri"/>
        <color rgb="FF434343"/>
        <sz val="8.0"/>
      </rPr>
      <t xml:space="preserve">
Caso os dados de performance estejam incompletos, pode haver divergência nos indicadores utilizados para o fechamento do consumo de combustível do veículo TCE0A10.
</t>
    </r>
    <r>
      <rPr>
        <rFont val="Calibri"/>
        <b/>
        <color rgb="FF434343"/>
        <sz val="8.0"/>
      </rPr>
      <t>Objetivo:</t>
    </r>
    <r>
      <rPr>
        <rFont val="Calibri"/>
        <color rgb="FF434343"/>
        <sz val="8.0"/>
      </rPr>
      <t xml:space="preserve">
Verificar se a falha na geração da performance do motorista está impactando os dados de consumo de combustível e identificar se os eventos dos dias não contabilizados foram processados corretamente pelo FACSS.
</t>
    </r>
    <r>
      <rPr>
        <rFont val="Calibri"/>
        <b/>
        <color rgb="FF434343"/>
        <sz val="8.0"/>
      </rPr>
      <t>Observação:</t>
    </r>
    <r>
      <rPr>
        <rFont val="Calibri"/>
        <color rgb="FF434343"/>
        <sz val="8.0"/>
      </rPr>
      <t xml:space="preserve">
Solicita-se prioridade na análise, pois os dados do FACSS são utilizados como referência para o fechamento mensal do consumo de combustível.</t>
    </r>
  </si>
  <si>
    <t>LNR RFE0H24 9478</t>
  </si>
  <si>
    <t>2026000362</t>
  </si>
  <si>
    <t>LNR RFE0H26 5939</t>
  </si>
  <si>
    <t>Manoel</t>
  </si>
  <si>
    <t>33 99816-9527</t>
  </si>
  <si>
    <t>LNR RFE0H27 5467</t>
  </si>
  <si>
    <t>Inconsistência nas informações de telemetria – Dashboard
Solicito a verificação das informações referentes a duas viagens realizadas no dia 11/08:
Viagem de ida: UAD3B83
Viagem de volta: UAG9J02
Já realizei o envio de configuração remota nos dois veículos.
O veículo UAD3B83 está apresentando informações somente no T2, não constando no T1. Cheguei a enviar o relatório do T2 para o cliente, porém ele solicitou as informações diretamente pelo Dashboard, e os dados de nenhum dos dois veículos estão sendo apresentados no Dashboard.
Poede me ajudar a verificar a inconsistência e identificar o motivo de os dados das viagens não estarem sendo contabilizados/exibidos no Dashboard.</t>
  </si>
  <si>
    <t>UAD3B83
UAG9J02</t>
  </si>
  <si>
    <t>LNR RFE0H34 6273</t>
  </si>
  <si>
    <t>PABLO: CRIAR ACESSO AO NOVO TELEMETRIA</t>
  </si>
  <si>
    <t>LNR RFE0H36 4081</t>
  </si>
  <si>
    <t>LNR RFG3H31 6460</t>
  </si>
  <si>
    <t>LNR RFG3H34 2887</t>
  </si>
  <si>
    <t>LNR RFG3H35 5622</t>
  </si>
  <si>
    <t>LNR RFG3H37 9682</t>
  </si>
  <si>
    <t>LNR RFG3H38 0053</t>
  </si>
  <si>
    <t>DESENVOLVER EVOLUÇÃO DE CONDUÇÃO</t>
  </si>
  <si>
    <t>LNR RFH2H90 4356</t>
  </si>
  <si>
    <t>Falha Freio 16/09/2025 - Reenvio de Config</t>
  </si>
  <si>
    <t>LNR RFH2H93 8221</t>
  </si>
  <si>
    <t>LNR RFH2H98 3930</t>
  </si>
  <si>
    <t>LNR RFH2I05 6556</t>
  </si>
  <si>
    <t>LNR RJJ5E64 3165</t>
  </si>
  <si>
    <t>LNR RFH3C95 0922</t>
  </si>
  <si>
    <t>LNR RFH3D00 6951</t>
  </si>
  <si>
    <t>FAZER PESQUISAR COM OS MOTORISTAS SOBRE O APP</t>
  </si>
  <si>
    <t>LNR RFH3J22 5607</t>
  </si>
  <si>
    <t>LNR RFJ2F74 2949</t>
  </si>
  <si>
    <t>LNR RFJ2G01 6366</t>
  </si>
  <si>
    <t>LNR RFJ2G12 4719</t>
  </si>
  <si>
    <t>LNR RFJ2G20 1671</t>
  </si>
  <si>
    <t>LNR RFJ2G29 5081</t>
  </si>
  <si>
    <t>LNR RFJ2G77 8289</t>
  </si>
  <si>
    <t>LNR RFJ2G85 7278</t>
  </si>
  <si>
    <t>INICIAR POC - CONVERSA PARA INSTALAÇÃO DOS MÓDULOS</t>
  </si>
  <si>
    <t>LNR RFJ2H35 4643</t>
  </si>
  <si>
    <t>LNR RFJ2H42 5348</t>
  </si>
  <si>
    <t>LNR RFJ7C63 6257</t>
  </si>
  <si>
    <t>LNR RFK7E66 1301</t>
  </si>
  <si>
    <t>LNR RFK7E68 7305</t>
  </si>
  <si>
    <t>LNR RFK7E71 5301</t>
  </si>
  <si>
    <t>LNR RFK8H42 9544</t>
  </si>
  <si>
    <t>LNR RFK8H51 6208</t>
  </si>
  <si>
    <t>LNR RFK8H63 4567</t>
  </si>
  <si>
    <t>LNR RFQ6H22 7104</t>
  </si>
  <si>
    <t>INICIAR INTERAÇÃO (CONFINS)</t>
  </si>
  <si>
    <t>LNR RFQ6H26 0904</t>
  </si>
  <si>
    <t>LNR RFQ6H28 5051</t>
  </si>
  <si>
    <t>LNR RFQ6H31 9724</t>
  </si>
  <si>
    <t>LNR RFQ6H34 1388</t>
  </si>
  <si>
    <t>LNR RFR0A55 5630</t>
  </si>
  <si>
    <t>LNR RFR0A56 6968</t>
  </si>
  <si>
    <t>LNR RFR1G58 2369</t>
  </si>
  <si>
    <t>PLANILHA CONTROLE DE MÓDULOS</t>
  </si>
  <si>
    <t>LNR RFR1G64 5641</t>
  </si>
  <si>
    <t>desvinculado 30/07 15:37</t>
  </si>
  <si>
    <t>LNR RFR1G68 4595</t>
  </si>
  <si>
    <t>LNR RFR1G71 9286</t>
  </si>
  <si>
    <t>LNR RFR1G74 4619</t>
  </si>
  <si>
    <t>LNR RFR1G89 5014</t>
  </si>
  <si>
    <t>PREMIAÇÃO ESTÁ ERRADA PARA UM MOTORISTA</t>
  </si>
  <si>
    <t>LNR RFR1G90 7950</t>
  </si>
  <si>
    <t>LNR RFU5F60 9559</t>
  </si>
  <si>
    <t>LNR RFU5F62 1164</t>
  </si>
  <si>
    <t>LNR RFU5F65 9609</t>
  </si>
  <si>
    <t>PROPÔR A JORNADA PARA TESTE</t>
  </si>
  <si>
    <t>LNR RFV0G69 1396</t>
  </si>
  <si>
    <t>LNR RFV0G77 7736</t>
  </si>
  <si>
    <t>LNR RFV0G80 6588</t>
  </si>
  <si>
    <t>LNR RFV0G81 6720</t>
  </si>
  <si>
    <t>DESENVOLVER APRESENTAÇÃO COMERCIAL E DIAGNÓSTICO</t>
  </si>
  <si>
    <t>LNR RFV0G97 6494</t>
  </si>
  <si>
    <t>LNR RFV8D27 9881</t>
  </si>
  <si>
    <t>LNR RFX9B57 5267</t>
  </si>
  <si>
    <t>DESENVOLVER POC E TREINAMENTO DE CONDUÇÃO</t>
  </si>
  <si>
    <t>LNR RFX9B70 3140</t>
  </si>
  <si>
    <t>LNR RFX9B89 7191</t>
  </si>
  <si>
    <t>LNR RFX9C02 8611</t>
  </si>
  <si>
    <t>MONITORAR INCOSISTÊNCIAS COM OS RESPONSÁVEIS</t>
  </si>
  <si>
    <t>LNR RFX9D72 8717</t>
  </si>
  <si>
    <t>LNR RFY8E70 3186</t>
  </si>
  <si>
    <t>LNR RFY8E79 5616</t>
  </si>
  <si>
    <t>LNR RFZ4D29 1826</t>
  </si>
  <si>
    <t>LNR RFZ4D37 2816</t>
  </si>
  <si>
    <t>ENVIAR APRESENTAÇÃO/AMOSTRA</t>
  </si>
  <si>
    <t>LNR RFZ4D43 0112</t>
  </si>
  <si>
    <t>LNR RFZ4D45 4676</t>
  </si>
  <si>
    <t>LNR RFZ4D50 3298</t>
  </si>
  <si>
    <t>LNR RFZ4D54 0664</t>
  </si>
  <si>
    <t>LNR RFZ4G40 1225</t>
  </si>
  <si>
    <t>LNR RFZ4I98 1243</t>
  </si>
  <si>
    <t>QUILOMETRAGEM DO APP ESTÁ DIVERGENTE DO HODÔMETRO</t>
  </si>
  <si>
    <t>LNR RFZ9J53 5614</t>
  </si>
  <si>
    <t>LNR RFZ9J84 9742</t>
  </si>
  <si>
    <t>LNR RGA0D51 8023</t>
  </si>
  <si>
    <t>LNR RGA6A14 5599</t>
  </si>
  <si>
    <t>RETORNO SOBRE OS VEÍCULOS COM INCOSISTÊNCIA</t>
  </si>
  <si>
    <t>LNR RGA7J63 4062</t>
  </si>
  <si>
    <t>LNR RIP6H18 8987</t>
  </si>
  <si>
    <t>LNR RIP9H12 0873</t>
  </si>
  <si>
    <t>LNR RIP9H14 4100</t>
  </si>
  <si>
    <t>LNR RIP9H23 7333</t>
  </si>
  <si>
    <t>LNR RIQ4J20 3989</t>
  </si>
  <si>
    <t>LNR RIQ7B61 8166</t>
  </si>
  <si>
    <t>LNR RIQ7B62 0900</t>
  </si>
  <si>
    <t>RANKEAMENTO DOS MOTORISTAS EM CONFLITO</t>
  </si>
  <si>
    <t>LNR RIQ7B68 4651</t>
  </si>
  <si>
    <t>LNR RIQ7B69 3735</t>
  </si>
  <si>
    <t>LNR RIQ7B70 4901</t>
  </si>
  <si>
    <t>LNR RIQ7B73 7915</t>
  </si>
  <si>
    <t>EMAIL COMERCIAL PARA O GUILHERME ANSELMO</t>
  </si>
  <si>
    <t>LNR RIQ7B74 9313</t>
  </si>
  <si>
    <t>LNR RIQ7B75 5403</t>
  </si>
  <si>
    <t>LNR RIT8J43 1417</t>
  </si>
  <si>
    <t>AVALIAR ANOTAÇÕES DA REUNIÃO DE HOJE</t>
  </si>
  <si>
    <t>LNR RIT8J44 5062</t>
  </si>
  <si>
    <t>LNR RIT8J45 3254</t>
  </si>
  <si>
    <t>LNR RIT8J46 6044</t>
  </si>
  <si>
    <t>LNR RIT8J47 8821</t>
  </si>
  <si>
    <t>LNR RIT8J48 4628</t>
  </si>
  <si>
    <t>LITRAGEM SEMPRE VOLTA</t>
  </si>
  <si>
    <t>LNR RIT8J49 1731</t>
  </si>
  <si>
    <t>LNR RIT8J50 0732</t>
  </si>
  <si>
    <t>LNR RIU4C83 9667</t>
  </si>
  <si>
    <t>LNR RIU4C84 5772</t>
  </si>
  <si>
    <t>LNR RIU4C85 1895</t>
  </si>
  <si>
    <t>LNR RIU4C86 4339</t>
  </si>
  <si>
    <t>LNR RIU4C87 5416</t>
  </si>
  <si>
    <t>EXCESSO DE RPM ALTO DO RVD3D62 - MOTORISTA CÉLIO</t>
  </si>
  <si>
    <t>LNR RIU5J45 4321</t>
  </si>
  <si>
    <t>LNR RIU5J46 9239</t>
  </si>
  <si>
    <t>LNR RIU5J47 5283</t>
  </si>
  <si>
    <t>DEMANDAS DA REUNIÃO DO DIA 15/07/2026</t>
  </si>
  <si>
    <t>LNR RIV4D33 5392</t>
  </si>
  <si>
    <t>LNR RIV4D36 2571</t>
  </si>
  <si>
    <t>LNR RIV4D39 5606</t>
  </si>
  <si>
    <t>LNR RIV4D50 4065</t>
  </si>
  <si>
    <t>TREINAMENTO DO SISITEMA E DA PLATAFORMA</t>
  </si>
  <si>
    <t>LNR RIV4D51 0286</t>
  </si>
  <si>
    <t>LNR RIV4D55 4030</t>
  </si>
  <si>
    <t>LNR RIV4D57 9733</t>
  </si>
  <si>
    <t>A FAZER</t>
  </si>
  <si>
    <t>LNR RIV8C03 8726</t>
  </si>
  <si>
    <t>FORMALIZAR P&amp;W POR EMAIL</t>
  </si>
  <si>
    <t>LNR RIV8C04 2179</t>
  </si>
  <si>
    <t>LNR RIV8C05 8501</t>
  </si>
  <si>
    <t>LNR RIV8C06 3110</t>
  </si>
  <si>
    <t>LNR RIW1D42 1520</t>
  </si>
  <si>
    <t>LNR RIW1D43 8513</t>
  </si>
  <si>
    <t>CONFLITO DE INFORMAÇÕES DE PERFORMANCE</t>
  </si>
  <si>
    <t>LNR RIW1D44 5030</t>
  </si>
  <si>
    <t>LNR RIW1D45 0766</t>
  </si>
  <si>
    <t>LNR RIW1D48 8385</t>
  </si>
  <si>
    <t>LNR RIW1D49 3821</t>
  </si>
  <si>
    <t>APOIO AO CLIENTE QUANTO À VINCULAÇÃO RETROATIVA</t>
  </si>
  <si>
    <t>LNR RIW1D50 7106</t>
  </si>
  <si>
    <t>LNR RIW1D51 7458</t>
  </si>
  <si>
    <t>LNR RIW1D52 1065</t>
  </si>
  <si>
    <t>LNR RIW1D53 7656</t>
  </si>
  <si>
    <t>LIBERAR O RANKING</t>
  </si>
  <si>
    <t>LNR RIW1D54 0778</t>
  </si>
  <si>
    <t>LNR RIW1D55 6435</t>
  </si>
  <si>
    <t>LNR RIW1D56 4426</t>
  </si>
  <si>
    <t>LNR RIW1D57 3532</t>
  </si>
  <si>
    <t>LNR RIW1D58 6780</t>
  </si>
  <si>
    <t>LNR RIW1D59 7104</t>
  </si>
  <si>
    <t>LNR RIW1D66 1244</t>
  </si>
  <si>
    <t>LNR RIW1D67 1483</t>
  </si>
  <si>
    <t>LNR RIW1D68 5569</t>
  </si>
  <si>
    <t>VISITA COMERCIAL</t>
  </si>
  <si>
    <t>LNR RIW5F87 4039</t>
  </si>
  <si>
    <t>LNR RIW7F03 1066</t>
  </si>
  <si>
    <t>LNR RIW7F04 2781</t>
  </si>
  <si>
    <t>LNR RIW7F05 6433</t>
  </si>
  <si>
    <t>LNR RIW7F06 2500</t>
  </si>
  <si>
    <t>LNR RIW7F07 7866</t>
  </si>
  <si>
    <t>LNR RIW7F08 0844</t>
  </si>
  <si>
    <t>LNR RIW7F09 0745</t>
  </si>
  <si>
    <t>LNR RIW7F10 6343</t>
  </si>
  <si>
    <t>LNR RIW7F11 1061</t>
  </si>
  <si>
    <t>LNR RIW7F12 7375</t>
  </si>
  <si>
    <t>LNR RIW7F13 8077</t>
  </si>
  <si>
    <t>LNR RIW7F14 9149</t>
  </si>
  <si>
    <t>LNR RIW7F15 5580</t>
  </si>
  <si>
    <t>PROCESSANDO</t>
  </si>
  <si>
    <t>LNR RIW7F16 6681</t>
  </si>
  <si>
    <t>LNR RIW7F17 2021</t>
  </si>
  <si>
    <t>LNR RIY4J80 6167</t>
  </si>
  <si>
    <t>LNR RIY4J81 3701</t>
  </si>
  <si>
    <t>LNR RIY4J82 9080</t>
  </si>
  <si>
    <t>LNR RIY4J83 7472</t>
  </si>
  <si>
    <t>LNR RIY4J84 9766</t>
  </si>
  <si>
    <t>LNR RIZ7J66 7008</t>
  </si>
  <si>
    <t>LNR RIZ7J67 5871</t>
  </si>
  <si>
    <t>LNR RIZ7J68 3030</t>
  </si>
  <si>
    <t>LNR RIZ7J69 8775</t>
  </si>
  <si>
    <t>LNR RIZ7J70 2014</t>
  </si>
  <si>
    <t>ENTREGAR APRESENTAÇÃO DA REUNIÃO</t>
  </si>
  <si>
    <t>LNR RIZ7J71 8410</t>
  </si>
  <si>
    <t>LNR RIZ7J72 9451</t>
  </si>
  <si>
    <t>LNR RIZ7J73 9484</t>
  </si>
  <si>
    <t>LNR RIZ7J74 8303</t>
  </si>
  <si>
    <t>LNR RIZ7J75 3851</t>
  </si>
  <si>
    <t>LNR RIZ7J76 0234</t>
  </si>
  <si>
    <t>LNR RIZ7J78 7115</t>
  </si>
  <si>
    <t>LNR RIZ7J79 2043</t>
  </si>
  <si>
    <t>LNR RIZ7J80 4386</t>
  </si>
  <si>
    <t>LNR RIZ7J81 9666</t>
  </si>
  <si>
    <t>LNR RIZ7J82 8154</t>
  </si>
  <si>
    <t>Falha no Painel - 10/11/2025 - Reenvio da Config</t>
  </si>
  <si>
    <t>LNR RIZ7J83 0160</t>
  </si>
  <si>
    <t>LNR RIZ7J84 4577</t>
  </si>
  <si>
    <t>LNR RIZ7J85 8446</t>
  </si>
  <si>
    <t>LNR RIZ7J86 1438</t>
  </si>
  <si>
    <t>LNR RIZ7J87 7157</t>
  </si>
  <si>
    <t>LNR RIZ7J88 8677</t>
  </si>
  <si>
    <t>LNR RIZ7J89 6853</t>
  </si>
  <si>
    <t>LNR RIZ7J90 4131</t>
  </si>
  <si>
    <t>LNR RIZ8A01 8992</t>
  </si>
  <si>
    <t>LNR TUW2I52 2948</t>
  </si>
  <si>
    <t>LNR RIZ8A03 2815</t>
  </si>
  <si>
    <t>LNR RIZ8A12 8256</t>
  </si>
  <si>
    <t>LNR RIZ8A17 5200</t>
  </si>
  <si>
    <t>LNR RIZ8A18 9832</t>
  </si>
  <si>
    <t>LNR RIZ8A19 8070</t>
  </si>
  <si>
    <t>LNR RIZ8A20 6174</t>
  </si>
  <si>
    <t>LNR RIZ8A21 6117</t>
  </si>
  <si>
    <t>LNR RIZ8A22 5322</t>
  </si>
  <si>
    <t>LNR RIZ8A24 6101</t>
  </si>
  <si>
    <t>LNR RIZ8A25 7289</t>
  </si>
  <si>
    <t>LNR RIZ8A26 8048</t>
  </si>
  <si>
    <t>LNR RIZ8A27 8171</t>
  </si>
  <si>
    <t>LNR RIZ8A28 9832</t>
  </si>
  <si>
    <t>LNR RIZ8A29 3129</t>
  </si>
  <si>
    <t>LNR RIZ8A30 4048</t>
  </si>
  <si>
    <t>LNR RIZ8A31 6281</t>
  </si>
  <si>
    <t>LNR RIZ8A32 5237</t>
  </si>
  <si>
    <t>LNR RIZ8A33 6200</t>
  </si>
  <si>
    <t>LNR RIZ8A55 3968</t>
  </si>
  <si>
    <t>GFM TDO1J56 2815</t>
  </si>
  <si>
    <t>LNR RJA4J23 0714</t>
  </si>
  <si>
    <t>LNR RJA5E68 7009</t>
  </si>
  <si>
    <t>LNR RJA5E69 9825</t>
  </si>
  <si>
    <t>LNR RJA8E23 8088</t>
  </si>
  <si>
    <t>LNR RJA9I32 2609</t>
  </si>
  <si>
    <t>LNR RJA9I34 8904</t>
  </si>
  <si>
    <t>LNR RJA9I35 9115</t>
  </si>
  <si>
    <t>LNR RJA9I36 0400</t>
  </si>
  <si>
    <t>LNR RJB5A75 5718</t>
  </si>
  <si>
    <t>LNR RJB5C18 5508</t>
  </si>
  <si>
    <t>LNR RJB5F67 5912</t>
  </si>
  <si>
    <t>LNR RJB5F68 9617</t>
  </si>
  <si>
    <t>LNR RJB5F69 6601</t>
  </si>
  <si>
    <t>LNR RJB8F71 0681</t>
  </si>
  <si>
    <t>LNR RJB9A28 3974</t>
  </si>
  <si>
    <t>LNR RJB9A29 0285</t>
  </si>
  <si>
    <t>LNR RJB9A30 6382</t>
  </si>
  <si>
    <t>LNR RJB9A31 5870</t>
  </si>
  <si>
    <t>LNR RJB9A32 3863</t>
  </si>
  <si>
    <t>LNR RJB9A43 0425</t>
  </si>
  <si>
    <t>LNR RJB9A45 8248</t>
  </si>
  <si>
    <t>LNR RJB9A46 7015</t>
  </si>
  <si>
    <t>LNR RJB9A47 6166</t>
  </si>
  <si>
    <t>LNR RJB9A48 3690</t>
  </si>
  <si>
    <t>LNR RJC6H70 5206</t>
  </si>
  <si>
    <t>LNR RJD5J19 5649</t>
  </si>
  <si>
    <t>LNR RJD6F10 1056</t>
  </si>
  <si>
    <t>LNR RJD6F11 5261</t>
  </si>
  <si>
    <t>LNR RJD6F12 4679</t>
  </si>
  <si>
    <t>LNR RJD6F13 0299</t>
  </si>
  <si>
    <t>LNR RJD6F14 1383</t>
  </si>
  <si>
    <t>LNR RJD6F21 3073</t>
  </si>
  <si>
    <t>LNR RJD6F22 9200</t>
  </si>
  <si>
    <t>LNR RJD6F23 5955</t>
  </si>
  <si>
    <t>LNR RJD6F25 1838</t>
  </si>
  <si>
    <t>LNR RJD6F26 4723</t>
  </si>
  <si>
    <t>LNR RJD6F28 4297</t>
  </si>
  <si>
    <t>LNR RJD6F34 0459</t>
  </si>
  <si>
    <t>LNR RJD6F37 1792</t>
  </si>
  <si>
    <t>LNR RJD6F38 2807</t>
  </si>
  <si>
    <t>LNR RJD6F39 3685</t>
  </si>
  <si>
    <t>LNR RJD6F40 8965</t>
  </si>
  <si>
    <t>LNR RJD8A28 8938</t>
  </si>
  <si>
    <t>LNR RJD8A29 1416</t>
  </si>
  <si>
    <t>LNR RJD8A30 6190</t>
  </si>
  <si>
    <t>LNR RJE5B64 2090</t>
  </si>
  <si>
    <t>LNR RJE5B78 4495</t>
  </si>
  <si>
    <t>LNR RJE5B90 7336</t>
  </si>
  <si>
    <t>LNR RJE6H24 0302</t>
  </si>
  <si>
    <t>LNR RJE6H25 8909</t>
  </si>
  <si>
    <t>LNR RJE6H26 1431</t>
  </si>
  <si>
    <t>LNR RJE6H27 5492</t>
  </si>
  <si>
    <t>LNR RJE6H28 1115</t>
  </si>
  <si>
    <t>LNR RJE6H29 4008</t>
  </si>
  <si>
    <t>LNR RJE6H30 5913</t>
  </si>
  <si>
    <t>LNR RJE8B62 0375</t>
  </si>
  <si>
    <t>LNR RJE8B63 4718</t>
  </si>
  <si>
    <t>LNR RJE8B64 5947</t>
  </si>
  <si>
    <t>LNR RJE8B65 8858</t>
  </si>
  <si>
    <t>LNR RJF5H40 8189</t>
  </si>
  <si>
    <t>LNR RJF5H44 2781</t>
  </si>
  <si>
    <t>LNR RJF5H45 3750</t>
  </si>
  <si>
    <t>LNR RJF5H46 4476</t>
  </si>
  <si>
    <t>LNR RJF5H47 0374</t>
  </si>
  <si>
    <t>LNR RJF7C69 9856</t>
  </si>
  <si>
    <t>LNR RJF7C73 5664</t>
  </si>
  <si>
    <t>LNR RJG7D01 4620</t>
  </si>
  <si>
    <t>LNR RJG7D02 2790</t>
  </si>
  <si>
    <t>LNR RJG7D03 2922</t>
  </si>
  <si>
    <t>LNR RJG7D04 4349</t>
  </si>
  <si>
    <t>LNR RJG7D05 4037</t>
  </si>
  <si>
    <t>LNR RJG7D06 4262</t>
  </si>
  <si>
    <t>LNR RJG7D07 5435</t>
  </si>
  <si>
    <t>LNR RJG9B50 7253</t>
  </si>
  <si>
    <t>LNR RJG9B51 9147</t>
  </si>
  <si>
    <t>LNR RJH5F75 6502</t>
  </si>
  <si>
    <t>LNR RJH5F76 1672</t>
  </si>
  <si>
    <t>LNR RJH5F78 7664</t>
  </si>
  <si>
    <t>LNR RJH5F80 5343</t>
  </si>
  <si>
    <t>LNR RJH5F81 5358</t>
  </si>
  <si>
    <t>LNR RJH5F82 2051</t>
  </si>
  <si>
    <t>Módulo com defeito (segundo Lenarge)</t>
  </si>
  <si>
    <t>LNR RJH5F83 7090</t>
  </si>
  <si>
    <t>LNR RJH5F84 4551</t>
  </si>
  <si>
    <t>LNR RJH5F85 6192</t>
  </si>
  <si>
    <t>LNR RJH5F86 8759</t>
  </si>
  <si>
    <t>LNR RJH5F96 4893</t>
  </si>
  <si>
    <t>LNR RJH5F97 8727</t>
  </si>
  <si>
    <t>LNR RJH5G13 0309</t>
  </si>
  <si>
    <t>LNR RJH5G14 3262</t>
  </si>
  <si>
    <t>LNR RJH5G15 5427</t>
  </si>
  <si>
    <t>LNR RJH5G16 6042</t>
  </si>
  <si>
    <t>LNR RJH5G17 0617</t>
  </si>
  <si>
    <t>LNR RJH5G18 9434</t>
  </si>
  <si>
    <t>LNR RJH5G19 5780</t>
  </si>
  <si>
    <t>LNR RJH5G20 6417</t>
  </si>
  <si>
    <t>LNR RJH5G22 9643</t>
  </si>
  <si>
    <t>LNR RJH5G24 2884</t>
  </si>
  <si>
    <t>LNR RJH5G26 4196</t>
  </si>
  <si>
    <t>LNR RJH5G27 1221</t>
  </si>
  <si>
    <t>LNR RJH5G28 6403</t>
  </si>
  <si>
    <t>LNR RJH5G29 7868</t>
  </si>
  <si>
    <t>LNR RJH5G30 6431</t>
  </si>
  <si>
    <t>LNR RJH5G31 4008</t>
  </si>
  <si>
    <t>LNR RJH5G32 7290</t>
  </si>
  <si>
    <t>LNR RJH5G54 6067</t>
  </si>
  <si>
    <t>LNR RJH5G55 4899</t>
  </si>
  <si>
    <t>LNR RJH5G56 2506</t>
  </si>
  <si>
    <t>LNR RJH5G57 6877</t>
  </si>
  <si>
    <t>LNR RJH5G58 9303</t>
  </si>
  <si>
    <t>LNR RJH5G59 6760</t>
  </si>
  <si>
    <t>LNR RJH5G60 0054</t>
  </si>
  <si>
    <t>Acompanhar Tracking</t>
  </si>
  <si>
    <t>LNR RJH5G61 7274</t>
  </si>
  <si>
    <t>LNR RJL7G23 7221</t>
  </si>
  <si>
    <t>LNR RJM9C88 9930</t>
  </si>
  <si>
    <t>LNR RJM9C93 7034</t>
  </si>
  <si>
    <t>LNR RJN4I26 7365</t>
  </si>
  <si>
    <t>LNR RJN4I27 5994</t>
  </si>
  <si>
    <t>LNR RJN4I43 1206</t>
  </si>
  <si>
    <t>LNR RJO5B64 5439</t>
  </si>
  <si>
    <t>LNR RJO5B65 5655</t>
  </si>
  <si>
    <t>Falha no painel - módulo trocado 26/06/2025</t>
  </si>
  <si>
    <t>LNR RJO5B66 5330</t>
  </si>
  <si>
    <t>LNR RJO5B67 8420</t>
  </si>
  <si>
    <t>LNR RJO5B68 9040</t>
  </si>
  <si>
    <t>LNR RJO5B69 2606</t>
  </si>
  <si>
    <t>LNR RJO5B70 1192</t>
  </si>
  <si>
    <t>LNR RJO5B71 5913</t>
  </si>
  <si>
    <t>LNR RJO5B73 4817</t>
  </si>
  <si>
    <t>LNR RJO5B74 8667</t>
  </si>
  <si>
    <t>Acompanhar Tranking</t>
  </si>
  <si>
    <t>LNR RJO5B75 7662</t>
  </si>
  <si>
    <t>LNR RJO5B76 0328</t>
  </si>
  <si>
    <t>LNR RJO5B77 6143</t>
  </si>
  <si>
    <t>LNR RJO5B78 0006</t>
  </si>
  <si>
    <t>LNR RJO5B79 3270</t>
  </si>
  <si>
    <t>LNR RJO5B80 4112</t>
  </si>
  <si>
    <t>LNR RJO5B81 9790</t>
  </si>
  <si>
    <t>LNR RJO5B83 5889</t>
  </si>
  <si>
    <t>LNR RJO5B84 9841</t>
  </si>
  <si>
    <t>LNR RJO5B85 0760</t>
  </si>
  <si>
    <t>LNR RJO5B87 0325</t>
  </si>
  <si>
    <t>LNR RJO5B88 7496</t>
  </si>
  <si>
    <t>LNR RJO5B90 9888</t>
  </si>
  <si>
    <t>LNR RJR6C66 5499</t>
  </si>
  <si>
    <t>LNR RJR6C67 0731</t>
  </si>
  <si>
    <t>LNR RJR6C68 7819</t>
  </si>
  <si>
    <t>LNR RJR6C69 7686</t>
  </si>
  <si>
    <t>LNR RJR6C70 9881</t>
  </si>
  <si>
    <t>LNR RJR6C71 5609</t>
  </si>
  <si>
    <t>LNR RJR6C72 4510</t>
  </si>
  <si>
    <t>LNR RJR6G33 6771</t>
  </si>
  <si>
    <t>LNR RJR6G34 8948</t>
  </si>
  <si>
    <t>LNR RJR6G35 9297</t>
  </si>
  <si>
    <t>LNR RJR6G40 0047</t>
  </si>
  <si>
    <t>LNR RJR6G41 5146</t>
  </si>
  <si>
    <t>LNR RJR6G42 2969</t>
  </si>
  <si>
    <t>LNR RJR6G43 3834</t>
  </si>
  <si>
    <t>LNR RJR6G57 0942</t>
  </si>
  <si>
    <t>LNR RJR6G58 7999</t>
  </si>
  <si>
    <t>LNR RJR6G59 1124</t>
  </si>
  <si>
    <t>LNR RJR6G60 3615</t>
  </si>
  <si>
    <t>LNR RJR6G61 5437</t>
  </si>
  <si>
    <t>LNR RJR6G62 6797</t>
  </si>
  <si>
    <t>LNR RJR6G63 9928</t>
  </si>
  <si>
    <t>LNR RJS6B18 4493</t>
  </si>
  <si>
    <t>LNR RJS6E55 2622</t>
  </si>
  <si>
    <t>LNR RJS6E57 1855</t>
  </si>
  <si>
    <t>LNR RJS6E59 6220</t>
  </si>
  <si>
    <t>LNR RJS6E61 4142</t>
  </si>
  <si>
    <t>LNR RJS6E62 2427</t>
  </si>
  <si>
    <t>LNR RJS6E63 4439</t>
  </si>
  <si>
    <t>LNR RJS6E64 8851</t>
  </si>
  <si>
    <t>LNR RJS6E65 5534</t>
  </si>
  <si>
    <t>LNR RJS6E66 6728</t>
  </si>
  <si>
    <t>LNR RJT8C57 3836</t>
  </si>
  <si>
    <t>LNR RJX7A23 1031</t>
  </si>
  <si>
    <t>LNR TTQ9A79 2820</t>
  </si>
  <si>
    <t>LNR RJZ8E09 3851</t>
  </si>
  <si>
    <t>LNR RJZ8E10 8763</t>
  </si>
  <si>
    <t>LNR RJZ8E12 5150</t>
  </si>
  <si>
    <t>LNR RJZ8E13 1214</t>
  </si>
  <si>
    <t>LNR RJZ8E14 6361</t>
  </si>
  <si>
    <t>LNR RJZ8E15 5520</t>
  </si>
  <si>
    <t>LNR RJZ8E16 3094</t>
  </si>
  <si>
    <t>LNR RKA4F75 9963</t>
  </si>
  <si>
    <t>LNR RKA4F77 0623</t>
  </si>
  <si>
    <t>LNR RKF5B44 0401</t>
  </si>
  <si>
    <t>LNR RKI5B90 5581</t>
  </si>
  <si>
    <t>LNR RKI5B91 0785</t>
  </si>
  <si>
    <t>LNR RKI5B92 5236</t>
  </si>
  <si>
    <t>LNR RKI5B93 4007</t>
  </si>
  <si>
    <t>LNR RKI5B94 6820</t>
  </si>
  <si>
    <t>LNR RKI5B95 2865</t>
  </si>
  <si>
    <t>LNR RKI5B96 3182</t>
  </si>
  <si>
    <t>Falha Painel - módulo trocado - 24/06/25</t>
  </si>
  <si>
    <t>LNR RKI5B97 5708</t>
  </si>
  <si>
    <t>LNR RKI5B98 5226</t>
  </si>
  <si>
    <t>LNR RKI5B99 9030</t>
  </si>
  <si>
    <t>LNR RKI5C00 5781</t>
  </si>
  <si>
    <t>LNR RKI5C01 7792</t>
  </si>
  <si>
    <t>LNR RKI5C03 1889</t>
  </si>
  <si>
    <t>LNR RKJ6I81 5039</t>
  </si>
  <si>
    <t>LNR RKJ6I82 8560</t>
  </si>
  <si>
    <t>LNR RKJ6I83 5665</t>
  </si>
  <si>
    <t>LNR RKJ6I84 7229</t>
  </si>
  <si>
    <t>LNR RKJ6I85 0988</t>
  </si>
  <si>
    <t>LNR RKJ6I86 1513</t>
  </si>
  <si>
    <t>LNR RKJ6I87 5269</t>
  </si>
  <si>
    <t>LNR RKJ6I88 2263</t>
  </si>
  <si>
    <t>LNR RKJ7A24 8851</t>
  </si>
  <si>
    <t>LNR RKK7D58 7841</t>
  </si>
  <si>
    <t>LNR RKK7D59 2960</t>
  </si>
  <si>
    <t>LNR RKK7D67 7825</t>
  </si>
  <si>
    <t>LNR RKK7D68 6225</t>
  </si>
  <si>
    <t>LNR RKN3J89 0011</t>
  </si>
  <si>
    <t>LNR RKN3J90 7286</t>
  </si>
  <si>
    <t>LNR RKN3J91 7348</t>
  </si>
  <si>
    <t>LNR RKO6F06 3545</t>
  </si>
  <si>
    <t>LNR RKO6F07 5120</t>
  </si>
  <si>
    <t>LNR RKO6F09 9469</t>
  </si>
  <si>
    <t>LNR RKO6F10 3848</t>
  </si>
  <si>
    <t>LNR RKO6F11 0865</t>
  </si>
  <si>
    <t>LNR RKO6F12 5397</t>
  </si>
  <si>
    <t>LNR RKO8D03 6058</t>
  </si>
  <si>
    <t>LNR RKO8D16 5897</t>
  </si>
  <si>
    <t>LNR RKO8D17 5211</t>
  </si>
  <si>
    <t>LNR RKO8D18 1215</t>
  </si>
  <si>
    <t>LNR RKO8D19 0923</t>
  </si>
  <si>
    <t>LNR RKP6D14 5624</t>
  </si>
  <si>
    <t>LNR RKP6D15 4593</t>
  </si>
  <si>
    <t>LNR RKP6D16 9104</t>
  </si>
  <si>
    <t>LNR RKP6D19 7405</t>
  </si>
  <si>
    <t>LNR RKP6D23 4916</t>
  </si>
  <si>
    <t>LNR RKP8D01 7526</t>
  </si>
  <si>
    <t>LNR RKP8D02 5747</t>
  </si>
  <si>
    <t>LNR RKP8D03 3871</t>
  </si>
  <si>
    <t>LNR RKP8D05 2951</t>
  </si>
  <si>
    <t>LNR RKP8D06 8925</t>
  </si>
  <si>
    <t>LNR RKP8D09 5850</t>
  </si>
  <si>
    <t>LNR RKP8D10 5160</t>
  </si>
  <si>
    <t>LNR RKP8D11 8006</t>
  </si>
  <si>
    <t>LNR RKP8D12 2877</t>
  </si>
  <si>
    <t>LNR RKP8D13 4915</t>
  </si>
  <si>
    <t>LNR RKQ4F85 9608</t>
  </si>
  <si>
    <t>LNR RKQ4F86 5896</t>
  </si>
  <si>
    <t>LNR RKQ4F87 0708</t>
  </si>
  <si>
    <t>LNR RKQ4F88 3719</t>
  </si>
  <si>
    <t>LNR RKQ4G24 3992</t>
  </si>
  <si>
    <t>LNR RKQ4G25 3909</t>
  </si>
  <si>
    <t>LNR RKQ4G27 0342</t>
  </si>
  <si>
    <t>LNR RKQ6G56 5382</t>
  </si>
  <si>
    <t>LNR RKQ6G57 1144</t>
  </si>
  <si>
    <t>LNR RKQ6G58 7538</t>
  </si>
  <si>
    <t>LNR RKR4C57 3981</t>
  </si>
  <si>
    <t>LNR RKR4C58 3370</t>
  </si>
  <si>
    <t>LNR RKR4C61 1271</t>
  </si>
  <si>
    <t>LNR RKR4C62 1993</t>
  </si>
  <si>
    <t>LNR RKR4C63 7420</t>
  </si>
  <si>
    <t>LNR RKR4C64 0162</t>
  </si>
  <si>
    <t>LNR RKR4C65 3855</t>
  </si>
  <si>
    <t>LNR RKR4C66 6379</t>
  </si>
  <si>
    <t>LNR RKR7I97 8263</t>
  </si>
  <si>
    <t>LNR RKR7I98 9410</t>
  </si>
  <si>
    <t>LNR RKR7I99 6192</t>
  </si>
  <si>
    <t>LNR RKR7J00 0674</t>
  </si>
  <si>
    <t>LNR RKR7J01 1284</t>
  </si>
  <si>
    <t>LNR RKR7J02 2655</t>
  </si>
  <si>
    <t>LNR RKR7J03 3693</t>
  </si>
  <si>
    <t>LNR RKR7J04 2019</t>
  </si>
  <si>
    <t>LNR RKR7J21 9891</t>
  </si>
  <si>
    <t>LNR RKS7H19 8286</t>
  </si>
  <si>
    <t>LNR RKS7H20 5601</t>
  </si>
  <si>
    <t>LNR RKU4G06 1172</t>
  </si>
  <si>
    <t>LNR RKV4I01 4451</t>
  </si>
  <si>
    <t>LNR RKQ4G23 1701</t>
  </si>
  <si>
    <t>LNR RKV4I03 6109</t>
  </si>
  <si>
    <t>LNR RKV4I04 7803</t>
  </si>
  <si>
    <t>LNR RKV4I05 6729</t>
  </si>
  <si>
    <t>LNR RKV4I06 0482</t>
  </si>
  <si>
    <t>LNR RKV4I11 4195</t>
  </si>
  <si>
    <t>desvinculado 10/08</t>
  </si>
  <si>
    <t>LNR RKV4I12 4179</t>
  </si>
  <si>
    <t>LNR RKV4I13 1283</t>
  </si>
  <si>
    <t>LNR RKV4I14 6895</t>
  </si>
  <si>
    <t>LNR RKV4I15 3251</t>
  </si>
  <si>
    <t>LNR RKV4I16 0014</t>
  </si>
  <si>
    <t>LNR RKV4J43 6224</t>
  </si>
  <si>
    <t>LNR RKV4J44 5470</t>
  </si>
  <si>
    <t>LNR RKV4J46  9791</t>
  </si>
  <si>
    <t>LNR RKV4J48 2919</t>
  </si>
  <si>
    <t>LNR RKV4J49 9194</t>
  </si>
  <si>
    <t>LNR RKV4J50 7629</t>
  </si>
  <si>
    <t>LNR RKV4J51 0681</t>
  </si>
  <si>
    <t>LNR RKV7F91 3141</t>
  </si>
  <si>
    <t>LNR RKV9E79 5557</t>
  </si>
  <si>
    <t>LNR RKV9E80 0797</t>
  </si>
  <si>
    <t>LNR RKV9E81 0194</t>
  </si>
  <si>
    <t>LNR RKV9E82 3046</t>
  </si>
  <si>
    <t>LNR RKV9E83 4056</t>
  </si>
  <si>
    <t>LNR RKV9E84 4049</t>
  </si>
  <si>
    <t>LNR RKV9E85 9486</t>
  </si>
  <si>
    <t>LNR RKV9E86 3638</t>
  </si>
  <si>
    <t>LNR RKV9E87 4096</t>
  </si>
  <si>
    <t>LNR RKV9E88 1230</t>
  </si>
  <si>
    <t>LNR RKV9E89 1719</t>
  </si>
  <si>
    <t>LNR RKV9E90 9378</t>
  </si>
  <si>
    <t>LNR RKV9E91 5714</t>
  </si>
  <si>
    <t>LNR RKV9E92 3941</t>
  </si>
  <si>
    <t>LNR RKV9E93 6216</t>
  </si>
  <si>
    <t>LNR RKV9E94 0120</t>
  </si>
  <si>
    <t>LNR RKV9E95 6083</t>
  </si>
  <si>
    <t>LNR RKV9E96 5095</t>
  </si>
  <si>
    <t>LNR RKV9E97 0590</t>
  </si>
  <si>
    <t>LNR RKV9E98 9253</t>
  </si>
  <si>
    <t>LNR RKV9E99 3273</t>
  </si>
  <si>
    <t>LNR RQT5D91 6323</t>
  </si>
  <si>
    <t>LNR RQT5D94 7810</t>
  </si>
  <si>
    <t>LNR RQT5D98 7146</t>
  </si>
  <si>
    <t>LNR RQT5E78 9294</t>
  </si>
  <si>
    <t>LNR RQT5E82 0145</t>
  </si>
  <si>
    <t>LNR RQT5E84 1370</t>
  </si>
  <si>
    <t>LNR RQT5E89 1525</t>
  </si>
  <si>
    <t>LNR RQT8F10 9237</t>
  </si>
  <si>
    <t>LNR RQT8F16 3594</t>
  </si>
  <si>
    <t>LNR RQT9B72 8683</t>
  </si>
  <si>
    <t>LNR RQT9B89 6979</t>
  </si>
  <si>
    <t>LNR RQT9B93 5052</t>
  </si>
  <si>
    <t>LNR RQT9B98 3321</t>
  </si>
  <si>
    <t>LNR RQT9C01 6638</t>
  </si>
  <si>
    <t>LNR RJD6F24 5922</t>
  </si>
  <si>
    <t>LNR SGC1E72 2216</t>
  </si>
  <si>
    <t>LNR SGC1E76 6395</t>
  </si>
  <si>
    <t>LNR SGC1E92 8462</t>
  </si>
  <si>
    <t>LNR SGC1E93 6034</t>
  </si>
  <si>
    <t>LNR SGC1E97 2745</t>
  </si>
  <si>
    <t>LNR SGC1F05 3644</t>
  </si>
  <si>
    <t>LNR SGC5D24 1201</t>
  </si>
  <si>
    <t>LNR SGC5D25 9955</t>
  </si>
  <si>
    <t>LNR SGC5D26 5830</t>
  </si>
  <si>
    <t>LNR SGC5D27 6905</t>
  </si>
  <si>
    <t>LNR SGC5D28 4644</t>
  </si>
  <si>
    <t>LNR SGC5D29 3496</t>
  </si>
  <si>
    <t>LNR SGC5D30 1681</t>
  </si>
  <si>
    <t>Falha Freio 06/11/2025 - Reenvio de Config</t>
  </si>
  <si>
    <t>Falha Freio 18/09/2025 - Reenvio de Config</t>
  </si>
  <si>
    <t>LNR SGC5D32 0397</t>
  </si>
  <si>
    <t>LNR SGC5D33 2778</t>
  </si>
  <si>
    <t>LNR SGC5D34 6684</t>
  </si>
  <si>
    <t>LNR SGC5D35 5010</t>
  </si>
  <si>
    <t>LNR SGC5D36  6754</t>
  </si>
  <si>
    <t>LNR SGC5D37 8158</t>
  </si>
  <si>
    <t>LNR SGC5D38 3947</t>
  </si>
  <si>
    <t>LNR SGC5D39 0030</t>
  </si>
  <si>
    <t>LNR SGC5D40 6805</t>
  </si>
  <si>
    <t>LNR SGC5D41 6953</t>
  </si>
  <si>
    <t>LNR SGC5D42 1408</t>
  </si>
  <si>
    <t>LNR SGC5D43 2832</t>
  </si>
  <si>
    <t>LNR SGC5D45 7224</t>
  </si>
  <si>
    <t>LNR SGC5D46 3011</t>
  </si>
  <si>
    <t>LNR SGC5D47 6431</t>
  </si>
  <si>
    <t>LNR SGC5D48 7710</t>
  </si>
  <si>
    <t>LNR SGC5F43 2766</t>
  </si>
  <si>
    <t>LNR SGC5F45 8675</t>
  </si>
  <si>
    <t>LNR SGC6E93 7470</t>
  </si>
  <si>
    <t>LNR SGC6E95 5466</t>
  </si>
  <si>
    <t>LNR SGC6E96 3983</t>
  </si>
  <si>
    <t>LNR SGC6E99 0905</t>
  </si>
  <si>
    <t>LNR SGC6F00 2661</t>
  </si>
  <si>
    <t>LNR SGC7B04 6232</t>
  </si>
  <si>
    <t>LNR SGC7B35 7041</t>
  </si>
  <si>
    <t>LNR SGC7B36 8013</t>
  </si>
  <si>
    <t>LNR SGC7B38 1347</t>
  </si>
  <si>
    <t>LNR SGC7B39 4898</t>
  </si>
  <si>
    <t>LNR SGC7B40 5630</t>
  </si>
  <si>
    <t>LNR SGC7B44 1430</t>
  </si>
  <si>
    <t>LNR SGC7B45 8690</t>
  </si>
  <si>
    <t>LNR SGC7B46 4883</t>
  </si>
  <si>
    <t>LNR SGC7B88 4072</t>
  </si>
  <si>
    <t>LNR SGC7B90 5814</t>
  </si>
  <si>
    <t>LNR SGD6C08 8953</t>
  </si>
  <si>
    <t>LNR SGD6C10 6193</t>
  </si>
  <si>
    <t>LNR SGD6C11 7622</t>
  </si>
  <si>
    <t>LNR SGD6C12 8946</t>
  </si>
  <si>
    <t>LNR SGD6C13 3213</t>
  </si>
  <si>
    <t>LNR SGD6C14 5236</t>
  </si>
  <si>
    <t>LNR SGD6C15 1051</t>
  </si>
  <si>
    <t>LNR SGD6C16 0590</t>
  </si>
  <si>
    <t>LNR SGD6C17 5228</t>
  </si>
  <si>
    <t>LNR SGD6C18 0381</t>
  </si>
  <si>
    <t>LNR SGD6C19 1800</t>
  </si>
  <si>
    <t>LNR SGD6C20 5779</t>
  </si>
  <si>
    <t>LNR SGD6C21 4270</t>
  </si>
  <si>
    <t>LNR SGD6C22 3314</t>
  </si>
  <si>
    <t>LNR SGD6C25 1474</t>
  </si>
  <si>
    <t>LNR SGD6C26 8213</t>
  </si>
  <si>
    <t>LNR SGD6C27 6786</t>
  </si>
  <si>
    <t>LNR SGD6C28 3587</t>
  </si>
  <si>
    <t>LNR SGD6C29 5367</t>
  </si>
  <si>
    <t>LNR SGD6C30 6715</t>
  </si>
  <si>
    <t>LNR SGD6C31 4278</t>
  </si>
  <si>
    <t>LNR SGD6C32 7959</t>
  </si>
  <si>
    <t>LNR SGD6C33 2936</t>
  </si>
  <si>
    <t>LNR SGD6C34 5627</t>
  </si>
  <si>
    <t>LNR SGD6C35 9055</t>
  </si>
  <si>
    <t>LNR SGD6C36 9855</t>
  </si>
  <si>
    <t>LNR SGD6C37 6458</t>
  </si>
  <si>
    <t>LNR SGD6C38 8049</t>
  </si>
  <si>
    <t>LNR SGD6C39 1316</t>
  </si>
  <si>
    <t>LNR SGD6C40 5761</t>
  </si>
  <si>
    <t>LNR SGD6C41 5988</t>
  </si>
  <si>
    <t>LNR SGD6C42 1607</t>
  </si>
  <si>
    <t>LNR SGD6C43 5070</t>
  </si>
  <si>
    <t>LNR SGD6C44 4684</t>
  </si>
  <si>
    <t>LNR SGD6C45 0467</t>
  </si>
  <si>
    <t>LNR SGD6C46 5317</t>
  </si>
  <si>
    <t>LNR SGD6F91 0930</t>
  </si>
  <si>
    <t>LNR SGD6F92 1586</t>
  </si>
  <si>
    <t>LNR SGD6F93 5384</t>
  </si>
  <si>
    <t>LNR SGD6F94 5251</t>
  </si>
  <si>
    <t>LNR SGD6F95 1818</t>
  </si>
  <si>
    <t>LNR SII4I27 4544</t>
  </si>
  <si>
    <t>LNR SII4J13 0517</t>
  </si>
  <si>
    <t>LNR SII4J22 5953</t>
  </si>
  <si>
    <t>LNR SIJ2E72 3591</t>
  </si>
  <si>
    <t>LNR SIN3G04 8859</t>
  </si>
  <si>
    <t>LNR SIN3G19 4749</t>
  </si>
  <si>
    <t>LNR SIP6I79 0707</t>
  </si>
  <si>
    <t>LNR SQV1D58 1925</t>
  </si>
  <si>
    <t>LNR SQV1D59 7242</t>
  </si>
  <si>
    <t>LNR SQV1D60 6909</t>
  </si>
  <si>
    <t>LNR SQV1D61 2880</t>
  </si>
  <si>
    <t>LNR SQV1D62 4778</t>
  </si>
  <si>
    <t>LNR SQV1D63 6334</t>
  </si>
  <si>
    <t>LNR SQV1F21 4455</t>
  </si>
  <si>
    <t>LNR SQW0F90 4183</t>
  </si>
  <si>
    <t>LNR SQW2A23 7396</t>
  </si>
  <si>
    <t>LNR SQW2A24 7344</t>
  </si>
  <si>
    <t>LNR SQW2A25 3131</t>
  </si>
  <si>
    <t>LNR SQW5A59 4001</t>
  </si>
  <si>
    <t>LNR SQX1C22 0590</t>
  </si>
  <si>
    <t>LNR SQX1C23 4344</t>
  </si>
  <si>
    <t>LNR SQX1C24 9871</t>
  </si>
  <si>
    <t>LNR SQX1C25 5482</t>
  </si>
  <si>
    <t>Falha Freio 23/10/2025 - Reenvio de Config</t>
  </si>
  <si>
    <t>LNR SQY0H63 4485</t>
  </si>
  <si>
    <t>LNR SQY0H65 4800</t>
  </si>
  <si>
    <t>LNR SQY3H55 2914</t>
  </si>
  <si>
    <t>LNR SQY3H56 2671</t>
  </si>
  <si>
    <t>LNR SQY3H57 6764</t>
  </si>
  <si>
    <t>LNR SQY3H58 8872</t>
  </si>
  <si>
    <t>LNR SQY6E24 3816</t>
  </si>
  <si>
    <t>LNR SQZ2J60 3367</t>
  </si>
  <si>
    <t>LNR SQZ9C70 4803</t>
  </si>
  <si>
    <t>LNR SQZ9C71 1007</t>
  </si>
  <si>
    <t>LNR SQZ9C72 8042</t>
  </si>
  <si>
    <t>LNR SQZ9C73 3224</t>
  </si>
  <si>
    <t>LNR SQZ9C74 8588</t>
  </si>
  <si>
    <t>LNR SQZ9C75 0901</t>
  </si>
  <si>
    <t>LNR SQZ9C76 7507</t>
  </si>
  <si>
    <t>LNR SQZ9C77 8141</t>
  </si>
  <si>
    <t>LNR SQZ9C78 3915</t>
  </si>
  <si>
    <t>LNR SRA2D10 5759</t>
  </si>
  <si>
    <t>LNR SRA2D13 6201</t>
  </si>
  <si>
    <t>LNR SRA2D14 0319</t>
  </si>
  <si>
    <t>LNR SRA7I07 2779</t>
  </si>
  <si>
    <t>LNR SRA7I08 0772</t>
  </si>
  <si>
    <t>LNR SRA7I09 4666</t>
  </si>
  <si>
    <t>LNR SRA7I10 5376</t>
  </si>
  <si>
    <t>LNR SRA7I11 9675</t>
  </si>
  <si>
    <t>LNR SRB3H39 9905</t>
  </si>
  <si>
    <t>LNR SRB3H40 2927</t>
  </si>
  <si>
    <t>LNR SRB3H41 3925</t>
  </si>
  <si>
    <t>LNR SRB3H42 3067</t>
  </si>
  <si>
    <t>LNR SRC9E23 1049</t>
  </si>
  <si>
    <t>LNR SRC9E24 2446</t>
  </si>
  <si>
    <t>LNR SRC9E25 5736</t>
  </si>
  <si>
    <t>LNR SRC9E26 9417</t>
  </si>
  <si>
    <t>LNR SRC9E27 6505</t>
  </si>
  <si>
    <t>LNR SRC9E30 6416</t>
  </si>
  <si>
    <t>LNR SRC9E31 1222</t>
  </si>
  <si>
    <t>LNR SRC9E32 3301</t>
  </si>
  <si>
    <t>LNR SRC9E36 9633</t>
  </si>
  <si>
    <t>LNR SRC9E37 5515</t>
  </si>
  <si>
    <t>LNR SRC9E38 6182</t>
  </si>
  <si>
    <t>LNR SRC9E39 5129</t>
  </si>
  <si>
    <t>LNR SRC9E40 9106</t>
  </si>
  <si>
    <t>LNR SRC9E41 9130</t>
  </si>
  <si>
    <t>LNR SRC9E42 8842</t>
  </si>
  <si>
    <t>LNR SRC9E43 1305</t>
  </si>
  <si>
    <t>LNR SRD2G56 5994</t>
  </si>
  <si>
    <t>LNR SRD2G57 8767</t>
  </si>
  <si>
    <t>LNR SRE2F07 6889</t>
  </si>
  <si>
    <t>LNR SRE2F08 2351</t>
  </si>
  <si>
    <t>LNR SRE2F09 4688</t>
  </si>
  <si>
    <t>LNR SRE2F10 7531</t>
  </si>
  <si>
    <t>LNR SRE2F11 7614</t>
  </si>
  <si>
    <t>LNR SRE2F12 2005</t>
  </si>
  <si>
    <t>LNR SRE2F13 6692</t>
  </si>
  <si>
    <t>LNR SRE2F14 0672</t>
  </si>
  <si>
    <t>LNR SRE2F15 8635</t>
  </si>
  <si>
    <t>LNR SRE2F16 9989</t>
  </si>
  <si>
    <t>LNR SRE2F17 6593</t>
  </si>
  <si>
    <t>LNR SRE2F19 5815</t>
  </si>
  <si>
    <t>LNR SRE9H76 3083</t>
  </si>
  <si>
    <t>LNR SRE9H77 5607</t>
  </si>
  <si>
    <t>LNR SRF0D12 6927</t>
  </si>
  <si>
    <t>LNR SRG8B93 0926</t>
  </si>
  <si>
    <t>LNR SRG8B94 0913</t>
  </si>
  <si>
    <t>LNR SRG9G36 7770</t>
  </si>
  <si>
    <t>LNR SRG9G37 1354</t>
  </si>
  <si>
    <t>LNR SRG9G38 9386</t>
  </si>
  <si>
    <t>LNR SRG9G39 2066</t>
  </si>
  <si>
    <t>LNR SRG9G40 0483</t>
  </si>
  <si>
    <t>LNR SRG9G41 5341</t>
  </si>
  <si>
    <t>LNR SRH0E45 5188</t>
  </si>
  <si>
    <t>LNR SRH3C61 0836</t>
  </si>
  <si>
    <t>LNR SRH3C62 3045</t>
  </si>
  <si>
    <t>LNR SRH5B04 0782</t>
  </si>
  <si>
    <t>LNR SRH5C48 2423</t>
  </si>
  <si>
    <t>LNR SRH5J00 9601</t>
  </si>
  <si>
    <t>LNR SRH5J01 7294</t>
  </si>
  <si>
    <t>LNR SRH7E84 1002</t>
  </si>
  <si>
    <t>LNR SRH7E86 4211</t>
  </si>
  <si>
    <t>LNR SRH9J81 4586</t>
  </si>
  <si>
    <t>LNR SRI1B83 3111</t>
  </si>
  <si>
    <t>LNR SRI1B84 6738</t>
  </si>
  <si>
    <t>LNR SRI7G33 9170</t>
  </si>
  <si>
    <t>LNR SRI8G72 7398</t>
  </si>
  <si>
    <t>LNR SRI8G73 2779</t>
  </si>
  <si>
    <t>LNR SRI8G74 2125</t>
  </si>
  <si>
    <t>LNR SRI8G75 4732</t>
  </si>
  <si>
    <t>LNR SRJ1F86 5664</t>
  </si>
  <si>
    <t>LNR SRJ3H91 8470</t>
  </si>
  <si>
    <t>LNR SRJ3H92  3938</t>
  </si>
  <si>
    <t>LNR SRJ3H93 2831</t>
  </si>
  <si>
    <t>LNR SRJ3H94 4159</t>
  </si>
  <si>
    <t>LNR SRJ5J96 6464</t>
  </si>
  <si>
    <t>LNR SRJ5J97 4112</t>
  </si>
  <si>
    <t>LNR SRJ5J98 6902</t>
  </si>
  <si>
    <t>LNR SRJ7G83 3923</t>
  </si>
  <si>
    <t>LNR SRJ7G84 8601</t>
  </si>
  <si>
    <t>LNR SRK5D84 8055</t>
  </si>
  <si>
    <t>LNR SRL3C54 3698</t>
  </si>
  <si>
    <t>LNR SRL7E86 3000</t>
  </si>
  <si>
    <t>LNR SRL7E87 5614</t>
  </si>
  <si>
    <t>LNR SRL8F70 3542</t>
  </si>
  <si>
    <t>LNR SRM1B98 4486</t>
  </si>
  <si>
    <t>LNR SRM1B99 6803</t>
  </si>
  <si>
    <t>LNR SRM1C01 5676</t>
  </si>
  <si>
    <t>LNR SRM1C02 4494</t>
  </si>
  <si>
    <t>LNR SRM3D71 4852</t>
  </si>
  <si>
    <t>LNR SRM4I42 5244</t>
  </si>
  <si>
    <t>LNR SRM5E57 4915</t>
  </si>
  <si>
    <t>LNR SRM5E58 7589</t>
  </si>
  <si>
    <t>LNR SRM7I99 5692</t>
  </si>
  <si>
    <t>LNR SRM9A35 6851</t>
  </si>
  <si>
    <t>LNR SRM9A37 4550</t>
  </si>
  <si>
    <t>LNR SRM9A38 4833</t>
  </si>
  <si>
    <t>LNR SRN0E88 8331</t>
  </si>
  <si>
    <t>LNR SRN3D51 0702</t>
  </si>
  <si>
    <t>LNR SRN7E66 3842</t>
  </si>
  <si>
    <t>LNR SRN8E71 1621</t>
  </si>
  <si>
    <t>LNR SRO1D17 8900</t>
  </si>
  <si>
    <t>LNR SRO3C60 8950</t>
  </si>
  <si>
    <t>LNR SRO4F64 8471</t>
  </si>
  <si>
    <t>LNR SRO4F65 5668</t>
  </si>
  <si>
    <t>LNR SRO4F66 4696</t>
  </si>
  <si>
    <t>LNR SRO4F67 5716</t>
  </si>
  <si>
    <t>LNR SRO4F68 7473</t>
  </si>
  <si>
    <t>LNR SRO4F69 2625</t>
  </si>
  <si>
    <t>LNR SRO4F70 3870</t>
  </si>
  <si>
    <t>LNR SRO4F71 1129</t>
  </si>
  <si>
    <t>LNR SRO5B94 6499</t>
  </si>
  <si>
    <t>LNR SRO7E64 1481</t>
  </si>
  <si>
    <t>LNR SRP1C03 6789</t>
  </si>
  <si>
    <t>LNR SRP7G71 3664</t>
  </si>
  <si>
    <t>LNR SRP7G72 4329</t>
  </si>
  <si>
    <t>LNR SRP8H84 8646</t>
  </si>
  <si>
    <t>LNR SRP8H88 1836</t>
  </si>
  <si>
    <t>LNR SRP8H89 6037</t>
  </si>
  <si>
    <t>LNR SRQ3A54 5333</t>
  </si>
  <si>
    <t>LNR SRQ6H43 6045</t>
  </si>
  <si>
    <t>LNR SRQ6H44 0896</t>
  </si>
  <si>
    <t>LNR SRQ6H45 5087</t>
  </si>
  <si>
    <t>LNR SRQ6H46 7934</t>
  </si>
  <si>
    <t>LNR SRQ6H47 3277</t>
  </si>
  <si>
    <t>LNR SRQ6H88 4931</t>
  </si>
  <si>
    <t>LNR SRQ6H89 5440</t>
  </si>
  <si>
    <t>LNR SRQ6H90 4205</t>
  </si>
  <si>
    <t>LNR SRQ6H91 2637</t>
  </si>
  <si>
    <t>LNR SRQ6H92 8916</t>
  </si>
  <si>
    <t>LNR SRQ6H93 2704</t>
  </si>
  <si>
    <t>LNR SRQ6H96 4857</t>
  </si>
  <si>
    <t>LNR SRQ6I00 7851</t>
  </si>
  <si>
    <t>LNR SRQ6I03 2100</t>
  </si>
  <si>
    <t>LNR SRQ6I05 0868</t>
  </si>
  <si>
    <t>LNR SRS0A70 6606</t>
  </si>
  <si>
    <t>LNR SRU3A77 8406</t>
  </si>
  <si>
    <t>LNR SRU6I19 1803</t>
  </si>
  <si>
    <t>LNR SRU6I20 3676</t>
  </si>
  <si>
    <t>LNR SRU6I20 9111</t>
  </si>
  <si>
    <t>LNR SRU8E25 5218</t>
  </si>
  <si>
    <t>LNR SRV0D81 8995</t>
  </si>
  <si>
    <t>LNR SRV0D82 4021</t>
  </si>
  <si>
    <t>LNR SRV0D83 1072</t>
  </si>
  <si>
    <t>LNR SRV0D84 3352</t>
  </si>
  <si>
    <t>LNR SRV7B83 4452</t>
  </si>
  <si>
    <t>LNR SRV7B85 8826</t>
  </si>
  <si>
    <t>LNR SRV7B87 0210</t>
  </si>
  <si>
    <t>LNR SRV7B88 5996</t>
  </si>
  <si>
    <t>LNR SRV7B89 5689</t>
  </si>
  <si>
    <t>LNR SRV7B90 4775</t>
  </si>
  <si>
    <t>LNR SRV7B91 6957</t>
  </si>
  <si>
    <t>LNR SRX9C48 4661</t>
  </si>
  <si>
    <t>LNR SRX9C49 0810</t>
  </si>
  <si>
    <t>LNR SRX9C50 8263</t>
  </si>
  <si>
    <t>LNR SRX9C51 1355</t>
  </si>
  <si>
    <t>LNR SRX9C52 6221</t>
  </si>
  <si>
    <t>LNR SRX9C53 3040</t>
  </si>
  <si>
    <t>LNR SRX9C56 4562</t>
  </si>
  <si>
    <t>LNR SRX9C57 4930</t>
  </si>
  <si>
    <t>LNR SRX9D28 6938</t>
  </si>
  <si>
    <t>LNR SRY1J63 7279</t>
  </si>
  <si>
    <t>LNR SRZ4A66 0756</t>
  </si>
  <si>
    <t>LNR SRZ4A67 9129</t>
  </si>
  <si>
    <t>LNR SRZ4A68 3475</t>
  </si>
  <si>
    <t>LNR SRZ4A69 0696</t>
  </si>
  <si>
    <t>LNR SSA2A10 2721</t>
  </si>
  <si>
    <t>LNR SSA2A11 5203</t>
  </si>
  <si>
    <t>LNR SSA2A12 8818</t>
  </si>
  <si>
    <t>LNR SSA2A13 8552</t>
  </si>
  <si>
    <t>LNR SSA2A14 1982</t>
  </si>
  <si>
    <t>LNR SSA2A15 0441</t>
  </si>
  <si>
    <t>LNR SSA2A16 7356</t>
  </si>
  <si>
    <t>LNR SSA2A39 3545</t>
  </si>
  <si>
    <t>LNR SSA2A44 9633</t>
  </si>
  <si>
    <t>LNR SSA2A48 6623</t>
  </si>
  <si>
    <t>LNR SSA2A49 4441</t>
  </si>
  <si>
    <t>LNR SSA2A50 7134</t>
  </si>
  <si>
    <t>LNR SSA2A52 7809</t>
  </si>
  <si>
    <t>LNR SSA2A53 6156</t>
  </si>
  <si>
    <t>LNR SSA2A56 7214</t>
  </si>
  <si>
    <t>LNR SSA2A57 1404</t>
  </si>
  <si>
    <t>LNR SSB1C61 5659</t>
  </si>
  <si>
    <t>LNR SSB1C62 2794</t>
  </si>
  <si>
    <t>LNR SSB2A38 7825</t>
  </si>
  <si>
    <t>LNR SSB2A39 8829</t>
  </si>
  <si>
    <t>LNR SSB2A40 0231</t>
  </si>
  <si>
    <t>LNR SSB2A41 0388</t>
  </si>
  <si>
    <t>LNR SSB2A42 7482</t>
  </si>
  <si>
    <t>LNR SSB9J68 9060</t>
  </si>
  <si>
    <t>LNR SSB9J69 6091</t>
  </si>
  <si>
    <t>LNR SSB9J70 7172</t>
  </si>
  <si>
    <t>LNR SSB9J72 3420</t>
  </si>
  <si>
    <t>LNR SSB9J73 6562</t>
  </si>
  <si>
    <t>LNR SSB9J74 3932</t>
  </si>
  <si>
    <t>LNR SSB9J75 2922</t>
  </si>
  <si>
    <t>LNR SSB9J76 2928</t>
  </si>
  <si>
    <t>LNR SSB9J86 2782</t>
  </si>
  <si>
    <t>LNR SSB9J87 5475</t>
  </si>
  <si>
    <t>LNR SSB9J88 4247</t>
  </si>
  <si>
    <t>LNR SSD7I54 8816</t>
  </si>
  <si>
    <t>LNR SSD7I55 4684</t>
  </si>
  <si>
    <t>LNR SSD7I56 6778</t>
  </si>
  <si>
    <t>LNR SSD7I57 4500</t>
  </si>
  <si>
    <t>LNR SSD7I58 9251</t>
  </si>
  <si>
    <t>LNR SSE3I73 8021</t>
  </si>
  <si>
    <t>LNR SSE6E15 7001</t>
  </si>
  <si>
    <t>LNR SSE6H07 1867</t>
  </si>
  <si>
    <t>LNR SSE7I54 1582</t>
  </si>
  <si>
    <t>LNR SSE7I55 7112</t>
  </si>
  <si>
    <t>LNR SSE7I56 0665</t>
  </si>
  <si>
    <t>LNR STE5C93 4882</t>
  </si>
  <si>
    <t>LNR STG8H24 4385</t>
  </si>
  <si>
    <t>LNR STZ2E38 7627</t>
  </si>
  <si>
    <t>Falha Painel - 11/11/1972 Reenvio de Config</t>
  </si>
  <si>
    <t>LNR SUF3C17 2968</t>
  </si>
  <si>
    <t>LNR SUM7J65 5490</t>
  </si>
  <si>
    <t>LNR SUR8D90 4998</t>
  </si>
  <si>
    <t>LNR SUW4E91 3216</t>
  </si>
  <si>
    <t>LNR SUW5F74 0301</t>
  </si>
  <si>
    <t>LNR SUX5A33 5887</t>
  </si>
  <si>
    <t>LNR SUZ2D26 9849</t>
  </si>
  <si>
    <t>LNR SVE7C52 6159</t>
  </si>
  <si>
    <t>LNR SVG1B40 5523</t>
  </si>
  <si>
    <t>LNR SVJ6D78 5389</t>
  </si>
  <si>
    <t>LNR SVL9E35 7750</t>
  </si>
  <si>
    <t>LNR SVS6B20 7495</t>
  </si>
  <si>
    <t>LNR SVS8C73 2563</t>
  </si>
  <si>
    <t>LNR SVW1E31 5045</t>
  </si>
  <si>
    <t>LNR SVW8J56 1422</t>
  </si>
  <si>
    <t>LNR SVX5C76 5465</t>
  </si>
  <si>
    <t>LNR SWC8J17 4917</t>
  </si>
  <si>
    <t>LNR SWK0C38 2091</t>
  </si>
  <si>
    <t>LNR SWM3H51 9510</t>
  </si>
  <si>
    <t>LNR SWO6A29 3893</t>
  </si>
  <si>
    <t>LNR SWP8J85 3362</t>
  </si>
  <si>
    <t>LNR SWQ8G19 5549</t>
  </si>
  <si>
    <t>LNR SWS4I87 5176</t>
  </si>
  <si>
    <t>LNR SWT4F15 5335</t>
  </si>
  <si>
    <t>LNR SWY8E56 3454</t>
  </si>
  <si>
    <t>LNR TCC5C05 4502</t>
  </si>
  <si>
    <t>LNR TTA0J80 8724</t>
  </si>
  <si>
    <t>LNR TTA0J81 9590</t>
  </si>
  <si>
    <t>LNR TTA0J82 5755</t>
  </si>
  <si>
    <t>LNR TTA1G49 0616</t>
  </si>
  <si>
    <t>LNR TTA1G50 2935</t>
  </si>
  <si>
    <t>LNR TTA1G51 2823</t>
  </si>
  <si>
    <t>LNR TTA2C19 4304</t>
  </si>
  <si>
    <t>LNR TTA2C20 5284</t>
  </si>
  <si>
    <t>LNR TTB0J87 9684</t>
  </si>
  <si>
    <t>LNR TTB0J88 6835</t>
  </si>
  <si>
    <t>LNR TTB0J89 3124</t>
  </si>
  <si>
    <t>LNR TTB1J54 8955</t>
  </si>
  <si>
    <t>LNR TTB1J55 4427</t>
  </si>
  <si>
    <t>LNR TTB4A45 6539</t>
  </si>
  <si>
    <t>LNR TTB4A46 6127</t>
  </si>
  <si>
    <t>LNR TTC0F62 7770</t>
  </si>
  <si>
    <t>LNR TTC0F64 7450</t>
  </si>
  <si>
    <t>LNR TTC1F60 1455</t>
  </si>
  <si>
    <t>LNR TTC1F61 8609</t>
  </si>
  <si>
    <t>LNR TTC1F65 5196</t>
  </si>
  <si>
    <t>LNR TTD0E77 4774</t>
  </si>
  <si>
    <t>LNR TTD0E78 4435</t>
  </si>
  <si>
    <t>LNR TTD0E79 7443</t>
  </si>
  <si>
    <t>LNR TTD1E73 3041</t>
  </si>
  <si>
    <t>LNR TTD1E74 0392</t>
  </si>
  <si>
    <t>LNR TTD1E76 3219</t>
  </si>
  <si>
    <t>LNR TTD1E78 4637</t>
  </si>
  <si>
    <t>LNR TTD4H08 3218</t>
  </si>
  <si>
    <t>LNR TTE0A97 4842</t>
  </si>
  <si>
    <t>LNR TTE0I00 0765</t>
  </si>
  <si>
    <t>LNR TTE0I02 6175</t>
  </si>
  <si>
    <t>LNR TTE0I04 6803</t>
  </si>
  <si>
    <t>LNR TTE0I06 4654</t>
  </si>
  <si>
    <t>LNR TTE0I07 7877</t>
  </si>
  <si>
    <t>LNR TTE4H94 6787</t>
  </si>
  <si>
    <t>LNR TTF4A65 4668</t>
  </si>
  <si>
    <t>LNR TTF4A66 5408</t>
  </si>
  <si>
    <t>LNR TTF4A67 5556</t>
  </si>
  <si>
    <t>LNR TTF4A68 7302</t>
  </si>
  <si>
    <t>LNR TTG1F80 2041</t>
  </si>
  <si>
    <t>LNR TTG1F81 3913</t>
  </si>
  <si>
    <t>LNR TTG5A28 8758</t>
  </si>
  <si>
    <t>LNR TTG5A29 8774</t>
  </si>
  <si>
    <t>LNR TTG5A30 1051</t>
  </si>
  <si>
    <t>LNR TTG7C83 9628</t>
  </si>
  <si>
    <t>LNR TTH1E36 7187</t>
  </si>
  <si>
    <t>LNR TTH2E22 3202</t>
  </si>
  <si>
    <t>LNR TTH4I38 5920</t>
  </si>
  <si>
    <t>LNR TTH7B39 7367</t>
  </si>
  <si>
    <t>LNR TTI1D27 9971</t>
  </si>
  <si>
    <t>MHM SRT2I17 4380</t>
  </si>
  <si>
    <t>MHM</t>
  </si>
  <si>
    <t>PTNR SYL1B85 7417</t>
  </si>
  <si>
    <t>RD RUU1G19 4570</t>
  </si>
  <si>
    <t>RD SYS3B88 9991</t>
  </si>
  <si>
    <t>TKP GAL6D04 0426</t>
  </si>
  <si>
    <t>TKP FMZ8G46 9289</t>
  </si>
  <si>
    <t>TKP FWF6A05 5641</t>
  </si>
  <si>
    <t>TKP GAA7F47 2868</t>
  </si>
  <si>
    <t>TKP GGW8C27 7867</t>
  </si>
  <si>
    <t>TKP GHF6G58 5697</t>
  </si>
  <si>
    <t>TKP GIL7F26 3114</t>
  </si>
  <si>
    <t>TKP GJL2B32 0350</t>
  </si>
  <si>
    <t>TKP GJV3D96 3049</t>
  </si>
  <si>
    <t>TKP PJN0F39 7124</t>
  </si>
  <si>
    <t>TKP SVI0B81 8701</t>
  </si>
  <si>
    <t>TKP TKI4C93 8446</t>
  </si>
  <si>
    <t>TKP TKJ3C17 3477</t>
  </si>
  <si>
    <t>RLR RNP6H01 4458</t>
  </si>
  <si>
    <t>APR TYK2F86 1115</t>
  </si>
  <si>
    <t>TPN GCV2362 0506</t>
  </si>
  <si>
    <t>TSA LMV1F18 VOLVO-21- 4134</t>
  </si>
  <si>
    <t>RLR RVQ5I53 6140</t>
  </si>
  <si>
    <t>TSA LUE3H10 VOLVO-21- 7691</t>
  </si>
  <si>
    <t>TSA RJT2I42 VOLVO-21- 4092</t>
  </si>
  <si>
    <t>HCV5 NEILOR 6230</t>
  </si>
  <si>
    <t>Teste Bancada</t>
  </si>
  <si>
    <t>TESTE NEILOR GLOBAL HCV5</t>
  </si>
  <si>
    <t>CIVIC-HCV5-FACSS-2024-V1</t>
  </si>
  <si>
    <t>TESTE MEU</t>
  </si>
  <si>
    <t>FMM650 NEILOR 8126</t>
  </si>
  <si>
    <t>MATRIZ FUNCIONANDO 5253</t>
  </si>
  <si>
    <t>LNR TTT5B69 3784</t>
  </si>
  <si>
    <t>MATRIZ FUNCIONANDO 3975</t>
  </si>
  <si>
    <t>MATRIZ FUNCIONANDO 7565</t>
  </si>
  <si>
    <t>Gabriel Rocha</t>
  </si>
  <si>
    <t>Esse módulo esta com Gabriel</t>
  </si>
  <si>
    <t>LNR TTI4F72 9872</t>
  </si>
  <si>
    <t>863251073930674 TELTONIKA</t>
  </si>
  <si>
    <t>APR RVQ1H84 0467</t>
  </si>
  <si>
    <t>P&amp;W TYJ7C50 9913</t>
  </si>
  <si>
    <t>LNR ENG5C15 8311</t>
  </si>
  <si>
    <t>Falta subir</t>
  </si>
  <si>
    <t>LNR TTI4F73 2241</t>
  </si>
  <si>
    <t>LNR LUC8A33 6053</t>
  </si>
  <si>
    <t>LNR TTP3J04 7121</t>
  </si>
  <si>
    <t>LNR TTA3G79 9429</t>
  </si>
  <si>
    <t>LNR TTA3G82 2840</t>
  </si>
  <si>
    <t>LNR TTI4H99 6240</t>
  </si>
  <si>
    <t>LNR TTJ0B93 6368</t>
  </si>
  <si>
    <t>LNR TTJ0F74 3194</t>
  </si>
  <si>
    <t>LNR TTJ0F75 6325</t>
  </si>
  <si>
    <t>LNR TTK0F48 5847</t>
  </si>
  <si>
    <t>LNR TTK0I53 5565</t>
  </si>
  <si>
    <t>LNR TTK0I54 2852</t>
  </si>
  <si>
    <t>LNR TTN0B77 5938</t>
  </si>
  <si>
    <t>LNR TTO0B55 5623</t>
  </si>
  <si>
    <t>LNR TTO1C61 9822</t>
  </si>
  <si>
    <t>LNR TTO1C62 2305</t>
  </si>
  <si>
    <t>LNR TTQ1B60 7339</t>
  </si>
  <si>
    <t>LNR TTQ1B61 3722</t>
  </si>
  <si>
    <t>LNR TTQ1H03 8776</t>
  </si>
  <si>
    <t>LNR TTR0F61 6059</t>
  </si>
  <si>
    <t>LNR TTR2A47 0128</t>
  </si>
  <si>
    <t>LNR TTT0F24 4443</t>
  </si>
  <si>
    <t>LNR TTU0J42 2639</t>
  </si>
  <si>
    <t>LNR TTU0J43 6769</t>
  </si>
  <si>
    <t>LNR TTU0J44 5821</t>
  </si>
  <si>
    <t>LNR TTW0A92 3758</t>
  </si>
  <si>
    <t>LNR TTY0A82 0442</t>
  </si>
  <si>
    <t>LNR TTY0B70 9834</t>
  </si>
  <si>
    <t>LNR TTY1C79 0541</t>
  </si>
  <si>
    <t>LNR TTY1C80 2914</t>
  </si>
  <si>
    <t>LNR TTY1C81 0341</t>
  </si>
  <si>
    <t>LNR TTY1C82 5780</t>
  </si>
  <si>
    <t>EMF TKD8B17 2867</t>
  </si>
  <si>
    <t>LNR TTZ1G47 5186</t>
  </si>
  <si>
    <t>LNR TUA1B59 7208</t>
  </si>
  <si>
    <t>LNR TUA1B60 5930</t>
  </si>
  <si>
    <t>LNR TUD0B91 0931</t>
  </si>
  <si>
    <t xml:space="preserve">S-WAY 480-6X2 </t>
  </si>
  <si>
    <t>LNR TUE0I40 5512</t>
  </si>
  <si>
    <t>LNR TUE0I41 9145</t>
  </si>
  <si>
    <t>LNR TUE0I43 6471</t>
  </si>
  <si>
    <t>LNR TUE1H38 2831</t>
  </si>
  <si>
    <t>SINISTRO</t>
  </si>
  <si>
    <t>LNR TUG0B02 4420</t>
  </si>
  <si>
    <t>LNR TUH0B84 9368</t>
  </si>
  <si>
    <t>LNR TUI0B13 9923</t>
  </si>
  <si>
    <t>LNR TUI0C00 5640</t>
  </si>
  <si>
    <t>LNR TUI0I63 5366</t>
  </si>
  <si>
    <t>LNR TUI1C93 8511</t>
  </si>
  <si>
    <t>LNR TUI1C95 4006</t>
  </si>
  <si>
    <t>LNR TUI1G65 9188</t>
  </si>
  <si>
    <t>LNR TUK1B74 3834</t>
  </si>
  <si>
    <t>LNR SRQ6H94 3451</t>
  </si>
  <si>
    <t>Falha Freio 21/11/2025 - Reenvio de Config</t>
  </si>
  <si>
    <t>LNR TUK1B75 2548</t>
  </si>
  <si>
    <t>LNR TUN0B70 1798</t>
  </si>
  <si>
    <t>LNR TUQ0A86 5914</t>
  </si>
  <si>
    <t>LNR TUQ0F54 7203</t>
  </si>
  <si>
    <t>LNR TUR0B68 6432</t>
  </si>
  <si>
    <t>LNR TUR0F57 6530</t>
  </si>
  <si>
    <t>LNR TUS0A94 5179</t>
  </si>
  <si>
    <t>LNR TUS0B90 2894</t>
  </si>
  <si>
    <t>LNR TUU1B61 9683</t>
  </si>
  <si>
    <t>LNR TUU1B62 4844</t>
  </si>
  <si>
    <t>LNR TUX0B77 5139</t>
  </si>
  <si>
    <t>TUX0B77</t>
  </si>
  <si>
    <t>LNR GHA7H54 0421</t>
  </si>
  <si>
    <t>I/SCANIA R 410 A6X2NA</t>
  </si>
  <si>
    <t>LNR GIT7C28 0814</t>
  </si>
  <si>
    <t xml:space="preserve">R 410 A6X2NA </t>
  </si>
  <si>
    <t>Bateria danificada</t>
  </si>
  <si>
    <t>TBR SIM7H79 7504</t>
  </si>
  <si>
    <t>P&amp;W SYA3G86 7890</t>
  </si>
  <si>
    <t>APR TZV6F47 3045</t>
  </si>
  <si>
    <t>APR UAC0E02 3410</t>
  </si>
  <si>
    <t>APR UAC0E05 3249</t>
  </si>
  <si>
    <t>APR TZV8F19 8553</t>
  </si>
  <si>
    <t>APR APR8054 7544</t>
  </si>
  <si>
    <t>APR 638054 9434</t>
  </si>
  <si>
    <t>APR TZX1J19 6486</t>
  </si>
  <si>
    <t>APR TZX2B31 2651</t>
  </si>
  <si>
    <t>APR TZW8E34 2275</t>
  </si>
  <si>
    <t>P&amp;W HFL0H66 2360</t>
  </si>
  <si>
    <t>LNR SSE3I74 9294</t>
  </si>
  <si>
    <t>APR TZY8D34 7158</t>
  </si>
  <si>
    <t>APR TZY5H56 4063</t>
  </si>
  <si>
    <t>LNR TTE0I01 9709</t>
  </si>
  <si>
    <t>P&amp;W SYV6E72 7330</t>
  </si>
  <si>
    <t>APR TZY0C13 7578</t>
  </si>
  <si>
    <t>APR UAD3B83 5541</t>
  </si>
  <si>
    <t>LNR SGD6F84 3693</t>
  </si>
  <si>
    <t>LNR TTS0F79 3917</t>
  </si>
  <si>
    <t>LNR TTH4I39 7435</t>
  </si>
  <si>
    <t>LNR RKI5C02 4765</t>
  </si>
  <si>
    <t>EXT QQM6C80 1999</t>
  </si>
  <si>
    <t>LNR RFU5F67 0997</t>
  </si>
  <si>
    <t>LNR RJD6F35 1888</t>
  </si>
  <si>
    <t>APR TYK2F55 5334</t>
  </si>
  <si>
    <t>JAF TEJ0D28 3566</t>
  </si>
  <si>
    <t>P&amp;W RFK5F51 9557</t>
  </si>
  <si>
    <t>FH 460 6X4T</t>
  </si>
  <si>
    <t>P&amp;W RVR2A34 7117</t>
  </si>
  <si>
    <t>FH 540 6X4T SUSP</t>
  </si>
  <si>
    <t>P&amp;W RVR2B72 5258</t>
  </si>
  <si>
    <t>P&amp;W GED4G14 4699</t>
  </si>
  <si>
    <t>P&amp;W RVP7J07 7519</t>
  </si>
  <si>
    <t>P&amp;W TXD6B04 9379</t>
  </si>
  <si>
    <t>P&amp;W QNX0469 8088</t>
  </si>
  <si>
    <t>P&amp;W SIK2E82 8391</t>
  </si>
  <si>
    <t>P&amp;W SIA1D91 5311</t>
  </si>
  <si>
    <t>P&amp;W SIK7G74 0178</t>
  </si>
  <si>
    <t>P&amp;W TXM9I01 8519</t>
  </si>
  <si>
    <t>P&amp;W TCR5E17 6777</t>
  </si>
  <si>
    <t>P&amp;W UPY1F20 7096</t>
  </si>
  <si>
    <t>P&amp;W TYJ1J45 2403</t>
  </si>
  <si>
    <t>P&amp;W RFJ9I13 8039</t>
  </si>
  <si>
    <t>P&amp;W RFK5F49 5795</t>
  </si>
  <si>
    <t>P&amp;W GFF6D46 6759</t>
  </si>
  <si>
    <t>P&amp;W RMX5B19 4193</t>
  </si>
  <si>
    <t>APR UAC0E09 6522</t>
  </si>
  <si>
    <t>P&amp;W GAE2G22 3647</t>
  </si>
  <si>
    <t>RLR 4113203 7158</t>
  </si>
  <si>
    <t>P&amp;W TYU4G88 8239</t>
  </si>
  <si>
    <t>P&amp;W RVF9C70 5708</t>
  </si>
  <si>
    <t>P&amp;W SIA0E21 7189</t>
  </si>
  <si>
    <t>P&amp;W RVZ0J04 1867</t>
  </si>
  <si>
    <t>P&amp;W GCN0F56 9807</t>
  </si>
  <si>
    <t>P&amp;W SYA4C63 2960</t>
  </si>
  <si>
    <t>P&amp;W TXK5E52 6786</t>
  </si>
  <si>
    <t>P&amp;W SHU5C30 5294</t>
  </si>
  <si>
    <t>P&amp;W QNX0470 5184</t>
  </si>
  <si>
    <t>P&amp;W FUB9C12 0445</t>
  </si>
  <si>
    <t>P&amp;W RVO7J63 1792</t>
  </si>
  <si>
    <t>P&amp;W GCN2C14 6250</t>
  </si>
  <si>
    <t>P&amp;W RFK5F56 2551</t>
  </si>
  <si>
    <t>P&amp;W TDH5G13 6676</t>
  </si>
  <si>
    <t>P&amp;W TEM7J90 9112</t>
  </si>
  <si>
    <t>P&amp;W SHY2E91 8179</t>
  </si>
  <si>
    <t>P&amp;W TYN6J49 6033</t>
  </si>
  <si>
    <t>P&amp;W RUL9H12 3810</t>
  </si>
  <si>
    <t>P&amp;W SIK2E83 0707</t>
  </si>
  <si>
    <t>P&amp;W QPG7081 3568</t>
  </si>
  <si>
    <t>P&amp;W TCE6I52 2146</t>
  </si>
  <si>
    <t>P&amp;W UPM8D50 8078</t>
  </si>
  <si>
    <t>P&amp;W TDC1E09 3982</t>
  </si>
  <si>
    <t>P&amp;W TCQ9A46 0688</t>
  </si>
  <si>
    <t>P&amp;W RFK5F52 6017</t>
  </si>
  <si>
    <t>P&amp;W SIH3A48 7828</t>
  </si>
  <si>
    <t>P&amp;W TDJ5G45 4887</t>
  </si>
  <si>
    <t>P&amp;W TCZ0I86 2388</t>
  </si>
  <si>
    <t>P&amp;W SJI7H83 8628</t>
  </si>
  <si>
    <t>P&amp;W TDE8E36 9488</t>
  </si>
  <si>
    <t>P&amp;W RNU5D23 5286</t>
  </si>
  <si>
    <t>P&amp;W QOX2796 2676</t>
  </si>
  <si>
    <t>P&amp;W RNC4I37 5647</t>
  </si>
  <si>
    <t>P&amp;W RMS8C18 9433</t>
  </si>
  <si>
    <t>P&amp;W RNC4I30 9664</t>
  </si>
  <si>
    <t>P&amp;W RFK5F63 0364</t>
  </si>
  <si>
    <t>P&amp;W QPC1639 1405</t>
  </si>
  <si>
    <t>P&amp;W RMX5B34 8091</t>
  </si>
  <si>
    <t>P&amp;W TDU6G26 9425</t>
  </si>
  <si>
    <t>P&amp;W SHV6E35 3487</t>
  </si>
  <si>
    <t>P&amp;W TDN9G04 0522</t>
  </si>
  <si>
    <t>P&amp;W GES3I87 2112</t>
  </si>
  <si>
    <t>P&amp;W UOG6D80 9946</t>
  </si>
  <si>
    <t>P&amp;W GEF8D74 1933</t>
  </si>
  <si>
    <t>P&amp;W UPG5C90 8102</t>
  </si>
  <si>
    <t>P&amp;W UQP7E00 9994</t>
  </si>
  <si>
    <t>P&amp;W RUM7C85 2184</t>
  </si>
  <si>
    <t>P&amp;W TXL1H82 0952</t>
  </si>
  <si>
    <t>P&amp;W TDN6D37 5119</t>
  </si>
  <si>
    <t>P&amp;W SYA3G78 6971</t>
  </si>
  <si>
    <t>P&amp;W GCY9G04 0061</t>
  </si>
  <si>
    <t>P&amp;W TEL7C52 9805</t>
  </si>
  <si>
    <t>P&amp;W SYW6C49 4814</t>
  </si>
  <si>
    <t>P&amp;W GCO4F21 4432</t>
  </si>
  <si>
    <t>P&amp;W GCT5G51 8023</t>
  </si>
  <si>
    <t>P&amp;W RVE5J78 2469</t>
  </si>
  <si>
    <t>P&amp;W SHR0E26 7139</t>
  </si>
  <si>
    <t>P&amp;W TDH5G20 6628</t>
  </si>
  <si>
    <t>P&amp;W GGD8D84 5918</t>
  </si>
  <si>
    <t>P&amp;W SIA2J57 8240</t>
  </si>
  <si>
    <t>P&amp;W TYV3F62 7213</t>
  </si>
  <si>
    <t>P&amp;W TXB0G98 8920</t>
  </si>
  <si>
    <t>P&amp;W RVU4C32 9006</t>
  </si>
  <si>
    <t>P&amp;W QNH1366 0746</t>
  </si>
  <si>
    <t>P&amp;W SIA2B60 2254</t>
  </si>
  <si>
    <t>P&amp;W SIH3B03 8644</t>
  </si>
  <si>
    <t>LNR TUE1H38 9765</t>
  </si>
  <si>
    <t>P&amp;W TYI0F79 9089</t>
  </si>
  <si>
    <t>P&amp;W TDO1J79 9153</t>
  </si>
  <si>
    <t>P&amp;W TCH5C28 9183</t>
  </si>
  <si>
    <t>P&amp;W HFL0H67 4879</t>
  </si>
  <si>
    <t>P&amp;W RMR0I48 4292</t>
  </si>
  <si>
    <t>P&amp;W SID7A74 8235</t>
  </si>
  <si>
    <t>P&amp;W GEJ4J21 1148</t>
  </si>
  <si>
    <t>P&amp;W UAB4A54 4335</t>
  </si>
  <si>
    <t>P&amp;W SHU2C51 7033</t>
  </si>
  <si>
    <t>P&amp;W RNG3A27 2742</t>
  </si>
  <si>
    <t>P&amp;W TCH5C03 5424</t>
  </si>
  <si>
    <t>P&amp;W TCI6I79 9599</t>
  </si>
  <si>
    <t>P&amp;W SYK9D92 5605</t>
  </si>
  <si>
    <t>P&amp;W SHZ2C92 7398</t>
  </si>
  <si>
    <t>P&amp;W GJR9D33 5384</t>
  </si>
  <si>
    <t>P&amp;W RVT9H69 7307</t>
  </si>
  <si>
    <t>P&amp;W TCV2E71 9748</t>
  </si>
  <si>
    <t>P&amp;W SYV6E86 9317</t>
  </si>
  <si>
    <t>P&amp;W QMY5D30 0018</t>
  </si>
  <si>
    <t>P&amp;W RMT9J81 3132</t>
  </si>
  <si>
    <t>P&amp;W QMY5D25 6049</t>
  </si>
  <si>
    <t>P&amp;W SIA6G59 2717</t>
  </si>
  <si>
    <t>P&amp;W RUG8G28 5969</t>
  </si>
  <si>
    <t>P&amp;W TCE6I34 3535</t>
  </si>
  <si>
    <t>P&amp;W GCN1G72 7443</t>
  </si>
  <si>
    <t>P&amp;W GAD3I04 9897</t>
  </si>
  <si>
    <t>P&amp;W GFF6H22 2718</t>
  </si>
  <si>
    <t>P&amp;W RUR4D48 8086</t>
  </si>
  <si>
    <t>P&amp;W SHV6E34 2859</t>
  </si>
  <si>
    <t>P&amp;W SHX3I29 3173</t>
  </si>
  <si>
    <t>P&amp;W RMV8C53 8661</t>
  </si>
  <si>
    <t>P&amp;W SHX2F32 8247</t>
  </si>
  <si>
    <t>P&amp;W SHZ6E55 5819</t>
  </si>
  <si>
    <t>APR TZY8H58 0251</t>
  </si>
  <si>
    <t>LNR SSB9J71 0323</t>
  </si>
  <si>
    <t>APR TZZ4E95 5251</t>
  </si>
  <si>
    <t>APR TZZ3H45 1080</t>
  </si>
  <si>
    <t>APR TZZ4E57 7125</t>
  </si>
  <si>
    <t>LNR TUS1D06 3384</t>
  </si>
  <si>
    <t>RLR RFZ7G47 5663</t>
  </si>
  <si>
    <t>P&amp;W UPP7A00 1908</t>
  </si>
  <si>
    <t>P&amp;W TDJ9F23 5101</t>
  </si>
  <si>
    <t>P&amp;W SIH3A45 7453</t>
  </si>
  <si>
    <t>CNF QMZ3H29 1143</t>
  </si>
  <si>
    <t>CNF QXN9B65 4439</t>
  </si>
  <si>
    <t>CNF SIR6C46 2647</t>
  </si>
  <si>
    <t>CNF TDU9B32 1424</t>
  </si>
  <si>
    <t>G370 A6X2</t>
  </si>
  <si>
    <t>P&amp;W QPQ1339 1371</t>
  </si>
  <si>
    <t>P&amp;W TCE8C81 4177</t>
  </si>
  <si>
    <t>P&amp;W RVI8G04 5843</t>
  </si>
  <si>
    <t>P&amp;W QPC1642 4541</t>
  </si>
  <si>
    <t>P&amp;W GEA5D81 1947</t>
  </si>
  <si>
    <t>P&amp;W QPG0246 1582</t>
  </si>
  <si>
    <t>P&amp;W TXB0G50 0832</t>
  </si>
  <si>
    <t>P&amp;W GGR8B06 6665</t>
  </si>
  <si>
    <t>P&amp;W SHU8H63 3751</t>
  </si>
  <si>
    <t>P&amp;W UPR9G80 8284</t>
  </si>
  <si>
    <t>P&amp;W RUJ3E11 5613</t>
  </si>
  <si>
    <t>P&amp;W RUH7H86 8658</t>
  </si>
  <si>
    <t>P&amp;W SHX4J01 5827</t>
  </si>
  <si>
    <t>P&amp;W QPO9457 6643</t>
  </si>
  <si>
    <t>P&amp;W TYJ1J36 5827</t>
  </si>
  <si>
    <t>P&amp;W GAV6B01 6353</t>
  </si>
  <si>
    <t>APR TZZ6E70 6896</t>
  </si>
  <si>
    <t>APR TZZ8G29 9139</t>
  </si>
  <si>
    <t>APR TZZ6E60 8487</t>
  </si>
  <si>
    <t>P&amp;W TDN6D42 4846</t>
  </si>
  <si>
    <t>P&amp;W TYV8H75 2915</t>
  </si>
  <si>
    <t>P&amp;W SHU3J88 3116</t>
  </si>
  <si>
    <t>P&amp;W SYL4I16 8901</t>
  </si>
  <si>
    <t>P&amp;W SYX9H68 6947</t>
  </si>
  <si>
    <t>P&amp;W TZB2A27 6914</t>
  </si>
  <si>
    <t>P&amp;W GCD6D84 2203</t>
  </si>
  <si>
    <t>P&amp;W RUS6G26 0571</t>
  </si>
  <si>
    <t>P&amp;W TCL0E88 4394</t>
  </si>
  <si>
    <t>P&amp;W GGF8H56 0920</t>
  </si>
  <si>
    <t>P&amp;W RVZ0J19 0165</t>
  </si>
  <si>
    <t>P&amp;W RVL9F49 2123</t>
  </si>
  <si>
    <t>LNR SRJ3H94 2224</t>
  </si>
  <si>
    <t>P&amp;W RNG8I72 1447</t>
  </si>
  <si>
    <t>P&amp;W TXI1A76 5611</t>
  </si>
  <si>
    <t>P&amp;W GEW3B62 2545</t>
  </si>
  <si>
    <t>P&amp;W SYK9D83 7902</t>
  </si>
  <si>
    <t>P&amp;W SII7B94 7637</t>
  </si>
  <si>
    <t>APR APR8051 1233</t>
  </si>
  <si>
    <t>APR UAE4C83 4235</t>
  </si>
  <si>
    <t>APR UAE4D70 9662</t>
  </si>
  <si>
    <t>APR APR8053 0951</t>
  </si>
  <si>
    <t>RJN TXE4C19 8227</t>
  </si>
  <si>
    <t>ARJON</t>
  </si>
  <si>
    <t>RJN TXE4F49 6199</t>
  </si>
  <si>
    <t>RJN TXE4B99 4412</t>
  </si>
  <si>
    <t>RJN TXE4B90 8016</t>
  </si>
  <si>
    <t>RJN TXE4B94 8314</t>
  </si>
  <si>
    <t>RJN TXE4C12 6698</t>
  </si>
  <si>
    <t>RJN TXE4D77 8334</t>
  </si>
  <si>
    <t>RJN TXE4C03 3199</t>
  </si>
  <si>
    <t>RJN TXE4B86 9761</t>
  </si>
  <si>
    <t>APR TYK2F49 5597</t>
  </si>
  <si>
    <t>RJN TXE4B71 0419</t>
  </si>
  <si>
    <t>RJN TXE4D93 1225</t>
  </si>
  <si>
    <t>RJN TXE4D76 7125</t>
  </si>
  <si>
    <t>RJN TXE4C17 0827</t>
  </si>
  <si>
    <t>RJN TXE4D78 8185</t>
  </si>
  <si>
    <t>RJN TXE4C02 3475</t>
  </si>
  <si>
    <t>RJN TXE4C07 2240</t>
  </si>
  <si>
    <t>RJN TXE4C13 4248</t>
  </si>
  <si>
    <t>RJN TXE4C06 2704</t>
  </si>
  <si>
    <t>RJN TXE4B91 2144</t>
  </si>
  <si>
    <t>RJN TXE4D75 5645</t>
  </si>
  <si>
    <t>P&amp;W GAV3F27 7503</t>
  </si>
  <si>
    <t>P&amp;W RMK3I19 3574</t>
  </si>
  <si>
    <t>P&amp;W TDJ5G41 7223</t>
  </si>
  <si>
    <t>P&amp;W GHW3I45 7526</t>
  </si>
  <si>
    <t>P&amp;W TDE8E29 9617</t>
  </si>
  <si>
    <t>P&amp;W SYK9E01 1509</t>
  </si>
  <si>
    <t>P&amp;W GCQ5G86 8980</t>
  </si>
  <si>
    <t>P&amp;W TYR5J92 4735</t>
  </si>
  <si>
    <t>P&amp;W TYJ4A15 5376</t>
  </si>
  <si>
    <t>APR APR9107 8708</t>
  </si>
  <si>
    <t>P&amp;W UPU6D60 9402</t>
  </si>
  <si>
    <t>P&amp;W RMX5B37 6403</t>
  </si>
  <si>
    <t>APR APR9101 7124</t>
  </si>
  <si>
    <t>APR APR9105 5845</t>
  </si>
  <si>
    <t>APR APR8056 0597</t>
  </si>
  <si>
    <t>APR APR9020 9381</t>
  </si>
  <si>
    <t>APR APR9247 8602</t>
  </si>
  <si>
    <t>EXT QXH1910 4739</t>
  </si>
  <si>
    <t>APR APR9246 6979</t>
  </si>
  <si>
    <t>APR APR9245 2006</t>
  </si>
  <si>
    <t>P&amp;W GBY3F75 4326</t>
  </si>
  <si>
    <t>APR APR8058 2931</t>
  </si>
  <si>
    <t>APR APR9167 4618</t>
  </si>
  <si>
    <t>P&amp;W RUQ4I60 9615</t>
  </si>
  <si>
    <t>P&amp;W GDO3C63 1776</t>
  </si>
  <si>
    <t>P&amp;W SIK5J28 2572</t>
  </si>
  <si>
    <t>P&amp;W GCY6E34 5744</t>
  </si>
  <si>
    <t>P&amp;W TCL9C35 1498</t>
  </si>
  <si>
    <t>P&amp;W SHZ8E44 3050</t>
  </si>
  <si>
    <t>P&amp;W TYO8I77 2584</t>
  </si>
  <si>
    <t>P&amp;W TCL6C52 1830</t>
  </si>
  <si>
    <t>P&amp;W TXC0H27 6668</t>
  </si>
  <si>
    <t>P&amp;W HKA6H75 1488</t>
  </si>
  <si>
    <t>P&amp;W SYL5A18 7744</t>
  </si>
  <si>
    <t>P&amp;W TYT0C79 5578</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</si>
</sst>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quot;R$ &quot;#,##0"/>
    <numFmt numFmtId="166" formatCode="dd/MM/yyyy"/>
    <numFmt numFmtId="167" formatCode="HH:mm:ss"/>
    <numFmt numFmtId="168" formatCode="d/m/yyyy"/>
    <numFmt numFmtId="169" formatCode="mmm/d"/>
    <numFmt numFmtId="170" formatCode="d/m/yy"/>
  </numFmts>
  <fonts count="67">
    <font>
      <sz val="11.0"/>
      <color theme="1"/>
      <name val="Calibri"/>
      <scheme val="minor"/>
    </font>
    <font>
      <b/>
      <sz val="16.0"/>
      <color rgb="FF0F1B2D"/>
      <name val="Arial"/>
    </font>
    <font>
      <i/>
      <sz val="10.0"/>
      <color rgb="FF6B7280"/>
      <name val="Arial"/>
    </font>
    <font>
      <b/>
      <sz val="10.0"/>
      <color rgb="FF1B9E4B"/>
      <name val="Arial"/>
    </font>
    <font>
      <i/>
      <sz val="9.0"/>
      <color rgb="FF6B7280"/>
      <name val="Arial"/>
    </font>
    <font>
      <sz val="10.0"/>
      <color rgb="FF333333"/>
      <name val="Arial"/>
    </font>
    <font>
      <b/>
      <sz val="16.0"/>
      <color rgb="FFFFFFFF"/>
      <name val="Calibri"/>
    </font>
    <font>
      <b/>
      <sz val="10.0"/>
      <color rgb="FF0F1B2D"/>
      <name val="Arial"/>
    </font>
    <font>
      <color theme="1"/>
      <name val="Calibri"/>
      <scheme val="minor"/>
    </font>
    <font/>
    <font>
      <b/>
      <sz val="10.0"/>
      <color rgb="FFFFFFFF"/>
      <name val="Arial"/>
    </font>
    <font>
      <b/>
      <sz val="13.0"/>
      <color rgb="FF0F1B2D"/>
      <name val="Arial"/>
    </font>
    <font>
      <b/>
      <sz val="11.0"/>
      <color rgb="FFFFFFFF"/>
      <name val="Calibri"/>
    </font>
    <font>
      <b/>
      <sz val="11.0"/>
      <color rgb="FF1F3864"/>
      <name val="Calibri"/>
    </font>
    <font>
      <b/>
      <color rgb="FF1F3864"/>
      <name val="Calibri"/>
    </font>
    <font>
      <color theme="1"/>
      <name val="Calibri"/>
    </font>
    <font>
      <b/>
      <sz val="9.0"/>
      <color rgb="FF0F1B2D"/>
      <name val="Arial"/>
    </font>
    <font>
      <b/>
      <sz val="12.0"/>
      <color rgb="FF1B9E4B"/>
      <name val="Arial"/>
    </font>
    <font>
      <sz val="9.0"/>
      <color theme="1"/>
      <name val="Arial"/>
    </font>
    <font>
      <b/>
      <sz val="9.0"/>
      <color theme="1"/>
      <name val="Arial"/>
    </font>
    <font>
      <b/>
      <sz val="8.0"/>
      <color rgb="FFFFFFFF"/>
      <name val="Calibri"/>
      <scheme val="minor"/>
    </font>
    <font>
      <b/>
      <sz val="10.0"/>
      <color rgb="FFFFFFFF"/>
      <name val="Calibri"/>
      <scheme val="minor"/>
    </font>
    <font>
      <sz val="8.0"/>
      <color rgb="FF666666"/>
      <name val="Arial"/>
    </font>
    <font>
      <sz val="8.0"/>
      <color theme="1"/>
      <name val="Arial"/>
    </font>
    <font>
      <sz val="8.0"/>
      <color rgb="FF434343"/>
      <name val="Arial"/>
    </font>
    <font>
      <b/>
      <sz val="13.0"/>
      <color rgb="FFFFFFFF"/>
      <name val="Calibri"/>
      <scheme val="minor"/>
    </font>
    <font>
      <sz val="10.0"/>
      <color rgb="FFFFFFFF"/>
      <name val="Calibri"/>
      <scheme val="minor"/>
    </font>
    <font>
      <color theme="1"/>
      <name val="Arial"/>
    </font>
    <font>
      <sz val="8.0"/>
      <color rgb="FF434343"/>
      <name val="Calibri"/>
      <scheme val="minor"/>
    </font>
    <font>
      <sz val="10.0"/>
      <color rgb="FF434343"/>
      <name val="Calibri"/>
      <scheme val="minor"/>
    </font>
    <font>
      <color rgb="FF000000"/>
      <name val="Calibri"/>
      <scheme val="minor"/>
    </font>
    <font>
      <sz val="8.0"/>
      <color rgb="FF666666"/>
      <name val="Calibri"/>
      <scheme val="minor"/>
    </font>
    <font>
      <b/>
      <sz val="8.0"/>
      <color rgb="FF434343"/>
      <name val="Calibri"/>
      <scheme val="minor"/>
    </font>
    <font>
      <color rgb="FF000000"/>
      <name val="Arial"/>
    </font>
    <font>
      <sz val="15.0"/>
      <color rgb="FFFFFFFF"/>
      <name val="Calibri"/>
      <scheme val="minor"/>
    </font>
    <font>
      <sz val="12.0"/>
      <color rgb="FFFFFFFF"/>
      <name val="Calibri"/>
      <scheme val="minor"/>
    </font>
    <font>
      <sz val="35.0"/>
      <color rgb="FFFFFFFF"/>
      <name val="Calibri"/>
      <scheme val="minor"/>
    </font>
    <font>
      <sz val="32.0"/>
      <color rgb="FFFF0000"/>
      <name val="Calibri"/>
      <scheme val="minor"/>
    </font>
    <font>
      <sz val="11.0"/>
      <color rgb="FF00FF00"/>
      <name val="Calibri"/>
      <scheme val="minor"/>
    </font>
    <font>
      <b/>
      <sz val="18.0"/>
      <color rgb="FFFFFFFF"/>
      <name val="Arial"/>
    </font>
    <font>
      <color rgb="FFFFFFFF"/>
      <name val="Calibri"/>
      <scheme val="minor"/>
    </font>
    <font>
      <sz val="8.0"/>
      <color rgb="FF151515"/>
      <name val="Calibri"/>
      <scheme val="minor"/>
    </font>
    <font>
      <sz val="13.0"/>
      <color rgb="FF00FF00"/>
      <name val="Calibri"/>
      <scheme val="minor"/>
    </font>
    <font>
      <b/>
      <sz val="12.0"/>
      <color rgb="FFCCCCCC"/>
      <name val="Arial"/>
    </font>
    <font>
      <sz val="15.0"/>
      <color rgb="FFFFFFFF"/>
      <name val="Arial"/>
    </font>
    <font>
      <b/>
      <sz val="7.0"/>
      <color rgb="FFCCCCCC"/>
      <name val="Calibri"/>
      <scheme val="minor"/>
    </font>
    <font>
      <sz val="7.0"/>
      <color rgb="FF151515"/>
      <name val="Arial"/>
    </font>
    <font>
      <b/>
      <sz val="8.0"/>
      <color rgb="FFCCCCCC"/>
      <name val="Calibri"/>
      <scheme val="minor"/>
    </font>
    <font>
      <sz val="8.0"/>
      <color rgb="FFEFEFEF"/>
      <name val="Calibri"/>
      <scheme val="minor"/>
    </font>
    <font>
      <sz val="12.0"/>
      <color rgb="FF151515"/>
      <name val="Arial"/>
    </font>
    <font>
      <sz val="9.0"/>
      <color rgb="FF434343"/>
      <name val="Calibri"/>
      <scheme val="minor"/>
    </font>
    <font>
      <b/>
      <sz val="12.0"/>
      <color rgb="FF0F1B2D"/>
      <name val="Arial"/>
    </font>
    <font>
      <b/>
      <sz val="9.0"/>
      <color rgb="FFFFFFFF"/>
      <name val="Arial"/>
    </font>
    <font>
      <b/>
      <sz val="10.0"/>
      <color rgb="FF0000FF"/>
      <name val="Arial"/>
    </font>
    <font>
      <i/>
      <sz val="8.0"/>
      <color rgb="FF6B7280"/>
      <name val="Arial"/>
    </font>
    <font>
      <sz val="10.0"/>
      <color theme="1"/>
      <name val="Arial"/>
    </font>
    <font>
      <u/>
      <sz val="8.0"/>
      <color rgb="FF434343"/>
    </font>
    <font>
      <sz val="11.0"/>
      <color rgb="FF151515"/>
      <name val="System-ui"/>
    </font>
    <font>
      <sz val="8.0"/>
      <color rgb="FF151515"/>
      <name val="Arial"/>
    </font>
    <font>
      <sz val="10.0"/>
      <color rgb="FF000000"/>
      <name val="Arial"/>
    </font>
    <font>
      <sz val="11.0"/>
      <color theme="1"/>
      <name val="Calibri"/>
    </font>
    <font>
      <u/>
      <sz val="8.0"/>
      <color rgb="FF434343"/>
      <name val="Calibri"/>
      <scheme val="minor"/>
    </font>
    <font>
      <b/>
      <u/>
      <sz val="8.0"/>
      <color rgb="FF434343"/>
      <name val="Calibri"/>
      <scheme val="minor"/>
    </font>
    <font>
      <b/>
      <u/>
      <sz val="8.0"/>
      <color rgb="FF434343"/>
      <name val="Calibri"/>
      <scheme val="minor"/>
    </font>
    <font>
      <color rgb="FF000000"/>
      <name val="BlinkMacSystemFont"/>
    </font>
    <font>
      <sz val="10.0"/>
      <color rgb="FF000000"/>
      <name val="Calibri"/>
      <scheme val="minor"/>
    </font>
    <font>
      <sz val="11.0"/>
      <color theme="1"/>
      <name val="Geist"/>
    </font>
  </fonts>
  <fills count="26">
    <fill>
      <patternFill patternType="none"/>
    </fill>
    <fill>
      <patternFill patternType="lightGray"/>
    </fill>
    <fill>
      <patternFill patternType="solid">
        <fgColor rgb="FF1F3864"/>
        <bgColor rgb="FF1F3864"/>
      </patternFill>
    </fill>
    <fill>
      <patternFill patternType="solid">
        <fgColor rgb="FF0F1B2D"/>
        <bgColor rgb="FF0F1B2D"/>
      </patternFill>
    </fill>
    <fill>
      <patternFill patternType="solid">
        <fgColor rgb="FF2E5395"/>
        <bgColor rgb="FF2E5395"/>
      </patternFill>
    </fill>
    <fill>
      <patternFill patternType="solid">
        <fgColor rgb="FFD6E0F0"/>
        <bgColor rgb="FFD6E0F0"/>
      </patternFill>
    </fill>
    <fill>
      <patternFill patternType="solid">
        <fgColor rgb="FFEEF3FB"/>
        <bgColor rgb="FFEEF3FB"/>
      </patternFill>
    </fill>
    <fill>
      <patternFill patternType="solid">
        <fgColor rgb="FFFFFFFF"/>
        <bgColor rgb="FFFFFFFF"/>
      </patternFill>
    </fill>
    <fill>
      <patternFill patternType="solid">
        <fgColor rgb="FFF2F4F7"/>
        <bgColor rgb="FFF2F4F7"/>
      </patternFill>
    </fill>
    <fill>
      <patternFill patternType="solid">
        <fgColor rgb="FF0B5394"/>
        <bgColor rgb="FF0B5394"/>
      </patternFill>
    </fill>
    <fill>
      <patternFill patternType="solid">
        <fgColor rgb="FFD6F0DE"/>
        <bgColor rgb="FFD6F0DE"/>
      </patternFill>
    </fill>
    <fill>
      <patternFill patternType="solid">
        <fgColor rgb="FF073763"/>
        <bgColor rgb="FF073763"/>
      </patternFill>
    </fill>
    <fill>
      <patternFill patternType="solid">
        <fgColor rgb="FF666666"/>
        <bgColor rgb="FF666666"/>
      </patternFill>
    </fill>
    <fill>
      <patternFill patternType="solid">
        <fgColor rgb="FF20124D"/>
        <bgColor rgb="FF20124D"/>
      </patternFill>
    </fill>
    <fill>
      <patternFill patternType="solid">
        <fgColor rgb="FF000000"/>
        <bgColor rgb="FF000000"/>
      </patternFill>
    </fill>
    <fill>
      <patternFill patternType="solid">
        <fgColor rgb="FFFDECC8"/>
        <bgColor rgb="FFFDECC8"/>
      </patternFill>
    </fill>
    <fill>
      <patternFill patternType="solid">
        <fgColor rgb="FFE3E8EF"/>
        <bgColor rgb="FFE3E8EF"/>
      </patternFill>
    </fill>
    <fill>
      <patternFill patternType="solid">
        <fgColor rgb="FFFBFBFB"/>
        <bgColor rgb="FFFBFBFB"/>
      </patternFill>
    </fill>
    <fill>
      <patternFill patternType="solid">
        <fgColor rgb="FF3D85C6"/>
        <bgColor rgb="FF3D85C6"/>
      </patternFill>
    </fill>
    <fill>
      <patternFill patternType="solid">
        <fgColor rgb="FFFFF3C4"/>
        <bgColor rgb="FFFFF3C4"/>
      </patternFill>
    </fill>
    <fill>
      <patternFill patternType="solid">
        <fgColor rgb="FFF4CCCC"/>
        <bgColor rgb="FFF4CCCC"/>
      </patternFill>
    </fill>
    <fill>
      <patternFill patternType="solid">
        <fgColor rgb="FFEAD1DC"/>
        <bgColor rgb="FFEAD1DC"/>
      </patternFill>
    </fill>
    <fill>
      <patternFill patternType="solid">
        <fgColor rgb="FFF7F9FC"/>
        <bgColor rgb="FFF7F9FC"/>
      </patternFill>
    </fill>
    <fill>
      <patternFill patternType="solid">
        <fgColor rgb="FFFFFF00"/>
        <bgColor rgb="FFFFFF00"/>
      </patternFill>
    </fill>
    <fill>
      <patternFill patternType="solid">
        <fgColor rgb="FFFFE599"/>
        <bgColor rgb="FFFFE599"/>
      </patternFill>
    </fill>
    <fill>
      <patternFill patternType="solid">
        <fgColor rgb="FF0000FF"/>
        <bgColor rgb="FF0000FF"/>
      </patternFill>
    </fill>
  </fills>
  <borders count="44">
    <border/>
    <border>
      <left style="thin">
        <color rgb="FF000000"/>
      </left>
      <right style="thin">
        <color rgb="FF000000"/>
      </right>
      <top style="thin">
        <color rgb="FF000000"/>
      </top>
      <bottom style="thin">
        <color rgb="FF000000"/>
      </bottom>
    </border>
    <border>
      <left style="thin">
        <color rgb="FFC9D2E3"/>
      </left>
      <top style="thin">
        <color rgb="FFC9D2E3"/>
      </top>
      <bottom style="thin">
        <color rgb="FFC9D2E3"/>
      </bottom>
    </border>
    <border>
      <top style="thin">
        <color rgb="FFC9D2E3"/>
      </top>
      <bottom style="thin">
        <color rgb="FFC9D2E3"/>
      </bottom>
    </border>
    <border>
      <left style="thin">
        <color rgb="FFD0D5DD"/>
      </left>
      <right style="thin">
        <color rgb="FFD0D5DD"/>
      </right>
      <top style="thin">
        <color rgb="FFD0D5DD"/>
      </top>
      <bottom style="thin">
        <color rgb="FFD0D5DD"/>
      </bottom>
    </border>
    <border>
      <right style="thin">
        <color rgb="FFC9D2E3"/>
      </right>
      <top style="thin">
        <color rgb="FFC9D2E3"/>
      </top>
      <bottom style="thin">
        <color rgb="FFC9D2E3"/>
      </bottom>
    </border>
    <border>
      <left style="thin">
        <color rgb="FFC9D2E3"/>
      </left>
      <right style="thin">
        <color rgb="FFC9D2E3"/>
      </right>
      <top style="thin">
        <color rgb="FFC9D2E3"/>
      </top>
      <bottom style="thin">
        <color rgb="FFC9D2E3"/>
      </bottom>
    </border>
    <border>
      <left style="thin">
        <color rgb="FFD0D5DD"/>
      </left>
      <top style="thin">
        <color rgb="FFD0D5DD"/>
      </top>
      <bottom style="thin">
        <color rgb="FFD0D5DD"/>
      </bottom>
    </border>
    <border>
      <left style="thin">
        <color rgb="FFCCCCCC"/>
      </left>
      <top style="thin">
        <color rgb="FFCCCCCC"/>
      </top>
    </border>
    <border>
      <right style="thin">
        <color rgb="FFCCCCCC"/>
      </right>
      <top style="thin">
        <color rgb="FFCCCCCC"/>
      </top>
    </border>
    <border>
      <right style="thin">
        <color rgb="FFD0D5DD"/>
      </right>
      <top style="thin">
        <color rgb="FFD0D5DD"/>
      </top>
      <bottom style="thin">
        <color rgb="FFD0D5DD"/>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D9D9D9"/>
      </left>
      <right style="thin">
        <color rgb="FFD9D9D9"/>
      </right>
      <top style="thin">
        <color rgb="FFD9D9D9"/>
      </top>
      <bottom style="thin">
        <color rgb="FFD9D9D9"/>
      </bottom>
    </border>
    <border>
      <right style="medium">
        <color rgb="FF000000"/>
      </right>
    </border>
    <border>
      <left style="thin">
        <color rgb="FF666666"/>
      </left>
      <right style="thin">
        <color rgb="FF666666"/>
      </right>
      <top style="thin">
        <color rgb="FF666666"/>
      </top>
      <bottom style="thin">
        <color rgb="FF666666"/>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CCCCCC"/>
      </left>
      <right style="thin">
        <color rgb="FFCCCCCC"/>
      </right>
    </border>
    <border>
      <left style="thin">
        <color rgb="FFCCCCCC"/>
      </left>
    </border>
    <border>
      <left style="thin">
        <color rgb="FFEFEFEF"/>
      </left>
      <right style="thin">
        <color rgb="FFEFEFEF"/>
      </right>
      <top style="thin">
        <color rgb="FFEFEFEF"/>
      </top>
    </border>
    <border>
      <left style="thin">
        <color rgb="FFEFEFEF"/>
      </left>
      <right style="thin">
        <color rgb="FFEFEFEF"/>
      </right>
      <top style="thin">
        <color rgb="FFEFEFEF"/>
      </top>
      <bottom style="thin">
        <color rgb="FFEFEFEF"/>
      </bottom>
    </border>
    <border>
      <left style="thin">
        <color rgb="FFEFEFEF"/>
      </left>
      <top style="thin">
        <color rgb="FFEFEFEF"/>
      </top>
    </border>
    <border>
      <top style="thin">
        <color rgb="FFEFEFEF"/>
      </top>
    </border>
    <border>
      <right style="thin">
        <color rgb="FFEFEFEF"/>
      </right>
      <top style="thin">
        <color rgb="FFEFEFEF"/>
      </top>
    </border>
    <border>
      <left style="thin">
        <color rgb="FFEFEFEF"/>
      </left>
      <right style="thin">
        <color rgb="FFEFEFEF"/>
      </right>
    </border>
    <border>
      <left style="thin">
        <color rgb="FFEFEFEF"/>
      </left>
    </border>
    <border>
      <right style="thin">
        <color rgb="FFEFEFEF"/>
      </right>
    </border>
    <border>
      <left style="thin">
        <color rgb="FFEFEFEF"/>
      </left>
      <bottom style="thin">
        <color rgb="FFEFEFEF"/>
      </bottom>
    </border>
    <border>
      <bottom style="thin">
        <color rgb="FFEFEFEF"/>
      </bottom>
    </border>
    <border>
      <right style="thin">
        <color rgb="FFEFEFEF"/>
      </right>
      <bottom style="thin">
        <color rgb="FFEFEFEF"/>
      </bottom>
    </border>
    <border>
      <left style="thin">
        <color rgb="FFEFEFEF"/>
      </left>
      <right style="thin">
        <color rgb="FFEFEFEF"/>
      </right>
      <bottom style="thin">
        <color rgb="FFEFEFEF"/>
      </bottom>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right/>
      <top/>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bottom style="thin">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0" fontId="3" numFmtId="0" xfId="0" applyAlignment="1" applyBorder="1" applyFont="1">
      <alignment shrinkToFit="0" vertical="center" wrapText="0"/>
    </xf>
    <xf borderId="0" fillId="0" fontId="4" numFmtId="0" xfId="0" applyAlignment="1" applyFont="1">
      <alignment shrinkToFit="0" vertical="bottom" wrapText="0"/>
    </xf>
    <xf borderId="1" fillId="0" fontId="5" numFmtId="0" xfId="0" applyAlignment="1" applyBorder="1" applyFont="1">
      <alignment shrinkToFit="0" vertical="center" wrapText="1"/>
    </xf>
    <xf borderId="2" fillId="2" fontId="6" numFmtId="0" xfId="0" applyAlignment="1" applyBorder="1" applyFill="1" applyFont="1">
      <alignment horizontal="center" readingOrder="0" vertical="center"/>
    </xf>
    <xf borderId="1" fillId="0" fontId="7" numFmtId="0" xfId="0" applyAlignment="1" applyBorder="1" applyFont="1">
      <alignment shrinkToFit="0" vertical="center" wrapText="0"/>
    </xf>
    <xf borderId="0" fillId="0" fontId="8" numFmtId="0" xfId="0" applyAlignment="1" applyFont="1">
      <alignment vertical="center"/>
    </xf>
    <xf borderId="3" fillId="0" fontId="9" numFmtId="0" xfId="0" applyBorder="1" applyFont="1"/>
    <xf borderId="4" fillId="3" fontId="10" numFmtId="0" xfId="0" applyAlignment="1" applyBorder="1" applyFill="1" applyFont="1">
      <alignment horizontal="center" shrinkToFit="0" vertical="center" wrapText="1"/>
    </xf>
    <xf borderId="0" fillId="0" fontId="11" numFmtId="0" xfId="0" applyAlignment="1" applyFont="1">
      <alignment shrinkToFit="0" vertical="center" wrapText="0"/>
    </xf>
    <xf borderId="5" fillId="0" fontId="9" numFmtId="0" xfId="0" applyBorder="1" applyFont="1"/>
    <xf borderId="4" fillId="3" fontId="10" numFmtId="0" xfId="0" applyAlignment="1" applyBorder="1" applyFont="1">
      <alignment horizontal="center" readingOrder="0" shrinkToFit="0" vertical="center" wrapText="1"/>
    </xf>
    <xf borderId="6" fillId="4" fontId="12" numFmtId="0" xfId="0" applyAlignment="1" applyBorder="1" applyFill="1" applyFont="1">
      <alignment readingOrder="0" vertical="center"/>
    </xf>
    <xf borderId="0" fillId="0" fontId="5" numFmtId="0" xfId="0" applyAlignment="1" applyFont="1">
      <alignment shrinkToFit="0" vertical="center" wrapText="0"/>
    </xf>
    <xf borderId="7" fillId="3" fontId="10" numFmtId="0" xfId="0" applyAlignment="1" applyBorder="1" applyFont="1">
      <alignment horizontal="center" readingOrder="0" shrinkToFit="0" vertical="center" wrapText="1"/>
    </xf>
    <xf borderId="8" fillId="3" fontId="10" numFmtId="0" xfId="0" applyAlignment="1" applyBorder="1" applyFont="1">
      <alignment horizontal="center" shrinkToFit="0" vertical="center" wrapText="1"/>
    </xf>
    <xf borderId="2" fillId="5" fontId="13" numFmtId="0" xfId="0" applyAlignment="1" applyBorder="1" applyFill="1" applyFont="1">
      <alignment readingOrder="0" shrinkToFit="0" vertical="center" wrapText="1"/>
    </xf>
    <xf borderId="9" fillId="3" fontId="10" numFmtId="0" xfId="0" applyAlignment="1" applyBorder="1" applyFont="1">
      <alignment horizontal="center" shrinkToFit="0" vertical="center" wrapText="1"/>
    </xf>
    <xf borderId="10" fillId="3" fontId="10" numFmtId="0" xfId="0" applyAlignment="1" applyBorder="1" applyFont="1">
      <alignment horizontal="center" readingOrder="0" shrinkToFit="0" vertical="center" wrapText="1"/>
    </xf>
    <xf borderId="6" fillId="6" fontId="14" numFmtId="0" xfId="0" applyAlignment="1" applyBorder="1" applyFill="1" applyFont="1">
      <alignment readingOrder="0" shrinkToFit="0" vertical="center" wrapText="1"/>
    </xf>
    <xf borderId="6" fillId="6" fontId="15" numFmtId="0" xfId="0" applyAlignment="1" applyBorder="1" applyFont="1">
      <alignment readingOrder="0" shrinkToFit="0" vertical="center" wrapText="1"/>
    </xf>
    <xf borderId="6" fillId="7" fontId="14" numFmtId="0" xfId="0" applyAlignment="1" applyBorder="1" applyFill="1" applyFont="1">
      <alignment readingOrder="0" shrinkToFit="0" vertical="center" wrapText="1"/>
    </xf>
    <xf borderId="4" fillId="0" fontId="16" numFmtId="0" xfId="0" applyAlignment="1" applyBorder="1" applyFont="1">
      <alignment readingOrder="0" shrinkToFit="0" vertical="top" wrapText="1"/>
    </xf>
    <xf borderId="6" fillId="7" fontId="15" numFmtId="0" xfId="0" applyAlignment="1" applyBorder="1" applyFont="1">
      <alignment readingOrder="0" shrinkToFit="0" vertical="center" wrapText="1"/>
    </xf>
    <xf borderId="4" fillId="8" fontId="17" numFmtId="0" xfId="0" applyAlignment="1" applyBorder="1" applyFill="1" applyFont="1">
      <alignment horizontal="right" shrinkToFit="0" vertical="center" wrapText="0"/>
    </xf>
    <xf borderId="4" fillId="0" fontId="18" numFmtId="0" xfId="0" applyAlignment="1" applyBorder="1" applyFont="1">
      <alignment readingOrder="0" shrinkToFit="0" vertical="top" wrapText="1"/>
    </xf>
    <xf borderId="6" fillId="6" fontId="15" numFmtId="0" xfId="0" applyAlignment="1" applyBorder="1" applyFont="1">
      <alignment shrinkToFit="0" vertical="center" wrapText="1"/>
    </xf>
    <xf borderId="6" fillId="7" fontId="15" numFmtId="0" xfId="0" applyAlignment="1" applyBorder="1" applyFont="1">
      <alignment shrinkToFit="0" vertical="center" wrapText="1"/>
    </xf>
    <xf borderId="4" fillId="0" fontId="19" numFmtId="0" xfId="0" applyAlignment="1" applyBorder="1" applyFont="1">
      <alignment horizontal="left" shrinkToFit="0" vertical="center" wrapText="0"/>
    </xf>
    <xf borderId="7" fillId="0" fontId="18" numFmtId="164" xfId="0" applyAlignment="1" applyBorder="1" applyFont="1" applyNumberFormat="1">
      <alignment readingOrder="0" shrinkToFit="0" vertical="top" wrapText="1"/>
    </xf>
    <xf borderId="0" fillId="0" fontId="5" numFmtId="0" xfId="0" applyAlignment="1" applyFont="1">
      <alignment readingOrder="0" shrinkToFit="0" vertical="center" wrapText="0"/>
    </xf>
    <xf borderId="11" fillId="0" fontId="18" numFmtId="0" xfId="0" applyAlignment="1" applyBorder="1" applyFont="1">
      <alignment shrinkToFit="0" vertical="top" wrapText="1"/>
    </xf>
    <xf borderId="12" fillId="0" fontId="18" numFmtId="0" xfId="0" applyAlignment="1" applyBorder="1" applyFont="1">
      <alignment readingOrder="0" shrinkToFit="0" vertical="top" wrapText="1"/>
    </xf>
    <xf borderId="10" fillId="0" fontId="18" numFmtId="0" xfId="0" applyAlignment="1" applyBorder="1" applyFont="1">
      <alignment readingOrder="0" shrinkToFit="0" vertical="top" wrapText="1"/>
    </xf>
    <xf borderId="4" fillId="0" fontId="18" numFmtId="164" xfId="0" applyAlignment="1" applyBorder="1" applyFont="1" applyNumberFormat="1">
      <alignment readingOrder="0" shrinkToFit="0" vertical="top" wrapText="1"/>
    </xf>
    <xf borderId="4" fillId="0" fontId="16" numFmtId="0" xfId="0" applyAlignment="1" applyBorder="1" applyFont="1">
      <alignment shrinkToFit="0" vertical="top" wrapText="1"/>
    </xf>
    <xf borderId="4" fillId="0" fontId="18" numFmtId="0" xfId="0" applyAlignment="1" applyBorder="1" applyFont="1">
      <alignment shrinkToFit="0" vertical="top" wrapText="1"/>
    </xf>
    <xf borderId="4" fillId="0" fontId="18" numFmtId="164" xfId="0" applyAlignment="1" applyBorder="1" applyFont="1" applyNumberFormat="1">
      <alignment shrinkToFit="0" vertical="top" wrapText="1"/>
    </xf>
    <xf borderId="4" fillId="8" fontId="17" numFmtId="165" xfId="0" applyAlignment="1" applyBorder="1" applyFont="1" applyNumberFormat="1">
      <alignment horizontal="right" shrinkToFit="0" vertical="center" wrapText="0"/>
    </xf>
    <xf borderId="13" fillId="9" fontId="20" numFmtId="0" xfId="0" applyAlignment="1" applyBorder="1" applyFill="1" applyFont="1">
      <alignment horizontal="center" readingOrder="0" shrinkToFit="0" vertical="center" wrapText="1"/>
    </xf>
    <xf borderId="4" fillId="10" fontId="7" numFmtId="0" xfId="0" applyAlignment="1" applyBorder="1" applyFill="1" applyFont="1">
      <alignment horizontal="center" shrinkToFit="0" vertical="center" wrapText="0"/>
    </xf>
    <xf borderId="13" fillId="11" fontId="20" numFmtId="0" xfId="0" applyAlignment="1" applyBorder="1" applyFill="1" applyFont="1">
      <alignment horizontal="center" readingOrder="0" vertical="center"/>
    </xf>
    <xf borderId="14" fillId="9" fontId="20" numFmtId="0" xfId="0" applyAlignment="1" applyBorder="1" applyFont="1">
      <alignment horizontal="center" readingOrder="0" shrinkToFit="0" vertical="center" wrapText="1"/>
    </xf>
    <xf borderId="13" fillId="9" fontId="20" numFmtId="0" xfId="0" applyAlignment="1" applyBorder="1" applyFont="1">
      <alignment horizontal="center" readingOrder="0" vertical="center"/>
    </xf>
    <xf borderId="13" fillId="9" fontId="20" numFmtId="0" xfId="0" applyAlignment="1" applyBorder="1" applyFont="1">
      <alignment horizontal="center" readingOrder="0" vertical="center"/>
    </xf>
    <xf borderId="13" fillId="9" fontId="21" numFmtId="0" xfId="0" applyAlignment="1" applyBorder="1" applyFont="1">
      <alignment horizontal="center" readingOrder="0" shrinkToFit="0" vertical="center" wrapText="1"/>
    </xf>
    <xf borderId="13" fillId="12" fontId="20" numFmtId="0" xfId="0" applyAlignment="1" applyBorder="1" applyFill="1" applyFont="1">
      <alignment horizontal="center" readingOrder="0" shrinkToFit="0" vertical="center" wrapText="1"/>
    </xf>
    <xf borderId="13" fillId="13" fontId="20" numFmtId="0" xfId="0" applyAlignment="1" applyBorder="1" applyFill="1" applyFont="1">
      <alignment horizontal="center" readingOrder="0" shrinkToFit="0" vertical="center" wrapText="1"/>
    </xf>
    <xf borderId="15" fillId="13" fontId="20" numFmtId="0" xfId="0" applyAlignment="1" applyBorder="1" applyFont="1">
      <alignment horizontal="center" readingOrder="0" shrinkToFit="0" vertical="center" wrapText="1"/>
    </xf>
    <xf borderId="16" fillId="0" fontId="22" numFmtId="49" xfId="0" applyAlignment="1" applyBorder="1" applyFont="1" applyNumberFormat="1">
      <alignment horizontal="center" vertical="center"/>
    </xf>
    <xf borderId="16" fillId="0" fontId="23" numFmtId="0" xfId="0" applyAlignment="1" applyBorder="1" applyFont="1">
      <alignment horizontal="center" readingOrder="0" vertical="center"/>
    </xf>
    <xf borderId="4" fillId="0" fontId="18" numFmtId="165" xfId="0" applyAlignment="1" applyBorder="1" applyFont="1" applyNumberFormat="1">
      <alignment shrinkToFit="0" vertical="top" wrapText="1"/>
    </xf>
    <xf borderId="16" fillId="7" fontId="22" numFmtId="49" xfId="0" applyAlignment="1" applyBorder="1" applyFont="1" applyNumberFormat="1">
      <alignment horizontal="center" readingOrder="0" vertical="center"/>
    </xf>
    <xf borderId="16" fillId="0" fontId="24" numFmtId="0" xfId="0" applyAlignment="1" applyBorder="1" applyFont="1">
      <alignment horizontal="center" vertical="center"/>
    </xf>
    <xf borderId="0" fillId="14" fontId="25" numFmtId="0" xfId="0" applyAlignment="1" applyFill="1" applyFont="1">
      <alignment horizontal="center" readingOrder="0" shrinkToFit="0" wrapText="1"/>
    </xf>
    <xf borderId="16" fillId="0" fontId="24" numFmtId="166" xfId="0" applyAlignment="1" applyBorder="1" applyFont="1" applyNumberFormat="1">
      <alignment horizontal="center" vertical="center"/>
    </xf>
    <xf borderId="16" fillId="0" fontId="24" numFmtId="167" xfId="0" applyAlignment="1" applyBorder="1" applyFont="1" applyNumberFormat="1">
      <alignment horizontal="center" readingOrder="0" vertical="center"/>
    </xf>
    <xf borderId="17" fillId="14" fontId="25" numFmtId="0" xfId="0" applyAlignment="1" applyBorder="1" applyFont="1">
      <alignment horizontal="center" readingOrder="0" shrinkToFit="0" wrapText="1"/>
    </xf>
    <xf borderId="0" fillId="14" fontId="26" numFmtId="0" xfId="0" applyAlignment="1" applyFont="1">
      <alignment horizontal="center" readingOrder="0" shrinkToFit="0" vertical="center" wrapText="1"/>
    </xf>
    <xf borderId="0" fillId="14" fontId="25" numFmtId="0" xfId="0" applyAlignment="1" applyFont="1">
      <alignment horizontal="left" readingOrder="0" shrinkToFit="0" wrapText="1"/>
    </xf>
    <xf borderId="16" fillId="0" fontId="24" numFmtId="0" xfId="0" applyAlignment="1" applyBorder="1" applyFont="1">
      <alignment horizontal="center" readingOrder="0" vertical="center"/>
    </xf>
    <xf borderId="0" fillId="14" fontId="25" numFmtId="0" xfId="0" applyAlignment="1" applyFont="1">
      <alignment readingOrder="0" shrinkToFit="0" wrapText="1"/>
    </xf>
    <xf borderId="0" fillId="0" fontId="8" numFmtId="0" xfId="0" applyAlignment="1" applyFont="1">
      <alignment shrinkToFit="0" wrapText="1"/>
    </xf>
    <xf borderId="18" fillId="0" fontId="27" numFmtId="0" xfId="0" applyAlignment="1" applyBorder="1" applyFont="1">
      <alignment horizontal="center" vertical="bottom"/>
    </xf>
    <xf borderId="16" fillId="0" fontId="28" numFmtId="0" xfId="0" applyAlignment="1" applyBorder="1" applyFont="1">
      <alignment horizontal="center" readingOrder="0" vertical="center"/>
    </xf>
    <xf borderId="16" fillId="0" fontId="24" numFmtId="0" xfId="0" applyAlignment="1" applyBorder="1" applyFont="1">
      <alignment horizontal="center" readingOrder="0" shrinkToFit="0" vertical="center" wrapText="1"/>
    </xf>
    <xf borderId="18" fillId="0" fontId="29" numFmtId="0" xfId="0" applyAlignment="1" applyBorder="1" applyFont="1">
      <alignment horizontal="center" readingOrder="0" vertical="center"/>
    </xf>
    <xf borderId="18" fillId="0" fontId="30" numFmtId="164" xfId="0" applyAlignment="1" applyBorder="1" applyFont="1" applyNumberFormat="1">
      <alignment horizontal="center" readingOrder="0"/>
    </xf>
    <xf borderId="16" fillId="0" fontId="24" numFmtId="0" xfId="0" applyAlignment="1" applyBorder="1" applyFont="1">
      <alignment horizontal="left" vertical="center"/>
    </xf>
    <xf borderId="18" fillId="0" fontId="27" numFmtId="0" xfId="0" applyAlignment="1" applyBorder="1" applyFont="1">
      <alignment vertical="bottom"/>
    </xf>
    <xf borderId="16" fillId="0" fontId="24" numFmtId="164" xfId="0" applyAlignment="1" applyBorder="1" applyFont="1" applyNumberFormat="1">
      <alignment horizontal="center" vertical="center"/>
    </xf>
    <xf borderId="18" fillId="0" fontId="27" numFmtId="0" xfId="0" applyAlignment="1" applyBorder="1" applyFont="1">
      <alignment vertical="bottom"/>
    </xf>
    <xf borderId="16" fillId="0" fontId="23" numFmtId="0" xfId="0" applyAlignment="1" applyBorder="1" applyFont="1">
      <alignment horizontal="center" vertical="center"/>
    </xf>
    <xf borderId="18" fillId="0" fontId="30" numFmtId="0" xfId="0" applyAlignment="1" applyBorder="1" applyFont="1">
      <alignment horizontal="center" readingOrder="0"/>
    </xf>
    <xf borderId="18" fillId="7" fontId="30" numFmtId="0" xfId="0" applyAlignment="1" applyBorder="1" applyFont="1">
      <alignment horizontal="center" readingOrder="0"/>
    </xf>
    <xf borderId="16" fillId="0" fontId="24" numFmtId="0" xfId="0" applyAlignment="1" applyBorder="1" applyFont="1">
      <alignment horizontal="center" shrinkToFit="0" vertical="center" wrapText="1"/>
    </xf>
    <xf borderId="18" fillId="0" fontId="8" numFmtId="0" xfId="0" applyAlignment="1" applyBorder="1" applyFont="1">
      <alignment horizontal="center" readingOrder="0"/>
    </xf>
    <xf borderId="18" fillId="0" fontId="30" numFmtId="0" xfId="0" applyAlignment="1" applyBorder="1" applyFont="1">
      <alignment horizontal="center"/>
    </xf>
    <xf borderId="18" fillId="0" fontId="8" numFmtId="0" xfId="0" applyBorder="1" applyFont="1"/>
    <xf borderId="18" fillId="0" fontId="8" numFmtId="0" xfId="0" applyAlignment="1" applyBorder="1" applyFont="1">
      <alignment horizontal="center"/>
    </xf>
    <xf borderId="16" fillId="0" fontId="23" numFmtId="166" xfId="0" applyAlignment="1" applyBorder="1" applyFont="1" applyNumberFormat="1">
      <alignment horizontal="center" readingOrder="0" vertical="center"/>
    </xf>
    <xf borderId="0" fillId="0" fontId="8" numFmtId="0" xfId="0" applyAlignment="1" applyFont="1">
      <alignment readingOrder="0"/>
    </xf>
    <xf borderId="16" fillId="0" fontId="23" numFmtId="166" xfId="0" applyAlignment="1" applyBorder="1" applyFont="1" applyNumberFormat="1">
      <alignment horizontal="center" vertical="center"/>
    </xf>
    <xf borderId="19" fillId="0" fontId="22" numFmtId="49" xfId="0" applyAlignment="1" applyBorder="1" applyFont="1" applyNumberFormat="1">
      <alignment horizontal="center" vertical="center"/>
    </xf>
    <xf borderId="19" fillId="7" fontId="22" numFmtId="49" xfId="0" applyAlignment="1" applyBorder="1" applyFont="1" applyNumberFormat="1">
      <alignment horizontal="center" readingOrder="0" vertical="center"/>
    </xf>
    <xf borderId="19" fillId="0" fontId="24" numFmtId="0" xfId="0" applyAlignment="1" applyBorder="1" applyFont="1">
      <alignment horizontal="center" vertical="center"/>
    </xf>
    <xf borderId="4" fillId="15" fontId="7" numFmtId="0" xfId="0" applyAlignment="1" applyBorder="1" applyFill="1" applyFont="1">
      <alignment horizontal="center" shrinkToFit="0" vertical="center" wrapText="0"/>
    </xf>
    <xf borderId="19" fillId="0" fontId="24" numFmtId="166" xfId="0" applyAlignment="1" applyBorder="1" applyFont="1" applyNumberFormat="1">
      <alignment horizontal="center" vertical="center"/>
    </xf>
    <xf borderId="19" fillId="0" fontId="24" numFmtId="0" xfId="0" applyAlignment="1" applyBorder="1" applyFont="1">
      <alignment horizontal="center" shrinkToFit="0" vertical="center" wrapText="1"/>
    </xf>
    <xf borderId="20" fillId="0" fontId="9" numFmtId="0" xfId="0" applyBorder="1" applyFont="1"/>
    <xf borderId="4" fillId="0" fontId="18" numFmtId="168" xfId="0" applyAlignment="1" applyBorder="1" applyFont="1" applyNumberFormat="1">
      <alignment readingOrder="0" shrinkToFit="0" vertical="top" wrapText="1"/>
    </xf>
    <xf borderId="21" fillId="0" fontId="9" numFmtId="0" xfId="0" applyBorder="1" applyFont="1"/>
    <xf borderId="4" fillId="16" fontId="7" numFmtId="0" xfId="0" applyAlignment="1" applyBorder="1" applyFill="1" applyFont="1">
      <alignment horizontal="center" shrinkToFit="0" vertical="center" wrapText="0"/>
    </xf>
    <xf borderId="16" fillId="7" fontId="23" numFmtId="0" xfId="0" applyAlignment="1" applyBorder="1" applyFont="1">
      <alignment horizontal="center" vertical="center"/>
    </xf>
    <xf borderId="0" fillId="0" fontId="27" numFmtId="0" xfId="0" applyAlignment="1" applyFont="1">
      <alignment vertical="center"/>
    </xf>
    <xf borderId="16" fillId="0" fontId="24" numFmtId="0" xfId="0" applyAlignment="1" applyBorder="1" applyFont="1">
      <alignment horizontal="left" readingOrder="0" vertical="center"/>
    </xf>
    <xf borderId="16" fillId="0" fontId="24" numFmtId="0" xfId="0" applyAlignment="1" applyBorder="1" applyFont="1">
      <alignment horizontal="left" readingOrder="0" shrinkToFit="0" vertical="center" wrapText="1"/>
    </xf>
    <xf borderId="16" fillId="17" fontId="23" numFmtId="0" xfId="0" applyAlignment="1" applyBorder="1" applyFill="1" applyFont="1">
      <alignment horizontal="center" vertical="center"/>
    </xf>
    <xf borderId="16" fillId="0" fontId="28" numFmtId="166" xfId="0" applyAlignment="1" applyBorder="1" applyFont="1" applyNumberFormat="1">
      <alignment horizontal="center" readingOrder="0" vertical="center"/>
    </xf>
    <xf borderId="16" fillId="0" fontId="27" numFmtId="0" xfId="0" applyAlignment="1" applyBorder="1" applyFont="1">
      <alignment horizontal="center" vertical="center"/>
    </xf>
    <xf borderId="16" fillId="0" fontId="27" numFmtId="166" xfId="0" applyAlignment="1" applyBorder="1" applyFont="1" applyNumberFormat="1">
      <alignment horizontal="center" readingOrder="0" vertical="center"/>
    </xf>
    <xf borderId="16" fillId="0" fontId="31" numFmtId="0" xfId="0" applyAlignment="1" applyBorder="1" applyFont="1">
      <alignment horizontal="center" readingOrder="0" vertical="center"/>
    </xf>
    <xf borderId="16" fillId="0" fontId="28" numFmtId="0" xfId="0" applyAlignment="1" applyBorder="1" applyFont="1">
      <alignment horizontal="center" readingOrder="0" shrinkToFit="0" vertical="center" wrapText="1"/>
    </xf>
    <xf borderId="16" fillId="0" fontId="28" numFmtId="0" xfId="0" applyAlignment="1" applyBorder="1" applyFont="1">
      <alignment horizontal="left" readingOrder="0" vertical="center"/>
    </xf>
    <xf borderId="4" fillId="0" fontId="19" numFmtId="0" xfId="0" applyAlignment="1" applyBorder="1" applyFont="1">
      <alignment readingOrder="0" shrinkToFit="0" vertical="top" wrapText="1"/>
    </xf>
    <xf borderId="16" fillId="0" fontId="24" numFmtId="169" xfId="0" applyAlignment="1" applyBorder="1" applyFont="1" applyNumberFormat="1">
      <alignment horizontal="center"/>
    </xf>
    <xf borderId="16" fillId="0" fontId="24" numFmtId="0" xfId="0" applyAlignment="1" applyBorder="1" applyFont="1">
      <alignment horizontal="center"/>
    </xf>
    <xf borderId="16" fillId="0" fontId="24" numFmtId="166" xfId="0" applyAlignment="1" applyBorder="1" applyFont="1" applyNumberFormat="1">
      <alignment horizontal="center"/>
    </xf>
    <xf borderId="18" fillId="0" fontId="8" numFmtId="0" xfId="0" applyAlignment="1" applyBorder="1" applyFont="1">
      <alignment readingOrder="0"/>
    </xf>
    <xf borderId="16" fillId="0" fontId="28" numFmtId="169" xfId="0" applyAlignment="1" applyBorder="1" applyFont="1" applyNumberFormat="1">
      <alignment horizontal="center" readingOrder="0" vertical="center"/>
    </xf>
    <xf borderId="0" fillId="7" fontId="32" numFmtId="0" xfId="0" applyAlignment="1" applyFont="1">
      <alignment horizontal="center" readingOrder="0" vertical="center"/>
    </xf>
    <xf borderId="0" fillId="7" fontId="32" numFmtId="0" xfId="0" applyAlignment="1" applyFont="1">
      <alignment horizontal="center" readingOrder="0" shrinkToFit="0" vertical="center" wrapText="1"/>
    </xf>
    <xf borderId="18" fillId="7" fontId="33" numFmtId="0" xfId="0" applyAlignment="1" applyBorder="1" applyFont="1">
      <alignment horizontal="center" vertical="bottom"/>
    </xf>
    <xf borderId="0" fillId="7" fontId="8" numFmtId="0" xfId="0" applyFont="1"/>
    <xf borderId="18" fillId="7" fontId="33" numFmtId="0" xfId="0" applyAlignment="1" applyBorder="1" applyFont="1">
      <alignment horizontal="center" readingOrder="0" vertical="bottom"/>
    </xf>
    <xf borderId="16" fillId="0" fontId="24" numFmtId="0" xfId="0" applyAlignment="1" applyBorder="1" applyFont="1">
      <alignment horizontal="center" readingOrder="0" shrinkToFit="0" wrapText="1"/>
    </xf>
    <xf borderId="0" fillId="7" fontId="34" numFmtId="0" xfId="0" applyAlignment="1" applyFont="1">
      <alignment horizontal="center" readingOrder="0" shrinkToFit="0" vertical="center" wrapText="1"/>
    </xf>
    <xf borderId="0" fillId="13" fontId="35" numFmtId="0" xfId="0" applyAlignment="1" applyFont="1">
      <alignment horizontal="center" readingOrder="0" shrinkToFit="0" vertical="center" wrapText="1"/>
    </xf>
    <xf borderId="0" fillId="7" fontId="36" numFmtId="0" xfId="0" applyAlignment="1" applyFont="1">
      <alignment horizontal="center" readingOrder="0" vertical="bottom"/>
    </xf>
    <xf borderId="0" fillId="18" fontId="37" numFmtId="0" xfId="0" applyAlignment="1" applyFill="1" applyFont="1">
      <alignment horizontal="center" readingOrder="0" vertical="bottom"/>
    </xf>
    <xf borderId="0" fillId="18" fontId="38" numFmtId="0" xfId="0" applyAlignment="1" applyFont="1">
      <alignment horizontal="center" readingOrder="0" vertical="bottom"/>
    </xf>
    <xf borderId="0" fillId="18" fontId="39" numFmtId="3" xfId="0" applyAlignment="1" applyFont="1" applyNumberFormat="1">
      <alignment horizontal="center" shrinkToFit="0" vertical="bottom" wrapText="1"/>
    </xf>
    <xf borderId="0" fillId="18" fontId="40" numFmtId="0" xfId="0" applyAlignment="1" applyFont="1">
      <alignment horizontal="right" readingOrder="0" vertical="center"/>
    </xf>
    <xf borderId="0" fillId="18" fontId="41" numFmtId="0" xfId="0" applyAlignment="1" applyFont="1">
      <alignment horizontal="left" readingOrder="0" vertical="center"/>
    </xf>
    <xf borderId="0" fillId="18" fontId="42" numFmtId="0" xfId="0" applyAlignment="1" applyFont="1">
      <alignment horizontal="center" readingOrder="0" vertical="bottom"/>
    </xf>
    <xf borderId="0" fillId="18" fontId="39" numFmtId="3" xfId="0" applyAlignment="1" applyFont="1" applyNumberFormat="1">
      <alignment horizontal="right" shrinkToFit="0" vertical="center" wrapText="1"/>
    </xf>
    <xf borderId="0" fillId="18" fontId="43" numFmtId="0" xfId="0" applyAlignment="1" applyFont="1">
      <alignment horizontal="left" readingOrder="0" shrinkToFit="0" vertical="center" wrapText="1"/>
    </xf>
    <xf borderId="0" fillId="18" fontId="44" numFmtId="3" xfId="0" applyAlignment="1" applyFont="1" applyNumberFormat="1">
      <alignment horizontal="left" shrinkToFit="0" vertical="bottom" wrapText="1"/>
    </xf>
    <xf borderId="0" fillId="18" fontId="45" numFmtId="0" xfId="0" applyAlignment="1" applyFont="1">
      <alignment horizontal="center" readingOrder="0" shrinkToFit="0" vertical="top" wrapText="1"/>
    </xf>
    <xf borderId="0" fillId="18" fontId="46" numFmtId="0" xfId="0" applyAlignment="1" applyFont="1">
      <alignment horizontal="left" readingOrder="0" shrinkToFit="0" vertical="top" wrapText="1"/>
    </xf>
    <xf borderId="0" fillId="18" fontId="47" numFmtId="0" xfId="0" applyAlignment="1" applyFont="1">
      <alignment horizontal="center" readingOrder="0" shrinkToFit="0" vertical="top" wrapText="1"/>
    </xf>
    <xf borderId="0" fillId="7" fontId="48" numFmtId="0" xfId="0" applyAlignment="1" applyFont="1">
      <alignment horizontal="center" readingOrder="0" shrinkToFit="0" vertical="top" wrapText="1"/>
    </xf>
    <xf borderId="0" fillId="7" fontId="49" numFmtId="0" xfId="0" applyAlignment="1" applyFont="1">
      <alignment horizontal="center" readingOrder="0" shrinkToFit="0" vertical="top" wrapText="1"/>
    </xf>
    <xf borderId="0" fillId="18" fontId="49" numFmtId="0" xfId="0" applyAlignment="1" applyFont="1">
      <alignment horizontal="center" readingOrder="0" shrinkToFit="0" vertical="top" wrapText="1"/>
    </xf>
    <xf borderId="0" fillId="18" fontId="46" numFmtId="0" xfId="0" applyAlignment="1" applyFont="1">
      <alignment horizontal="center" readingOrder="0" shrinkToFit="0" vertical="top" wrapText="1"/>
    </xf>
    <xf borderId="0" fillId="18" fontId="8" numFmtId="0" xfId="0" applyFont="1"/>
    <xf borderId="0" fillId="18" fontId="40" numFmtId="0" xfId="0" applyAlignment="1" applyFont="1">
      <alignment horizontal="center" readingOrder="0" vertical="center"/>
    </xf>
    <xf borderId="0" fillId="7" fontId="20" numFmtId="0" xfId="0" applyAlignment="1" applyFont="1">
      <alignment horizontal="center" readingOrder="0" vertical="center"/>
    </xf>
    <xf borderId="0" fillId="13" fontId="20" numFmtId="0" xfId="0" applyAlignment="1" applyFont="1">
      <alignment horizontal="center" readingOrder="0" vertical="center"/>
    </xf>
    <xf borderId="0" fillId="13" fontId="20" numFmtId="0" xfId="0" applyAlignment="1" applyFont="1">
      <alignment horizontal="center" readingOrder="0" shrinkToFit="0" vertical="center" wrapText="1"/>
    </xf>
    <xf borderId="0" fillId="7" fontId="50" numFmtId="0" xfId="0" applyAlignment="1" applyFont="1">
      <alignment horizontal="center" readingOrder="0" vertical="center"/>
    </xf>
    <xf borderId="22" fillId="0" fontId="50" numFmtId="0" xfId="0" applyAlignment="1" applyBorder="1" applyFont="1">
      <alignment horizontal="center" readingOrder="0" vertical="center"/>
    </xf>
    <xf borderId="0" fillId="0" fontId="50" numFmtId="170" xfId="0" applyAlignment="1" applyFont="1" applyNumberFormat="1">
      <alignment horizontal="right" readingOrder="0" vertical="center"/>
    </xf>
    <xf borderId="23" fillId="0" fontId="50" numFmtId="170" xfId="0" applyAlignment="1" applyBorder="1" applyFont="1" applyNumberFormat="1">
      <alignment horizontal="right" readingOrder="0" vertical="center"/>
    </xf>
    <xf borderId="0" fillId="0" fontId="50" numFmtId="0" xfId="0" applyAlignment="1" applyFont="1">
      <alignment horizontal="center" readingOrder="0" vertical="center"/>
    </xf>
    <xf borderId="0" fillId="7" fontId="31" numFmtId="0" xfId="0" applyAlignment="1" applyFont="1">
      <alignment horizontal="center" readingOrder="0" vertical="center"/>
    </xf>
    <xf borderId="24" fillId="0" fontId="31" numFmtId="0" xfId="0" applyAlignment="1" applyBorder="1" applyFont="1">
      <alignment horizontal="center" readingOrder="0" vertical="center"/>
    </xf>
    <xf borderId="25" fillId="0" fontId="23" numFmtId="0" xfId="0" applyAlignment="1" applyBorder="1" applyFont="1">
      <alignment horizontal="center" readingOrder="0" shrinkToFit="0" vertical="center" wrapText="1"/>
    </xf>
    <xf borderId="26" fillId="0" fontId="23" numFmtId="0" xfId="0" applyAlignment="1" applyBorder="1" applyFont="1">
      <alignment horizontal="center" readingOrder="0" shrinkToFit="0" vertical="center" wrapText="1"/>
    </xf>
    <xf borderId="27" fillId="0" fontId="9" numFmtId="0" xfId="0" applyBorder="1" applyFont="1"/>
    <xf borderId="28" fillId="0" fontId="9" numFmtId="0" xfId="0" applyBorder="1" applyFont="1"/>
    <xf borderId="24" fillId="0" fontId="28" numFmtId="166" xfId="0" applyAlignment="1" applyBorder="1" applyFont="1" applyNumberFormat="1">
      <alignment horizontal="center" readingOrder="0" vertical="center"/>
    </xf>
    <xf borderId="26" fillId="0" fontId="24" numFmtId="0" xfId="0" applyAlignment="1" applyBorder="1" applyFont="1">
      <alignment horizontal="center" vertical="center"/>
    </xf>
    <xf borderId="0" fillId="0" fontId="27" numFmtId="0" xfId="0" applyAlignment="1" applyFont="1">
      <alignment vertical="bottom"/>
    </xf>
    <xf borderId="19" fillId="0" fontId="28" numFmtId="0" xfId="0" applyAlignment="1" applyBorder="1" applyFont="1">
      <alignment horizontal="center" readingOrder="0" vertical="center"/>
    </xf>
    <xf borderId="29" fillId="0" fontId="9" numFmtId="0" xfId="0" applyBorder="1" applyFont="1"/>
    <xf borderId="16" fillId="0" fontId="24" numFmtId="164" xfId="0" applyAlignment="1" applyBorder="1" applyFont="1" applyNumberFormat="1">
      <alignment horizontal="center" readingOrder="0" vertical="center"/>
    </xf>
    <xf borderId="30" fillId="0" fontId="9" numFmtId="0" xfId="0" applyBorder="1" applyFont="1"/>
    <xf borderId="31" fillId="0" fontId="9" numFmtId="0" xfId="0" applyBorder="1" applyFont="1"/>
    <xf borderId="19" fillId="0" fontId="24" numFmtId="164" xfId="0" applyAlignment="1" applyBorder="1" applyFont="1" applyNumberFormat="1">
      <alignment horizontal="center" readingOrder="0" vertical="center"/>
    </xf>
    <xf borderId="16" fillId="0" fontId="24" numFmtId="0" xfId="0" applyAlignment="1" applyBorder="1" applyFont="1">
      <alignment horizontal="center" readingOrder="0"/>
    </xf>
    <xf borderId="24" fillId="0" fontId="23" numFmtId="0" xfId="0" applyAlignment="1" applyBorder="1" applyFont="1">
      <alignment horizontal="center" readingOrder="0" shrinkToFit="0" vertical="center" wrapText="1"/>
    </xf>
    <xf borderId="32" fillId="0" fontId="9" numFmtId="0" xfId="0" applyBorder="1" applyFont="1"/>
    <xf borderId="33" fillId="0" fontId="9" numFmtId="0" xfId="0" applyBorder="1" applyFont="1"/>
    <xf borderId="34" fillId="0" fontId="9" numFmtId="0" xfId="0" applyBorder="1" applyFont="1"/>
    <xf borderId="25" fillId="0" fontId="24" numFmtId="0" xfId="0" applyAlignment="1" applyBorder="1" applyFont="1">
      <alignment horizontal="center" readingOrder="0" shrinkToFit="0" vertical="center" wrapText="1"/>
    </xf>
    <xf borderId="35" fillId="0" fontId="23" numFmtId="0" xfId="0" applyAlignment="1" applyBorder="1" applyFont="1">
      <alignment horizontal="center" readingOrder="0" shrinkToFit="0" vertical="center" wrapText="1"/>
    </xf>
    <xf borderId="30" fillId="0" fontId="23" numFmtId="0" xfId="0" applyAlignment="1" applyBorder="1" applyFont="1">
      <alignment horizontal="center" readingOrder="0" shrinkToFit="0" vertical="center" wrapText="1"/>
    </xf>
    <xf borderId="35" fillId="0" fontId="9" numFmtId="0" xfId="0" applyBorder="1" applyFont="1"/>
    <xf borderId="25" fillId="0" fontId="31" numFmtId="0" xfId="0" applyAlignment="1" applyBorder="1" applyFont="1">
      <alignment horizontal="center" readingOrder="0" vertical="center"/>
    </xf>
    <xf borderId="25" fillId="0" fontId="23" numFmtId="0" xfId="0" applyAlignment="1" applyBorder="1" applyFont="1">
      <alignment horizontal="center" shrinkToFit="0" vertical="center" wrapText="1"/>
    </xf>
    <xf borderId="36" fillId="7" fontId="24" numFmtId="0" xfId="0" applyAlignment="1" applyBorder="1" applyFont="1">
      <alignment horizontal="center" vertical="center"/>
    </xf>
    <xf borderId="37" fillId="0" fontId="9" numFmtId="0" xfId="0" applyBorder="1" applyFont="1"/>
    <xf borderId="38" fillId="0" fontId="9" numFmtId="0" xfId="0" applyBorder="1" applyFont="1"/>
    <xf borderId="25" fillId="0" fontId="28" numFmtId="166" xfId="0" applyAlignment="1" applyBorder="1" applyFont="1" applyNumberFormat="1">
      <alignment horizontal="center" readingOrder="0" vertical="center"/>
    </xf>
    <xf borderId="36" fillId="0" fontId="24" numFmtId="0" xfId="0" applyAlignment="1" applyBorder="1" applyFont="1">
      <alignment horizontal="center" vertical="center"/>
    </xf>
    <xf borderId="16" fillId="0" fontId="28" numFmtId="164" xfId="0" applyAlignment="1" applyBorder="1" applyFont="1" applyNumberFormat="1">
      <alignment horizontal="center" readingOrder="0" vertical="center"/>
    </xf>
    <xf borderId="0" fillId="0" fontId="51" numFmtId="0" xfId="0" applyAlignment="1" applyFont="1">
      <alignment shrinkToFit="0" vertical="bottom" wrapText="0"/>
    </xf>
    <xf borderId="39" fillId="3" fontId="52" numFmtId="0" xfId="0" applyAlignment="1" applyBorder="1" applyFont="1">
      <alignment shrinkToFit="0" vertical="bottom" wrapText="0"/>
    </xf>
    <xf borderId="39" fillId="3" fontId="52" numFmtId="0" xfId="0" applyAlignment="1" applyBorder="1" applyFont="1">
      <alignment readingOrder="0" shrinkToFit="0" vertical="bottom" wrapText="0"/>
    </xf>
    <xf borderId="0" fillId="0" fontId="16" numFmtId="0" xfId="0" applyAlignment="1" applyFont="1">
      <alignment shrinkToFit="0" vertical="bottom" wrapText="0"/>
    </xf>
    <xf borderId="39" fillId="19" fontId="53" numFmtId="165" xfId="0" applyAlignment="1" applyBorder="1" applyFill="1" applyFont="1" applyNumberFormat="1">
      <alignment shrinkToFit="0" vertical="bottom" wrapText="0"/>
    </xf>
    <xf borderId="0" fillId="0" fontId="18" numFmtId="0" xfId="0" applyAlignment="1" applyFont="1">
      <alignment shrinkToFit="0" vertical="bottom" wrapText="0"/>
    </xf>
    <xf borderId="0" fillId="0" fontId="54" numFmtId="0" xfId="0" applyAlignment="1" applyFont="1">
      <alignment shrinkToFit="0" vertical="bottom" wrapText="0"/>
    </xf>
    <xf borderId="0" fillId="0" fontId="18" numFmtId="0" xfId="0" applyAlignment="1" applyFont="1">
      <alignment readingOrder="0" shrinkToFit="0" vertical="bottom" wrapText="0"/>
    </xf>
    <xf borderId="16" fillId="0" fontId="32" numFmtId="0" xfId="0" applyAlignment="1" applyBorder="1" applyFont="1">
      <alignment horizontal="left" readingOrder="0" vertical="center"/>
    </xf>
    <xf borderId="19" fillId="0" fontId="22" numFmtId="49" xfId="0" applyAlignment="1" applyBorder="1" applyFont="1" applyNumberFormat="1">
      <alignment horizontal="center" readingOrder="0" vertical="center"/>
    </xf>
    <xf borderId="16" fillId="7" fontId="28" numFmtId="0" xfId="0" applyAlignment="1" applyBorder="1" applyFont="1">
      <alignment horizontal="center" readingOrder="0" vertical="center"/>
    </xf>
    <xf borderId="16" fillId="0" fontId="22" numFmtId="49" xfId="0" applyAlignment="1" applyBorder="1" applyFont="1" applyNumberFormat="1">
      <alignment horizontal="center" readingOrder="0" vertical="center"/>
    </xf>
    <xf borderId="16" fillId="20" fontId="28" numFmtId="0" xfId="0" applyAlignment="1" applyBorder="1" applyFill="1" applyFont="1">
      <alignment horizontal="center" readingOrder="0" vertical="center"/>
    </xf>
    <xf borderId="18" fillId="0" fontId="55" numFmtId="0" xfId="0" applyAlignment="1" applyBorder="1" applyFont="1">
      <alignment horizontal="center" vertical="center"/>
    </xf>
    <xf borderId="18" fillId="21" fontId="27" numFmtId="0" xfId="0" applyAlignment="1" applyBorder="1" applyFill="1" applyFont="1">
      <alignment horizontal="center" vertical="bottom"/>
    </xf>
    <xf borderId="36" fillId="7" fontId="24" numFmtId="0" xfId="0" applyAlignment="1" applyBorder="1" applyFont="1">
      <alignment horizontal="center" readingOrder="0" vertical="center"/>
    </xf>
    <xf borderId="18" fillId="0" fontId="27" numFmtId="0" xfId="0" applyAlignment="1" applyBorder="1" applyFont="1">
      <alignment horizontal="center" readingOrder="0" vertical="bottom"/>
    </xf>
    <xf borderId="18" fillId="21" fontId="30" numFmtId="0" xfId="0" applyAlignment="1" applyBorder="1" applyFont="1">
      <alignment horizontal="center" readingOrder="0"/>
    </xf>
    <xf borderId="18" fillId="17" fontId="27" numFmtId="0" xfId="0" applyAlignment="1" applyBorder="1" applyFont="1">
      <alignment horizontal="center" vertical="bottom"/>
    </xf>
    <xf borderId="18" fillId="0" fontId="27" numFmtId="0" xfId="0" applyAlignment="1" applyBorder="1" applyFont="1">
      <alignment horizontal="center" vertical="bottom"/>
    </xf>
    <xf quotePrefix="1" borderId="18" fillId="0" fontId="27" numFmtId="0" xfId="0" applyAlignment="1" applyBorder="1" applyFont="1">
      <alignment vertical="bottom"/>
    </xf>
    <xf borderId="18" fillId="22" fontId="27" numFmtId="0" xfId="0" applyAlignment="1" applyBorder="1" applyFill="1" applyFont="1">
      <alignment horizontal="center" vertical="bottom"/>
    </xf>
    <xf borderId="18" fillId="0" fontId="27" numFmtId="164" xfId="0" applyAlignment="1" applyBorder="1" applyFont="1" applyNumberFormat="1">
      <alignment vertical="bottom"/>
    </xf>
    <xf borderId="16" fillId="0" fontId="24" numFmtId="166" xfId="0" applyAlignment="1" applyBorder="1" applyFont="1" applyNumberFormat="1">
      <alignment horizontal="center" readingOrder="0"/>
    </xf>
    <xf borderId="18" fillId="0" fontId="55" numFmtId="0" xfId="0" applyAlignment="1" applyBorder="1" applyFont="1">
      <alignment horizontal="center" vertical="bottom"/>
    </xf>
    <xf borderId="18" fillId="7" fontId="27" numFmtId="0" xfId="0" applyAlignment="1" applyBorder="1" applyFont="1">
      <alignment vertical="bottom"/>
    </xf>
    <xf borderId="18" fillId="7" fontId="27" numFmtId="0" xfId="0" applyAlignment="1" applyBorder="1" applyFont="1">
      <alignment horizontal="center" readingOrder="0" vertical="bottom"/>
    </xf>
    <xf borderId="19" fillId="0" fontId="28" numFmtId="166" xfId="0" applyAlignment="1" applyBorder="1" applyFont="1" applyNumberFormat="1">
      <alignment horizontal="center" readingOrder="0" vertical="center"/>
    </xf>
    <xf borderId="19" fillId="0" fontId="28" numFmtId="0" xfId="0" applyAlignment="1" applyBorder="1" applyFont="1">
      <alignment horizontal="center" readingOrder="0" shrinkToFit="0" vertical="center" wrapText="1"/>
    </xf>
    <xf borderId="19" fillId="0" fontId="28" numFmtId="0" xfId="0" applyAlignment="1" applyBorder="1" applyFont="1">
      <alignment horizontal="left" readingOrder="0" vertical="center"/>
    </xf>
    <xf borderId="16" fillId="0" fontId="56" numFmtId="0" xfId="0" applyAlignment="1" applyBorder="1" applyFont="1">
      <alignment horizontal="left" readingOrder="0" vertical="center"/>
    </xf>
    <xf borderId="18" fillId="0" fontId="55" numFmtId="0" xfId="0" applyAlignment="1" applyBorder="1" applyFont="1">
      <alignment horizontal="center" readingOrder="0" vertical="center"/>
    </xf>
    <xf borderId="18" fillId="0" fontId="27" numFmtId="0" xfId="0" applyAlignment="1" applyBorder="1" applyFont="1">
      <alignment readingOrder="0" vertical="bottom"/>
    </xf>
    <xf borderId="16" fillId="0" fontId="24" numFmtId="166" xfId="0" applyAlignment="1" applyBorder="1" applyFont="1" applyNumberFormat="1">
      <alignment horizontal="center" readingOrder="0" vertical="center"/>
    </xf>
    <xf borderId="16" fillId="0" fontId="23" numFmtId="0" xfId="0" applyAlignment="1" applyBorder="1" applyFont="1">
      <alignment horizontal="center"/>
    </xf>
    <xf borderId="0" fillId="0" fontId="27" numFmtId="0" xfId="0" applyAlignment="1" applyFont="1">
      <alignment readingOrder="0" vertical="center"/>
    </xf>
    <xf borderId="16" fillId="0" fontId="28" numFmtId="0" xfId="0" applyAlignment="1" applyBorder="1" applyFont="1">
      <alignment horizontal="left" readingOrder="0" shrinkToFit="0" vertical="center" wrapText="1"/>
    </xf>
    <xf borderId="18" fillId="23" fontId="8" numFmtId="0" xfId="0" applyAlignment="1" applyBorder="1" applyFill="1" applyFont="1">
      <alignment horizontal="center" readingOrder="0"/>
    </xf>
    <xf borderId="16" fillId="7" fontId="57" numFmtId="0" xfId="0" applyAlignment="1" applyBorder="1" applyFont="1">
      <alignment horizontal="left" shrinkToFit="0" wrapText="1"/>
    </xf>
    <xf borderId="16" fillId="0" fontId="58" numFmtId="0" xfId="0" applyAlignment="1" applyBorder="1" applyFont="1">
      <alignment horizontal="center" readingOrder="0" shrinkToFit="0" wrapText="0"/>
    </xf>
    <xf borderId="16" fillId="7" fontId="58" numFmtId="0" xfId="0" applyAlignment="1" applyBorder="1" applyFont="1">
      <alignment horizontal="center" readingOrder="0" shrinkToFit="0" wrapText="1"/>
    </xf>
    <xf borderId="18" fillId="22" fontId="59" numFmtId="0" xfId="0" applyAlignment="1" applyBorder="1" applyFont="1">
      <alignment horizontal="center" readingOrder="0"/>
    </xf>
    <xf borderId="18" fillId="7" fontId="30" numFmtId="0" xfId="0" applyAlignment="1" applyBorder="1" applyFont="1">
      <alignment horizontal="center"/>
    </xf>
    <xf borderId="18" fillId="23" fontId="27" numFmtId="0" xfId="0" applyAlignment="1" applyBorder="1" applyFont="1">
      <alignment horizontal="center" vertical="bottom"/>
    </xf>
    <xf borderId="18" fillId="23" fontId="27" numFmtId="0" xfId="0" applyAlignment="1" applyBorder="1" applyFont="1">
      <alignment horizontal="center" readingOrder="0" vertical="bottom"/>
    </xf>
    <xf borderId="18" fillId="22" fontId="27" numFmtId="0" xfId="0" applyAlignment="1" applyBorder="1" applyFont="1">
      <alignment horizontal="center" readingOrder="0" vertical="bottom"/>
    </xf>
    <xf borderId="40" fillId="0" fontId="30" numFmtId="0" xfId="0" applyAlignment="1" applyBorder="1" applyFont="1">
      <alignment horizontal="center" readingOrder="0"/>
    </xf>
    <xf borderId="1" fillId="0" fontId="30" numFmtId="0" xfId="0" applyAlignment="1" applyBorder="1" applyFont="1">
      <alignment horizontal="center" readingOrder="0"/>
    </xf>
    <xf borderId="41" fillId="0" fontId="30" numFmtId="0" xfId="0" applyAlignment="1" applyBorder="1" applyFont="1">
      <alignment horizontal="center" readingOrder="0"/>
    </xf>
    <xf borderId="18" fillId="7" fontId="8" numFmtId="0" xfId="0" applyAlignment="1" applyBorder="1" applyFont="1">
      <alignment horizontal="center" readingOrder="0"/>
    </xf>
    <xf borderId="18" fillId="0" fontId="60" numFmtId="0" xfId="0" applyAlignment="1" applyBorder="1" applyFont="1">
      <alignment horizontal="center" vertical="bottom"/>
    </xf>
    <xf borderId="16" fillId="0" fontId="29" numFmtId="0" xfId="0" applyAlignment="1" applyBorder="1" applyFont="1">
      <alignment horizontal="center" readingOrder="0" vertical="center"/>
    </xf>
    <xf borderId="16" fillId="0" fontId="61" numFmtId="0" xfId="0" applyAlignment="1" applyBorder="1" applyFont="1">
      <alignment horizontal="left" readingOrder="0" vertical="center"/>
    </xf>
    <xf borderId="16" fillId="0" fontId="62" numFmtId="0" xfId="0" applyAlignment="1" applyBorder="1" applyFont="1">
      <alignment horizontal="left" readingOrder="0" vertical="center"/>
    </xf>
    <xf borderId="16" fillId="0" fontId="32" numFmtId="0" xfId="0" applyAlignment="1" applyBorder="1" applyFont="1">
      <alignment horizontal="left" readingOrder="0" shrinkToFit="0" vertical="center" wrapText="1"/>
    </xf>
    <xf borderId="16" fillId="0" fontId="63" numFmtId="0" xfId="0" applyAlignment="1" applyBorder="1" applyFont="1">
      <alignment horizontal="left" readingOrder="0" shrinkToFit="0" vertical="center" wrapText="1"/>
    </xf>
    <xf borderId="25" fillId="0" fontId="24" numFmtId="0" xfId="0" applyAlignment="1" applyBorder="1" applyFont="1">
      <alignment horizontal="center" shrinkToFit="0" vertical="center" wrapText="1"/>
    </xf>
    <xf borderId="0" fillId="0" fontId="8" numFmtId="0" xfId="0" applyAlignment="1" applyFont="1">
      <alignment horizontal="center" vertical="center"/>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18" fillId="24" fontId="30" numFmtId="0" xfId="0" applyAlignment="1" applyBorder="1" applyFill="1" applyFont="1">
      <alignment horizontal="center" readingOrder="0"/>
    </xf>
    <xf borderId="18" fillId="25" fontId="30" numFmtId="0" xfId="0" applyAlignment="1" applyBorder="1" applyFill="1" applyFont="1">
      <alignment horizontal="center" readingOrder="0"/>
    </xf>
    <xf borderId="18" fillId="7" fontId="64" numFmtId="0" xfId="0" applyAlignment="1" applyBorder="1" applyFont="1">
      <alignment horizontal="center" readingOrder="0" shrinkToFit="0" wrapText="0"/>
    </xf>
    <xf borderId="18" fillId="0" fontId="65" numFmtId="0" xfId="0" applyAlignment="1" applyBorder="1" applyFont="1">
      <alignment horizontal="center" readingOrder="0" vertical="center"/>
    </xf>
    <xf borderId="0" fillId="0" fontId="30" numFmtId="0" xfId="0" applyAlignment="1" applyFont="1">
      <alignment horizontal="center" readingOrder="0"/>
    </xf>
    <xf borderId="42" fillId="0" fontId="30" numFmtId="0" xfId="0" applyAlignment="1" applyBorder="1" applyFont="1">
      <alignment horizontal="center" readingOrder="0"/>
    </xf>
    <xf borderId="42" fillId="0" fontId="27" numFmtId="0" xfId="0" applyAlignment="1" applyBorder="1" applyFont="1">
      <alignment horizontal="center" vertical="bottom"/>
    </xf>
    <xf borderId="18" fillId="0" fontId="8" numFmtId="164" xfId="0" applyAlignment="1" applyBorder="1" applyFont="1" applyNumberFormat="1">
      <alignment horizontal="center" readingOrder="0"/>
    </xf>
    <xf borderId="0" fillId="7" fontId="59" numFmtId="0" xfId="0" applyAlignment="1" applyFont="1">
      <alignment horizontal="center" readingOrder="0"/>
    </xf>
    <xf borderId="1" fillId="7" fontId="59" numFmtId="0" xfId="0" applyAlignment="1" applyBorder="1" applyFont="1">
      <alignment horizontal="center" readingOrder="0"/>
    </xf>
    <xf borderId="43" fillId="0" fontId="66" numFmtId="0" xfId="0" applyAlignment="1" applyBorder="1" applyFont="1">
      <alignment horizontal="center" vertical="bottom"/>
    </xf>
    <xf borderId="18" fillId="7" fontId="8" numFmtId="0" xfId="0" applyAlignment="1" applyBorder="1" applyFont="1">
      <alignment horizontal="center"/>
    </xf>
  </cellXfs>
  <cellStyles count="1">
    <cellStyle xfId="0" name="Normal" builtinId="0"/>
  </cellStyles>
  <dxfs count="13">
    <dxf>
      <font>
        <color rgb="FFFFFFFF"/>
      </font>
      <fill>
        <patternFill patternType="solid">
          <fgColor rgb="FF1155CC"/>
          <bgColor rgb="FF1155CC"/>
        </patternFill>
      </fill>
      <border/>
    </dxf>
    <dxf>
      <font>
        <color rgb="FFFFFFFF"/>
      </font>
      <fill>
        <patternFill patternType="solid">
          <fgColor rgb="FFCC0000"/>
          <bgColor rgb="FFCC0000"/>
        </patternFill>
      </fill>
      <border/>
    </dxf>
    <dxf>
      <font>
        <color rgb="FFFFFFFF"/>
      </font>
      <fill>
        <patternFill patternType="solid">
          <fgColor rgb="FFF1C232"/>
          <bgColor rgb="FFF1C232"/>
        </patternFill>
      </fill>
      <border/>
    </dxf>
    <dxf>
      <font>
        <color rgb="FFFFFFFF"/>
      </font>
      <fill>
        <patternFill patternType="solid">
          <fgColor rgb="FFFF0000"/>
          <bgColor rgb="FFFF0000"/>
        </patternFill>
      </fill>
      <border/>
    </dxf>
    <dxf>
      <font>
        <color rgb="FF00FF00"/>
      </font>
      <fill>
        <patternFill patternType="solid">
          <fgColor rgb="FF38761D"/>
          <bgColor rgb="FF38761D"/>
        </patternFill>
      </fill>
      <border/>
    </dxf>
    <dxf>
      <font>
        <color rgb="FFFFFFFF"/>
      </font>
      <fill>
        <patternFill patternType="solid">
          <fgColor rgb="FF134F5C"/>
          <bgColor rgb="FF134F5C"/>
        </patternFill>
      </fill>
      <border/>
    </dxf>
    <dxf>
      <font>
        <color rgb="FFFFFFFF"/>
      </font>
      <fill>
        <patternFill patternType="solid">
          <fgColor rgb="FFFF9900"/>
          <bgColor rgb="FFFF9900"/>
        </patternFill>
      </fill>
      <border/>
    </dxf>
    <dxf>
      <font>
        <color rgb="FF666666"/>
      </font>
      <fill>
        <patternFill patternType="solid">
          <fgColor rgb="FFFFF2CC"/>
          <bgColor rgb="FFFFF2CC"/>
        </patternFill>
      </fill>
      <border/>
    </dxf>
    <dxf>
      <font>
        <color rgb="FFFFFFFF"/>
      </font>
      <fill>
        <patternFill patternType="solid">
          <fgColor rgb="FF38761D"/>
          <bgColor rgb="FF38761D"/>
        </patternFill>
      </fill>
      <border/>
    </dxf>
    <dxf>
      <font>
        <color rgb="FFFFFFFF"/>
      </font>
      <fill>
        <patternFill patternType="solid">
          <fgColor rgb="FF93C47D"/>
          <bgColor rgb="FF93C47D"/>
        </patternFill>
      </fill>
      <border/>
    </dxf>
    <dxf>
      <font>
        <color rgb="FFFFFFFF"/>
      </font>
      <fill>
        <patternFill patternType="solid">
          <fgColor rgb="FFFFE599"/>
          <bgColor rgb="FFFFE599"/>
        </patternFill>
      </fill>
      <border/>
    </dxf>
    <dxf>
      <font>
        <color rgb="FFFFFFFF"/>
      </font>
      <fill>
        <patternFill patternType="solid">
          <fgColor rgb="FF6D9EEB"/>
          <bgColor rgb="FF6D9EEB"/>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png"/><Relationship Id="rId3"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227</xdr:row>
      <xdr:rowOff>0</xdr:rowOff>
    </xdr:from>
    <xdr:ext cx="1028700" cy="15621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228</xdr:row>
      <xdr:rowOff>0</xdr:rowOff>
    </xdr:from>
    <xdr:ext cx="5229225" cy="25812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248</xdr:row>
      <xdr:rowOff>0</xdr:rowOff>
    </xdr:from>
    <xdr:ext cx="1495425" cy="334327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DQYKmIs3mNK9p_aRtIggju05WJDqvvo-aerRKXeiO2Q/edit?usp=sharing" TargetMode="External"/><Relationship Id="rId2" Type="http://schemas.openxmlformats.org/officeDocument/2006/relationships/hyperlink" Target="mailto:marlon@facss.com.br" TargetMode="External"/><Relationship Id="rId3" Type="http://schemas.openxmlformats.org/officeDocument/2006/relationships/hyperlink" Target="mailto:marlon@facss.com.br" TargetMode="External"/><Relationship Id="rId4" Type="http://schemas.openxmlformats.org/officeDocument/2006/relationships/hyperlink" Target="mailto:gabriel@facss.com.br" TargetMode="External"/><Relationship Id="rId5" Type="http://schemas.openxmlformats.org/officeDocument/2006/relationships/hyperlink" Target="mailto:marlon@facss.com.br"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0.29"/>
    <col customWidth="1" min="3" max="3" width="92.0"/>
    <col customWidth="1" min="4" max="26" width="8.71"/>
  </cols>
  <sheetData>
    <row r="2">
      <c r="B2" s="1" t="s">
        <v>0</v>
      </c>
    </row>
    <row r="3">
      <c r="B3" s="2" t="s">
        <v>1</v>
      </c>
    </row>
    <row r="5" ht="19.5" customHeight="1">
      <c r="B5" s="3" t="s">
        <v>4</v>
      </c>
      <c r="C5" s="5"/>
    </row>
    <row r="6" ht="39.75" customHeight="1">
      <c r="B6" s="7" t="s">
        <v>6</v>
      </c>
      <c r="C6" s="5" t="s">
        <v>8</v>
      </c>
    </row>
    <row r="7" ht="39.75" customHeight="1">
      <c r="B7" s="7" t="s">
        <v>9</v>
      </c>
      <c r="C7" s="5" t="s">
        <v>10</v>
      </c>
    </row>
    <row r="8" ht="39.75" customHeight="1">
      <c r="B8" s="7" t="s">
        <v>12</v>
      </c>
      <c r="C8" s="5" t="s">
        <v>13</v>
      </c>
    </row>
    <row r="9" ht="39.75" customHeight="1">
      <c r="B9" s="7" t="s">
        <v>14</v>
      </c>
      <c r="C9" s="5" t="s">
        <v>15</v>
      </c>
    </row>
    <row r="10" ht="19.5" customHeight="1">
      <c r="B10" s="7" t="s">
        <v>16</v>
      </c>
      <c r="C10" s="5" t="s">
        <v>17</v>
      </c>
    </row>
    <row r="11" ht="39.75" customHeight="1">
      <c r="B11" s="7" t="s">
        <v>19</v>
      </c>
      <c r="C11" s="5" t="s">
        <v>21</v>
      </c>
    </row>
    <row r="12" ht="39.75" customHeight="1">
      <c r="B12" s="7" t="s">
        <v>24</v>
      </c>
      <c r="C12" s="5" t="s">
        <v>27</v>
      </c>
    </row>
    <row r="13" ht="39.75" customHeight="1">
      <c r="B13" s="7" t="s">
        <v>29</v>
      </c>
      <c r="C13" s="5" t="s">
        <v>32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B2:C2"/>
    <mergeCell ref="B3:C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1.57"/>
    <col customWidth="1" min="2" max="2" width="64.43"/>
    <col customWidth="1" min="3" max="3" width="37.29"/>
  </cols>
  <sheetData>
    <row r="1" ht="34.5" customHeight="1">
      <c r="A1" s="6" t="s">
        <v>3</v>
      </c>
      <c r="B1" s="9"/>
      <c r="C1" s="12"/>
    </row>
    <row r="2" ht="24.0" customHeight="1">
      <c r="A2" s="14" t="s">
        <v>26</v>
      </c>
      <c r="B2" s="14" t="s">
        <v>37</v>
      </c>
      <c r="C2" s="14" t="s">
        <v>38</v>
      </c>
    </row>
    <row r="3" ht="21.0" customHeight="1">
      <c r="A3" s="18" t="s">
        <v>39</v>
      </c>
      <c r="B3" s="9"/>
      <c r="C3" s="12"/>
    </row>
    <row r="4">
      <c r="A4" s="21" t="s">
        <v>42</v>
      </c>
      <c r="B4" s="22" t="s">
        <v>43</v>
      </c>
      <c r="C4" s="22" t="s">
        <v>46</v>
      </c>
    </row>
    <row r="5">
      <c r="A5" s="23" t="s">
        <v>14</v>
      </c>
      <c r="B5" s="25" t="s">
        <v>51</v>
      </c>
      <c r="C5" s="25" t="s">
        <v>52</v>
      </c>
    </row>
    <row r="6">
      <c r="A6" s="21" t="s">
        <v>6</v>
      </c>
      <c r="B6" s="22" t="s">
        <v>53</v>
      </c>
      <c r="C6" s="22" t="s">
        <v>54</v>
      </c>
    </row>
    <row r="7">
      <c r="A7" s="23" t="s">
        <v>9</v>
      </c>
      <c r="B7" s="25" t="s">
        <v>55</v>
      </c>
      <c r="C7" s="25" t="s">
        <v>57</v>
      </c>
    </row>
    <row r="8">
      <c r="A8" s="21" t="s">
        <v>12</v>
      </c>
      <c r="B8" s="22" t="s">
        <v>58</v>
      </c>
      <c r="C8" s="22" t="s">
        <v>59</v>
      </c>
    </row>
    <row r="9">
      <c r="A9" s="23" t="s">
        <v>16</v>
      </c>
      <c r="B9" s="25" t="s">
        <v>60</v>
      </c>
      <c r="C9" s="25" t="s">
        <v>61</v>
      </c>
    </row>
    <row r="10" ht="21.0" customHeight="1">
      <c r="A10" s="18" t="s">
        <v>62</v>
      </c>
      <c r="B10" s="9"/>
      <c r="C10" s="12"/>
    </row>
    <row r="11">
      <c r="A11" s="23" t="s">
        <v>63</v>
      </c>
      <c r="B11" s="25" t="s">
        <v>64</v>
      </c>
      <c r="C11" s="25" t="s">
        <v>66</v>
      </c>
    </row>
    <row r="12">
      <c r="A12" s="21" t="s">
        <v>67</v>
      </c>
      <c r="B12" s="22" t="s">
        <v>68</v>
      </c>
      <c r="C12" s="22" t="s">
        <v>66</v>
      </c>
    </row>
    <row r="13">
      <c r="A13" s="23" t="s">
        <v>69</v>
      </c>
      <c r="B13" s="25" t="s">
        <v>70</v>
      </c>
      <c r="C13" s="25" t="s">
        <v>66</v>
      </c>
    </row>
    <row r="14">
      <c r="A14" s="21" t="s">
        <v>71</v>
      </c>
      <c r="B14" s="22" t="s">
        <v>72</v>
      </c>
      <c r="C14" s="22" t="s">
        <v>66</v>
      </c>
    </row>
    <row r="15" ht="21.0" customHeight="1">
      <c r="A15" s="18" t="s">
        <v>73</v>
      </c>
      <c r="B15" s="9"/>
      <c r="C15" s="12"/>
    </row>
    <row r="16">
      <c r="A16" s="21" t="s">
        <v>75</v>
      </c>
      <c r="B16" s="22" t="s">
        <v>76</v>
      </c>
      <c r="C16" s="28"/>
    </row>
    <row r="17">
      <c r="A17" s="23" t="s">
        <v>77</v>
      </c>
      <c r="B17" s="25" t="s">
        <v>79</v>
      </c>
      <c r="C17" s="29"/>
    </row>
    <row r="18">
      <c r="A18" s="21" t="s">
        <v>78</v>
      </c>
      <c r="B18" s="22" t="s">
        <v>82</v>
      </c>
      <c r="C18" s="28"/>
    </row>
    <row r="19" ht="21.0" customHeight="1">
      <c r="A19" s="18" t="s">
        <v>83</v>
      </c>
      <c r="B19" s="9"/>
      <c r="C19" s="12"/>
    </row>
    <row r="20">
      <c r="A20" s="21" t="s">
        <v>85</v>
      </c>
      <c r="B20" s="22" t="s">
        <v>86</v>
      </c>
      <c r="C20" s="28"/>
    </row>
    <row r="21">
      <c r="A21" s="23" t="s">
        <v>87</v>
      </c>
      <c r="B21" s="25" t="s">
        <v>88</v>
      </c>
      <c r="C21" s="29"/>
    </row>
    <row r="22">
      <c r="A22" s="21" t="s">
        <v>89</v>
      </c>
      <c r="B22" s="22" t="s">
        <v>90</v>
      </c>
      <c r="C22" s="28"/>
    </row>
    <row r="23" ht="21.0" customHeight="1">
      <c r="A23" s="18" t="s">
        <v>91</v>
      </c>
      <c r="B23" s="9"/>
      <c r="C23" s="12"/>
    </row>
    <row r="24">
      <c r="A24" s="21" t="s">
        <v>92</v>
      </c>
      <c r="B24" s="22" t="s">
        <v>93</v>
      </c>
      <c r="C24" s="22" t="s">
        <v>94</v>
      </c>
    </row>
    <row r="25">
      <c r="A25" s="23" t="s">
        <v>95</v>
      </c>
      <c r="B25" s="25" t="s">
        <v>96</v>
      </c>
      <c r="C25" s="25" t="s">
        <v>94</v>
      </c>
    </row>
    <row r="26">
      <c r="A26" s="21" t="s">
        <v>98</v>
      </c>
      <c r="B26" s="22" t="s">
        <v>99</v>
      </c>
      <c r="C26" s="22" t="s">
        <v>94</v>
      </c>
    </row>
    <row r="27">
      <c r="A27" s="23" t="s">
        <v>71</v>
      </c>
      <c r="B27" s="25" t="s">
        <v>100</v>
      </c>
      <c r="C27" s="29"/>
    </row>
    <row r="28">
      <c r="A28" s="21" t="s">
        <v>101</v>
      </c>
      <c r="B28" s="22" t="s">
        <v>102</v>
      </c>
      <c r="C28" s="28"/>
    </row>
    <row r="29" ht="21.0" customHeight="1">
      <c r="A29" s="18" t="s">
        <v>103</v>
      </c>
      <c r="B29" s="9"/>
      <c r="C29" s="12"/>
    </row>
    <row r="30">
      <c r="A30" s="21" t="s">
        <v>104</v>
      </c>
      <c r="B30" s="22" t="s">
        <v>106</v>
      </c>
      <c r="C30" s="28"/>
    </row>
    <row r="31">
      <c r="A31" s="23" t="s">
        <v>107</v>
      </c>
      <c r="B31" s="25" t="s">
        <v>108</v>
      </c>
      <c r="C31" s="29"/>
    </row>
    <row r="32">
      <c r="A32" s="21" t="s">
        <v>109</v>
      </c>
      <c r="B32" s="22" t="s">
        <v>110</v>
      </c>
      <c r="C32" s="28"/>
    </row>
    <row r="33">
      <c r="A33" s="23" t="s">
        <v>111</v>
      </c>
      <c r="B33" s="25" t="s">
        <v>112</v>
      </c>
      <c r="C33" s="29"/>
    </row>
    <row r="34">
      <c r="A34" s="21" t="s">
        <v>113</v>
      </c>
      <c r="B34" s="22" t="s">
        <v>114</v>
      </c>
      <c r="C34" s="28"/>
    </row>
    <row r="35">
      <c r="A35" s="23" t="s">
        <v>115</v>
      </c>
      <c r="B35" s="25" t="s">
        <v>116</v>
      </c>
      <c r="C35" s="29"/>
    </row>
    <row r="36">
      <c r="A36" s="21" t="s">
        <v>117</v>
      </c>
      <c r="B36" s="22" t="s">
        <v>118</v>
      </c>
      <c r="C36" s="28"/>
    </row>
    <row r="37">
      <c r="A37" s="23" t="s">
        <v>119</v>
      </c>
      <c r="B37" s="25" t="s">
        <v>120</v>
      </c>
      <c r="C37" s="29"/>
    </row>
    <row r="38">
      <c r="A38" s="21" t="s">
        <v>121</v>
      </c>
      <c r="B38" s="22" t="s">
        <v>122</v>
      </c>
      <c r="C38" s="28"/>
    </row>
    <row r="39" ht="21.0" customHeight="1">
      <c r="A39" s="18" t="s">
        <v>123</v>
      </c>
      <c r="B39" s="9"/>
      <c r="C39" s="12"/>
    </row>
    <row r="40">
      <c r="A40" s="21" t="s">
        <v>128</v>
      </c>
      <c r="B40" s="22" t="s">
        <v>129</v>
      </c>
      <c r="C40" s="28"/>
    </row>
    <row r="41">
      <c r="A41" s="23" t="s">
        <v>130</v>
      </c>
      <c r="B41" s="25" t="s">
        <v>129</v>
      </c>
      <c r="C41" s="29"/>
    </row>
    <row r="42">
      <c r="A42" s="21" t="s">
        <v>131</v>
      </c>
      <c r="B42" s="22" t="s">
        <v>129</v>
      </c>
      <c r="C42" s="28"/>
    </row>
    <row r="43">
      <c r="A43" s="23" t="s">
        <v>132</v>
      </c>
      <c r="B43" s="25" t="s">
        <v>133</v>
      </c>
      <c r="C43" s="29"/>
    </row>
    <row r="44">
      <c r="A44" s="21" t="s">
        <v>134</v>
      </c>
      <c r="B44" s="22" t="s">
        <v>135</v>
      </c>
      <c r="C44" s="28"/>
    </row>
    <row r="45" ht="21.0" customHeight="1">
      <c r="A45" s="18" t="s">
        <v>136</v>
      </c>
      <c r="B45" s="9"/>
      <c r="C45" s="12"/>
    </row>
    <row r="46">
      <c r="A46" s="21" t="s">
        <v>65</v>
      </c>
      <c r="B46" s="22" t="s">
        <v>137</v>
      </c>
      <c r="C46" s="22" t="s">
        <v>138</v>
      </c>
    </row>
    <row r="47">
      <c r="A47" s="23" t="s">
        <v>84</v>
      </c>
      <c r="B47" s="25" t="s">
        <v>140</v>
      </c>
      <c r="C47" s="25" t="s">
        <v>141</v>
      </c>
    </row>
    <row r="48">
      <c r="A48" s="21" t="s">
        <v>105</v>
      </c>
      <c r="B48" s="22" t="s">
        <v>142</v>
      </c>
      <c r="C48" s="22" t="s">
        <v>143</v>
      </c>
    </row>
    <row r="49">
      <c r="A49" s="23" t="s">
        <v>144</v>
      </c>
      <c r="B49" s="25" t="s">
        <v>145</v>
      </c>
      <c r="C49" s="25" t="s">
        <v>146</v>
      </c>
    </row>
    <row r="50">
      <c r="A50" s="21" t="s">
        <v>147</v>
      </c>
      <c r="B50" s="22" t="s">
        <v>148</v>
      </c>
      <c r="C50" s="22" t="s">
        <v>149</v>
      </c>
    </row>
    <row r="51">
      <c r="A51" s="23" t="s">
        <v>150</v>
      </c>
      <c r="B51" s="25" t="s">
        <v>151</v>
      </c>
      <c r="C51" s="25" t="s">
        <v>152</v>
      </c>
    </row>
    <row r="52">
      <c r="A52" s="21" t="s">
        <v>153</v>
      </c>
      <c r="B52" s="22" t="s">
        <v>154</v>
      </c>
      <c r="C52" s="22" t="s">
        <v>155</v>
      </c>
    </row>
    <row r="53">
      <c r="A53" s="23" t="s">
        <v>156</v>
      </c>
      <c r="B53" s="25" t="s">
        <v>157</v>
      </c>
      <c r="C53" s="25" t="s">
        <v>158</v>
      </c>
    </row>
    <row r="54" ht="21.0" customHeight="1">
      <c r="A54" s="18" t="s">
        <v>159</v>
      </c>
      <c r="B54" s="9"/>
      <c r="C54" s="12"/>
    </row>
    <row r="55">
      <c r="A55" s="23" t="s">
        <v>161</v>
      </c>
      <c r="B55" s="25" t="s">
        <v>162</v>
      </c>
      <c r="C55" s="29"/>
    </row>
    <row r="56">
      <c r="A56" s="21" t="s">
        <v>164</v>
      </c>
      <c r="B56" s="22" t="s">
        <v>165</v>
      </c>
      <c r="C56" s="28"/>
    </row>
    <row r="57">
      <c r="A57" s="23" t="s">
        <v>33</v>
      </c>
      <c r="B57" s="25" t="s">
        <v>167</v>
      </c>
      <c r="C57" s="29"/>
    </row>
    <row r="58">
      <c r="A58" s="21" t="s">
        <v>168</v>
      </c>
      <c r="B58" s="22" t="s">
        <v>169</v>
      </c>
      <c r="C58" s="28"/>
    </row>
    <row r="59">
      <c r="A59" s="23" t="s">
        <v>170</v>
      </c>
      <c r="B59" s="25" t="s">
        <v>171</v>
      </c>
      <c r="C59" s="29"/>
    </row>
    <row r="60">
      <c r="A60" s="21" t="s">
        <v>172</v>
      </c>
      <c r="B60" s="22" t="s">
        <v>173</v>
      </c>
      <c r="C60" s="28"/>
    </row>
    <row r="61">
      <c r="A61" s="23" t="s">
        <v>174</v>
      </c>
      <c r="B61" s="25" t="s">
        <v>175</v>
      </c>
      <c r="C61" s="29"/>
    </row>
    <row r="62" ht="21.0" customHeight="1">
      <c r="A62" s="18" t="s">
        <v>176</v>
      </c>
      <c r="B62" s="9"/>
      <c r="C62" s="12"/>
    </row>
    <row r="63">
      <c r="A63" s="23" t="s">
        <v>178</v>
      </c>
      <c r="B63" s="25" t="s">
        <v>179</v>
      </c>
      <c r="C63" s="29"/>
    </row>
    <row r="64">
      <c r="A64" s="21" t="s">
        <v>180</v>
      </c>
      <c r="B64" s="22" t="s">
        <v>181</v>
      </c>
      <c r="C64" s="28"/>
    </row>
    <row r="65">
      <c r="A65" s="23" t="s">
        <v>47</v>
      </c>
      <c r="B65" s="25" t="s">
        <v>182</v>
      </c>
      <c r="C65" s="29"/>
    </row>
    <row r="66">
      <c r="A66" s="21" t="s">
        <v>183</v>
      </c>
      <c r="B66" s="22" t="s">
        <v>184</v>
      </c>
      <c r="C66" s="28"/>
    </row>
    <row r="67">
      <c r="A67" s="23" t="s">
        <v>186</v>
      </c>
      <c r="B67" s="25" t="s">
        <v>187</v>
      </c>
      <c r="C67" s="29"/>
    </row>
    <row r="68">
      <c r="A68" s="21" t="s">
        <v>188</v>
      </c>
      <c r="B68" s="22" t="s">
        <v>189</v>
      </c>
      <c r="C68" s="28"/>
    </row>
    <row r="69" ht="21.0" customHeight="1">
      <c r="A69" s="18" t="s">
        <v>190</v>
      </c>
      <c r="B69" s="9"/>
      <c r="C69" s="12"/>
    </row>
    <row r="70">
      <c r="A70" s="21" t="s">
        <v>191</v>
      </c>
      <c r="B70" s="22" t="s">
        <v>192</v>
      </c>
      <c r="C70" s="28"/>
    </row>
    <row r="71">
      <c r="A71" s="23" t="s">
        <v>195</v>
      </c>
      <c r="B71" s="25" t="s">
        <v>196</v>
      </c>
      <c r="C71" s="29"/>
    </row>
    <row r="72">
      <c r="A72" s="21" t="s">
        <v>197</v>
      </c>
      <c r="B72" s="22" t="s">
        <v>198</v>
      </c>
      <c r="C72" s="28"/>
    </row>
    <row r="73" ht="21.0" customHeight="1">
      <c r="A73" s="18" t="s">
        <v>199</v>
      </c>
      <c r="B73" s="9"/>
      <c r="C73" s="12"/>
    </row>
    <row r="74">
      <c r="A74" s="21" t="s">
        <v>200</v>
      </c>
      <c r="B74" s="22" t="s">
        <v>201</v>
      </c>
      <c r="C74" s="22" t="s">
        <v>202</v>
      </c>
    </row>
    <row r="75">
      <c r="A75" s="23" t="s">
        <v>203</v>
      </c>
      <c r="B75" s="25" t="s">
        <v>204</v>
      </c>
      <c r="C75" s="25" t="s">
        <v>205</v>
      </c>
    </row>
    <row r="76">
      <c r="A76" s="21" t="s">
        <v>206</v>
      </c>
      <c r="B76" s="22" t="s">
        <v>207</v>
      </c>
      <c r="C76" s="22" t="s">
        <v>208</v>
      </c>
    </row>
    <row r="77">
      <c r="A77" s="23" t="s">
        <v>209</v>
      </c>
      <c r="B77" s="25" t="s">
        <v>210</v>
      </c>
      <c r="C77" s="25" t="s">
        <v>211</v>
      </c>
    </row>
  </sheetData>
  <mergeCells count="13">
    <mergeCell ref="A39:C39"/>
    <mergeCell ref="A45:C45"/>
    <mergeCell ref="A54:C54"/>
    <mergeCell ref="A62:C62"/>
    <mergeCell ref="A69:C69"/>
    <mergeCell ref="A73:C73"/>
    <mergeCell ref="A1:C1"/>
    <mergeCell ref="A3:C3"/>
    <mergeCell ref="A10:C10"/>
    <mergeCell ref="A15:C15"/>
    <mergeCell ref="A19:C19"/>
    <mergeCell ref="A23:C23"/>
    <mergeCell ref="A29:C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12.0"/>
    <col customWidth="1" min="4" max="4" width="3.29"/>
    <col customWidth="1" min="5" max="5" width="30.0"/>
    <col customWidth="1" min="6" max="6" width="12.0"/>
    <col customWidth="1" min="7" max="7" width="3.86"/>
    <col customWidth="1" min="8" max="8" width="30.0"/>
    <col customWidth="1" min="9" max="9" width="12.0"/>
    <col customWidth="1" min="10" max="10" width="8.71"/>
  </cols>
  <sheetData>
    <row r="2">
      <c r="B2" s="1" t="s">
        <v>2</v>
      </c>
    </row>
    <row r="3">
      <c r="B3" s="4" t="s">
        <v>5</v>
      </c>
    </row>
    <row r="5">
      <c r="A5" s="8"/>
      <c r="B5" s="11" t="s">
        <v>11</v>
      </c>
      <c r="C5" s="8"/>
      <c r="D5" s="11"/>
      <c r="E5" s="11" t="s">
        <v>22</v>
      </c>
      <c r="F5" s="8"/>
      <c r="G5" s="11"/>
      <c r="H5" s="11" t="s">
        <v>25</v>
      </c>
      <c r="I5" s="8"/>
      <c r="J5" s="8"/>
    </row>
    <row r="6" ht="6.0" customHeight="1">
      <c r="A6" s="8"/>
      <c r="B6" s="8"/>
      <c r="C6" s="8"/>
      <c r="D6" s="8"/>
      <c r="E6" s="8"/>
      <c r="F6" s="8"/>
      <c r="G6" s="8"/>
      <c r="H6" s="8"/>
      <c r="I6" s="8"/>
      <c r="J6" s="8"/>
    </row>
    <row r="7">
      <c r="A7" s="8"/>
      <c r="B7" s="15" t="s">
        <v>35</v>
      </c>
      <c r="C7" s="26">
        <f>COUNTIF(Clientes!$B$2:$B$51,"Ativo")</f>
        <v>16</v>
      </c>
      <c r="D7" s="15"/>
      <c r="E7" s="15" t="s">
        <v>56</v>
      </c>
      <c r="F7" s="26">
        <f>COUNTIF(Clientes!$E$2:$E$47,E7)</f>
        <v>6</v>
      </c>
      <c r="G7" s="15"/>
      <c r="H7" s="15" t="s">
        <v>65</v>
      </c>
      <c r="I7" s="26">
        <f>COUNTIF(Pipeline!$H$2:$H$300,"Lead")</f>
        <v>24</v>
      </c>
      <c r="J7" s="8"/>
    </row>
    <row r="8">
      <c r="A8" s="8"/>
      <c r="B8" s="15" t="s">
        <v>67</v>
      </c>
      <c r="C8" s="26">
        <f>COUNTIF(Clientes!$B$2:$B$51,"Período de teste")</f>
        <v>5</v>
      </c>
      <c r="D8" s="15"/>
      <c r="E8" s="15" t="s">
        <v>80</v>
      </c>
      <c r="F8" s="26">
        <f>COUNTIF(Clientes!$E$2:$E$47,E8)</f>
        <v>17</v>
      </c>
      <c r="G8" s="15"/>
      <c r="H8" s="15" t="s">
        <v>84</v>
      </c>
      <c r="I8" s="26">
        <f>COUNTIF(Pipeline!$H$2:$H$300,"Contato feito")</f>
        <v>0</v>
      </c>
      <c r="J8" s="8"/>
    </row>
    <row r="9">
      <c r="A9" s="8"/>
      <c r="B9" s="15" t="s">
        <v>69</v>
      </c>
      <c r="C9" s="26">
        <f>COUNTIF(Clientes!$B$2:$B$51,"Proposta comercial")</f>
        <v>3</v>
      </c>
      <c r="D9" s="15"/>
      <c r="E9" s="15" t="s">
        <v>97</v>
      </c>
      <c r="F9" s="26">
        <f>COUNTIF(Clientes!$E$2:$E$47,E9)</f>
        <v>1</v>
      </c>
      <c r="G9" s="15"/>
      <c r="H9" s="15" t="s">
        <v>105</v>
      </c>
      <c r="I9" s="26">
        <f>COUNTIF(Pipeline!$H$2:$H$300,"Diagnóstico agendado")</f>
        <v>0</v>
      </c>
      <c r="J9" s="8"/>
    </row>
    <row r="10">
      <c r="A10" s="8"/>
      <c r="B10" s="15" t="s">
        <v>71</v>
      </c>
      <c r="C10" s="26">
        <f>COUNTIF(Clientes!$B$2:$B$51,"Prospecção")</f>
        <v>6</v>
      </c>
      <c r="D10" s="15"/>
      <c r="E10" s="32" t="s">
        <v>139</v>
      </c>
      <c r="F10" s="26">
        <f>COUNTIF(Clientes!$E$2:$E$47,E10)</f>
        <v>22</v>
      </c>
      <c r="G10" s="15"/>
      <c r="H10" s="15" t="s">
        <v>144</v>
      </c>
      <c r="I10" s="26">
        <f>COUNTIF(Pipeline!$H$2:$H$300,"Diagnóstico feito")</f>
        <v>0</v>
      </c>
      <c r="J10" s="8"/>
    </row>
    <row r="11">
      <c r="A11" s="8"/>
      <c r="B11" s="32" t="s">
        <v>163</v>
      </c>
      <c r="C11" s="26">
        <f>COUNTIF(Clientes!$B$2:$B$48,"Inativo")</f>
        <v>3</v>
      </c>
      <c r="D11" s="15"/>
      <c r="G11" s="15"/>
      <c r="H11" s="15" t="s">
        <v>147</v>
      </c>
      <c r="I11" s="26">
        <f>COUNTIF(Pipeline!$H$2:$H$300,"Proposta enviada")</f>
        <v>0</v>
      </c>
      <c r="J11" s="8"/>
    </row>
    <row r="12">
      <c r="A12" s="8"/>
      <c r="B12" s="32" t="s">
        <v>177</v>
      </c>
      <c r="C12" s="26">
        <f>COUNTIF(Clientes!$B$2:$B$51,"POC Sem Evolução")</f>
        <v>10</v>
      </c>
      <c r="D12" s="8"/>
      <c r="E12" s="8"/>
      <c r="F12" s="8"/>
      <c r="G12" s="15"/>
      <c r="H12" s="15" t="s">
        <v>150</v>
      </c>
      <c r="I12" s="26">
        <f>COUNTIF(Pipeline!$H$2:$H$300,"Negociação")</f>
        <v>0</v>
      </c>
      <c r="J12" s="8"/>
    </row>
    <row r="13">
      <c r="A13" s="8"/>
      <c r="B13" s="32" t="s">
        <v>194</v>
      </c>
      <c r="C13" s="26">
        <f>COUNTIF(Clientes!$B$2:$B$51,"Prospecção sem Sucesso")</f>
        <v>3</v>
      </c>
      <c r="G13" s="15"/>
      <c r="H13" s="15" t="s">
        <v>153</v>
      </c>
      <c r="I13" s="26">
        <f>COUNTIF(Pipeline!$H$2:$H$300,"Fechado - Ganho")</f>
        <v>0</v>
      </c>
      <c r="J13" s="8"/>
    </row>
    <row r="14">
      <c r="A14" s="8"/>
      <c r="J14" s="8"/>
    </row>
    <row r="15">
      <c r="A15" s="8"/>
      <c r="B15" s="11" t="s">
        <v>20</v>
      </c>
      <c r="C15" s="8"/>
      <c r="D15" s="11"/>
      <c r="E15" s="11" t="s">
        <v>214</v>
      </c>
      <c r="F15" s="8"/>
      <c r="G15" s="15"/>
      <c r="J15" s="8"/>
    </row>
    <row r="16" ht="5.25" customHeight="1">
      <c r="A16" s="8"/>
      <c r="B16" s="8"/>
      <c r="C16" s="8"/>
      <c r="D16" s="8"/>
      <c r="E16" s="8"/>
      <c r="F16" s="8"/>
      <c r="G16" s="8"/>
      <c r="J16" s="8"/>
    </row>
    <row r="17">
      <c r="A17" s="8"/>
      <c r="B17" s="15" t="s">
        <v>75</v>
      </c>
      <c r="C17" s="26">
        <f>COUNTIF(Clientes!$C$2:$C$48,"Faturando")</f>
        <v>15</v>
      </c>
      <c r="D17" s="15"/>
      <c r="E17" s="15" t="s">
        <v>216</v>
      </c>
      <c r="F17" s="26">
        <f>SUM(Clientes!$K$2:$K$501)</f>
        <v>2072</v>
      </c>
      <c r="G17" s="15"/>
      <c r="H17" s="15" t="s">
        <v>224</v>
      </c>
      <c r="I17" s="40">
        <f>SUM(Pipeline!$K$2:$K$300)</f>
        <v>0</v>
      </c>
      <c r="J17" s="8"/>
    </row>
    <row r="18">
      <c r="A18" s="8"/>
      <c r="B18" s="15" t="s">
        <v>77</v>
      </c>
      <c r="C18" s="26">
        <f>COUNTIF(Clientes!$C$2:$C$48,"Sem faturar")</f>
        <v>0</v>
      </c>
      <c r="D18" s="15"/>
      <c r="E18" s="15" t="s">
        <v>239</v>
      </c>
      <c r="F18" s="26">
        <f>COUNTA('Interações'!$A$2:$A$204)</f>
        <v>127</v>
      </c>
      <c r="G18" s="8"/>
      <c r="H18" s="15" t="s">
        <v>206</v>
      </c>
      <c r="I18" s="26">
        <f>COUNTA(Pipeline!$B$2:$B$300)</f>
        <v>24</v>
      </c>
      <c r="J18" s="8"/>
    </row>
    <row r="19">
      <c r="A19" s="8"/>
      <c r="D19" s="15"/>
      <c r="E19" s="15" t="s">
        <v>251</v>
      </c>
      <c r="F19" s="26">
        <f>COUNTIF(Clientes!$D$2:$D$51,"Diego")</f>
        <v>22</v>
      </c>
      <c r="G19" s="8"/>
      <c r="H19" s="8"/>
      <c r="I19" s="8"/>
      <c r="J19" s="8"/>
    </row>
    <row r="20">
      <c r="B20" s="8"/>
      <c r="C20" s="8"/>
      <c r="D20" s="15"/>
      <c r="E20" s="15" t="s">
        <v>262</v>
      </c>
      <c r="F20" s="26">
        <f>COUNTIF(Clientes!$D$2:$D$51,"Guilherme")</f>
        <v>22</v>
      </c>
      <c r="G20" s="8"/>
      <c r="H20" s="8"/>
      <c r="I20" s="8"/>
    </row>
    <row r="21">
      <c r="B21" s="8"/>
      <c r="C21" s="8"/>
      <c r="D21" s="15"/>
      <c r="E21" s="15" t="s">
        <v>268</v>
      </c>
      <c r="F21" s="26">
        <f>COUNTIF(Clientes!$D$2:$D$51,"Pablo")</f>
        <v>1</v>
      </c>
    </row>
    <row r="22" ht="15.75" customHeight="1">
      <c r="B22" s="8"/>
      <c r="C22" s="8"/>
      <c r="D22" s="8"/>
      <c r="E22" s="8"/>
      <c r="F22" s="8"/>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43"/>
    <col customWidth="1" min="2" max="2" width="15.86"/>
    <col customWidth="1" min="3" max="3" width="16.14"/>
    <col customWidth="1" min="4" max="4" width="12.43"/>
    <col customWidth="1" min="5" max="5" width="15.57"/>
    <col customWidth="1" min="6" max="6" width="18.57"/>
    <col customWidth="1" min="7" max="7" width="12.71"/>
    <col customWidth="1" min="8" max="8" width="16.43"/>
    <col customWidth="1" min="9" max="9" width="37.0"/>
    <col customWidth="1" min="10" max="10" width="10.43"/>
    <col customWidth="1" min="11" max="11" width="4.14"/>
    <col customWidth="1" min="12" max="12" width="13.29"/>
    <col customWidth="1" min="13" max="13" width="14.0"/>
    <col customWidth="1" min="14" max="14" width="14.43"/>
    <col customWidth="1" min="15" max="15" width="14.29"/>
    <col customWidth="1" min="16" max="16" width="17.29"/>
    <col customWidth="1" min="17" max="17" width="12.86"/>
    <col customWidth="1" hidden="1" min="18" max="18" width="12.43"/>
  </cols>
  <sheetData>
    <row r="1" ht="33.75" customHeight="1">
      <c r="A1" s="10" t="s">
        <v>7</v>
      </c>
      <c r="B1" s="10" t="s">
        <v>18</v>
      </c>
      <c r="C1" s="10" t="s">
        <v>20</v>
      </c>
      <c r="D1" s="13" t="s">
        <v>23</v>
      </c>
      <c r="E1" s="13" t="s">
        <v>28</v>
      </c>
      <c r="F1" s="10" t="s">
        <v>30</v>
      </c>
      <c r="G1" s="10" t="s">
        <v>31</v>
      </c>
      <c r="H1" s="10" t="s">
        <v>33</v>
      </c>
      <c r="I1" s="10" t="s">
        <v>34</v>
      </c>
      <c r="J1" s="16" t="s">
        <v>36</v>
      </c>
      <c r="K1" s="17"/>
      <c r="L1" s="19" t="s">
        <v>40</v>
      </c>
      <c r="M1" s="20" t="s">
        <v>41</v>
      </c>
      <c r="N1" s="10" t="s">
        <v>44</v>
      </c>
      <c r="O1" s="10" t="s">
        <v>45</v>
      </c>
      <c r="P1" s="10" t="s">
        <v>47</v>
      </c>
      <c r="Q1" s="10" t="s">
        <v>48</v>
      </c>
      <c r="R1" s="10" t="s">
        <v>49</v>
      </c>
    </row>
    <row r="2" ht="31.5" customHeight="1">
      <c r="A2" s="24" t="s">
        <v>50</v>
      </c>
      <c r="B2" s="27" t="s">
        <v>74</v>
      </c>
      <c r="C2" s="27" t="s">
        <v>78</v>
      </c>
      <c r="D2" s="27" t="s">
        <v>81</v>
      </c>
      <c r="E2" s="30" t="str">
        <f t="shared" ref="E2:E47" si="1">IF(OR($B2="POC Sem Evolução",$B2="Prospecção Sem Sucesso",$B2="Inativo",$B2="Prospecção"),
"⚪ Sem dados",IF($C2="Faturando",IF($Q2="Com evolução","🟢 Saudável",IF($Q2="Sem evolução",
"🟡 Atenção",IF(AND($P2="Capacitação Efetiva",$L2="Módulos operando"),"🟢 Saudável","🟡 Atenção"))),
IF(AND($B2="Ativo",$C2="Faturamento inativo"),"🔴 Risco",IF($C2="","⚪ Sem dados","🟡 Atenção"))))</f>
        <v>⚪ Sem dados</v>
      </c>
      <c r="F2" s="27" t="s">
        <v>124</v>
      </c>
      <c r="G2" s="27" t="s">
        <v>125</v>
      </c>
      <c r="H2" s="27" t="s">
        <v>126</v>
      </c>
      <c r="I2" s="27" t="s">
        <v>127</v>
      </c>
      <c r="J2" s="31">
        <v>46009.0</v>
      </c>
      <c r="K2" s="33">
        <f>COUNTIFS('Módulos'!$G$2:$G$2464,A2,'Módulos'!$I$2:$I$2464,"ATIVO")</f>
        <v>1</v>
      </c>
      <c r="L2" s="34" t="s">
        <v>160</v>
      </c>
      <c r="M2" s="35" t="s">
        <v>166</v>
      </c>
      <c r="N2" s="27" t="s">
        <v>89</v>
      </c>
      <c r="O2" s="27" t="s">
        <v>107</v>
      </c>
      <c r="P2" s="27" t="s">
        <v>185</v>
      </c>
      <c r="Q2" s="27" t="s">
        <v>185</v>
      </c>
      <c r="R2" s="36">
        <v>46149.0</v>
      </c>
    </row>
    <row r="3" ht="31.5" customHeight="1">
      <c r="A3" s="37" t="s">
        <v>193</v>
      </c>
      <c r="B3" s="38" t="s">
        <v>63</v>
      </c>
      <c r="C3" s="27" t="s">
        <v>75</v>
      </c>
      <c r="D3" s="27" t="s">
        <v>81</v>
      </c>
      <c r="E3" s="30" t="str">
        <f t="shared" si="1"/>
        <v>🟡 Atenção</v>
      </c>
      <c r="F3" s="38" t="s">
        <v>212</v>
      </c>
      <c r="G3" s="38" t="s">
        <v>81</v>
      </c>
      <c r="H3" s="38" t="s">
        <v>213</v>
      </c>
      <c r="I3" s="38" t="s">
        <v>215</v>
      </c>
      <c r="J3" s="39">
        <v>45939.0</v>
      </c>
      <c r="K3" s="33">
        <f>COUNTIFS('Módulos'!$G$2:$G$2464,A3,'Módulos'!$I$2:$I$2464,"ATIVO")</f>
        <v>6</v>
      </c>
      <c r="L3" s="34" t="s">
        <v>111</v>
      </c>
      <c r="M3" s="27" t="s">
        <v>134</v>
      </c>
      <c r="N3" s="27" t="s">
        <v>85</v>
      </c>
      <c r="O3" s="27" t="s">
        <v>107</v>
      </c>
      <c r="P3" s="27" t="s">
        <v>227</v>
      </c>
      <c r="Q3" s="27" t="s">
        <v>121</v>
      </c>
      <c r="R3" s="39">
        <v>46209.0</v>
      </c>
    </row>
    <row r="4" ht="31.5" customHeight="1">
      <c r="A4" s="37" t="s">
        <v>230</v>
      </c>
      <c r="B4" s="38" t="s">
        <v>63</v>
      </c>
      <c r="C4" s="27" t="s">
        <v>75</v>
      </c>
      <c r="D4" s="27" t="s">
        <v>231</v>
      </c>
      <c r="E4" s="30" t="str">
        <f t="shared" si="1"/>
        <v>🟡 Atenção</v>
      </c>
      <c r="F4" s="38" t="s">
        <v>233</v>
      </c>
      <c r="G4" s="38" t="s">
        <v>234</v>
      </c>
      <c r="H4" s="38" t="s">
        <v>235</v>
      </c>
      <c r="I4" s="38" t="s">
        <v>236</v>
      </c>
      <c r="J4" s="39">
        <v>45887.0</v>
      </c>
      <c r="K4" s="33">
        <f>COUNTIFS('Módulos'!$G$2:$G$2464,A4,'Módulos'!$I$2:$I$2464,"ATIVO")</f>
        <v>118</v>
      </c>
      <c r="L4" s="34" t="s">
        <v>111</v>
      </c>
      <c r="M4" s="27" t="s">
        <v>128</v>
      </c>
      <c r="N4" s="27" t="s">
        <v>87</v>
      </c>
      <c r="O4" s="27" t="s">
        <v>107</v>
      </c>
      <c r="P4" s="27" t="s">
        <v>243</v>
      </c>
      <c r="Q4" s="27" t="s">
        <v>121</v>
      </c>
      <c r="R4" s="39">
        <v>46216.0</v>
      </c>
    </row>
    <row r="5" ht="31.5" customHeight="1">
      <c r="A5" s="37" t="s">
        <v>245</v>
      </c>
      <c r="B5" s="38" t="s">
        <v>67</v>
      </c>
      <c r="C5" s="27" t="s">
        <v>78</v>
      </c>
      <c r="D5" s="27" t="s">
        <v>247</v>
      </c>
      <c r="E5" s="30" t="str">
        <f t="shared" si="1"/>
        <v>🟡 Atenção</v>
      </c>
      <c r="F5" s="38" t="s">
        <v>250</v>
      </c>
      <c r="G5" s="38" t="s">
        <v>252</v>
      </c>
      <c r="H5" s="38" t="s">
        <v>254</v>
      </c>
      <c r="I5" s="38" t="s">
        <v>256</v>
      </c>
      <c r="J5" s="39">
        <v>45887.0</v>
      </c>
      <c r="K5" s="33">
        <f>COUNTIFS('Módulos'!$G$2:$G$2464,A5,'Módulos'!$I$2:$I$2464,"ATIVO")</f>
        <v>4</v>
      </c>
      <c r="L5" s="34" t="s">
        <v>111</v>
      </c>
      <c r="M5" s="27" t="s">
        <v>166</v>
      </c>
      <c r="N5" s="27" t="s">
        <v>89</v>
      </c>
      <c r="O5" s="27" t="s">
        <v>109</v>
      </c>
      <c r="P5" s="27" t="s">
        <v>227</v>
      </c>
      <c r="Q5" s="27" t="s">
        <v>270</v>
      </c>
      <c r="R5" s="39">
        <v>46216.0</v>
      </c>
    </row>
    <row r="6" ht="31.5" customHeight="1">
      <c r="A6" s="37" t="s">
        <v>271</v>
      </c>
      <c r="B6" s="38" t="s">
        <v>63</v>
      </c>
      <c r="C6" s="27" t="s">
        <v>75</v>
      </c>
      <c r="D6" s="27" t="s">
        <v>81</v>
      </c>
      <c r="E6" s="30" t="str">
        <f t="shared" si="1"/>
        <v>🟡 Atenção</v>
      </c>
      <c r="F6" s="38" t="s">
        <v>272</v>
      </c>
      <c r="G6" s="38" t="s">
        <v>273</v>
      </c>
      <c r="H6" s="38" t="s">
        <v>274</v>
      </c>
      <c r="I6" s="38" t="s">
        <v>275</v>
      </c>
      <c r="J6" s="39">
        <v>46017.0</v>
      </c>
      <c r="K6" s="33">
        <f>COUNTIFS('Módulos'!$G$2:$G$2464,A6,'Módulos'!$I$2:$I$2464,"ATIVO")</f>
        <v>29</v>
      </c>
      <c r="L6" s="34" t="s">
        <v>111</v>
      </c>
      <c r="M6" s="27" t="s">
        <v>131</v>
      </c>
      <c r="N6" s="27" t="s">
        <v>85</v>
      </c>
      <c r="O6" s="27" t="s">
        <v>107</v>
      </c>
      <c r="P6" s="27" t="s">
        <v>243</v>
      </c>
      <c r="Q6" s="27" t="s">
        <v>121</v>
      </c>
      <c r="R6" s="36">
        <v>46225.0</v>
      </c>
    </row>
    <row r="7" ht="31.5" customHeight="1">
      <c r="A7" s="24" t="s">
        <v>279</v>
      </c>
      <c r="B7" s="27" t="s">
        <v>74</v>
      </c>
      <c r="C7" s="27" t="s">
        <v>78</v>
      </c>
      <c r="D7" s="27" t="s">
        <v>231</v>
      </c>
      <c r="E7" s="30" t="str">
        <f t="shared" si="1"/>
        <v>⚪ Sem dados</v>
      </c>
      <c r="F7" s="38"/>
      <c r="G7" s="27" t="s">
        <v>284</v>
      </c>
      <c r="H7" s="27" t="s">
        <v>286</v>
      </c>
      <c r="I7" s="27" t="s">
        <v>287</v>
      </c>
      <c r="J7" s="36">
        <v>45915.0</v>
      </c>
      <c r="K7" s="33">
        <f>COUNTIFS('Módulos'!$G$2:$G$2464,A7,'Módulos'!$I$2:$I$2464,"ATIVO")</f>
        <v>0</v>
      </c>
      <c r="L7" s="34" t="s">
        <v>160</v>
      </c>
      <c r="M7" s="27" t="s">
        <v>166</v>
      </c>
      <c r="N7" s="27" t="s">
        <v>89</v>
      </c>
      <c r="O7" s="27" t="s">
        <v>107</v>
      </c>
      <c r="P7" s="27" t="s">
        <v>185</v>
      </c>
      <c r="Q7" s="27" t="s">
        <v>185</v>
      </c>
      <c r="R7" s="36">
        <v>46170.0</v>
      </c>
    </row>
    <row r="8" ht="31.5" customHeight="1">
      <c r="A8" s="37" t="s">
        <v>296</v>
      </c>
      <c r="B8" s="27" t="s">
        <v>69</v>
      </c>
      <c r="C8" s="27" t="s">
        <v>78</v>
      </c>
      <c r="D8" s="27" t="s">
        <v>231</v>
      </c>
      <c r="E8" s="30" t="str">
        <f t="shared" si="1"/>
        <v>🟡 Atenção</v>
      </c>
      <c r="F8" s="38" t="s">
        <v>250</v>
      </c>
      <c r="G8" s="38" t="s">
        <v>250</v>
      </c>
      <c r="H8" s="38" t="s">
        <v>250</v>
      </c>
      <c r="I8" s="38" t="s">
        <v>250</v>
      </c>
      <c r="J8" s="38"/>
      <c r="K8" s="33">
        <f>COUNTIFS('Módulos'!$G$2:$G$2464,A8,'Módulos'!$I$2:$I$2464,"ATIVO")</f>
        <v>4</v>
      </c>
      <c r="L8" s="34" t="s">
        <v>111</v>
      </c>
      <c r="M8" s="27" t="s">
        <v>166</v>
      </c>
      <c r="N8" s="27" t="s">
        <v>89</v>
      </c>
      <c r="O8" s="27" t="s">
        <v>109</v>
      </c>
      <c r="P8" s="27" t="s">
        <v>227</v>
      </c>
      <c r="Q8" s="27" t="s">
        <v>270</v>
      </c>
      <c r="R8" s="36">
        <v>46219.0</v>
      </c>
    </row>
    <row r="9" ht="31.5" customHeight="1">
      <c r="A9" s="37" t="s">
        <v>317</v>
      </c>
      <c r="B9" s="38" t="s">
        <v>71</v>
      </c>
      <c r="C9" s="27" t="s">
        <v>78</v>
      </c>
      <c r="D9" s="27" t="s">
        <v>231</v>
      </c>
      <c r="E9" s="30" t="str">
        <f t="shared" si="1"/>
        <v>⚪ Sem dados</v>
      </c>
      <c r="F9" s="38" t="s">
        <v>250</v>
      </c>
      <c r="G9" s="38" t="s">
        <v>250</v>
      </c>
      <c r="H9" s="38" t="s">
        <v>250</v>
      </c>
      <c r="I9" s="38" t="s">
        <v>250</v>
      </c>
      <c r="J9" s="38"/>
      <c r="K9" s="33">
        <f>COUNTIFS('Módulos'!$G$2:$G$2464,A9,'Módulos'!$I$2:$I$2464,"ATIVO")</f>
        <v>0</v>
      </c>
      <c r="L9" s="34" t="s">
        <v>113</v>
      </c>
      <c r="M9" s="27" t="s">
        <v>166</v>
      </c>
      <c r="N9" s="27" t="s">
        <v>89</v>
      </c>
      <c r="O9" s="27" t="s">
        <v>109</v>
      </c>
      <c r="P9" s="27" t="s">
        <v>227</v>
      </c>
      <c r="Q9" s="27" t="s">
        <v>166</v>
      </c>
      <c r="R9" s="38"/>
    </row>
    <row r="10" ht="31.5" customHeight="1">
      <c r="A10" s="37" t="s">
        <v>332</v>
      </c>
      <c r="B10" s="27" t="s">
        <v>194</v>
      </c>
      <c r="C10" s="27" t="s">
        <v>78</v>
      </c>
      <c r="D10" s="27" t="s">
        <v>81</v>
      </c>
      <c r="E10" s="30" t="str">
        <f t="shared" si="1"/>
        <v>⚪ Sem dados</v>
      </c>
      <c r="F10" s="38" t="s">
        <v>250</v>
      </c>
      <c r="G10" s="38" t="s">
        <v>250</v>
      </c>
      <c r="H10" s="38" t="s">
        <v>250</v>
      </c>
      <c r="I10" s="38" t="s">
        <v>250</v>
      </c>
      <c r="J10" s="38"/>
      <c r="K10" s="33">
        <f>COUNTIFS('Módulos'!$G$2:$G$2464,A10,'Módulos'!$I$2:$I$2464,"ATIVO")</f>
        <v>0</v>
      </c>
      <c r="L10" s="34" t="s">
        <v>160</v>
      </c>
      <c r="M10" s="27" t="s">
        <v>166</v>
      </c>
      <c r="N10" s="27" t="s">
        <v>89</v>
      </c>
      <c r="O10" s="27" t="s">
        <v>109</v>
      </c>
      <c r="P10" s="27" t="s">
        <v>185</v>
      </c>
      <c r="Q10" s="27" t="s">
        <v>185</v>
      </c>
      <c r="R10" s="36">
        <v>46212.0</v>
      </c>
    </row>
    <row r="11" ht="31.5" customHeight="1">
      <c r="A11" s="37" t="s">
        <v>347</v>
      </c>
      <c r="B11" s="38" t="s">
        <v>71</v>
      </c>
      <c r="C11" s="27" t="s">
        <v>78</v>
      </c>
      <c r="D11" s="27" t="s">
        <v>81</v>
      </c>
      <c r="E11" s="30" t="str">
        <f t="shared" si="1"/>
        <v>⚪ Sem dados</v>
      </c>
      <c r="F11" s="38" t="s">
        <v>350</v>
      </c>
      <c r="G11" s="38" t="s">
        <v>352</v>
      </c>
      <c r="H11" s="38" t="s">
        <v>353</v>
      </c>
      <c r="I11" s="38" t="s">
        <v>354</v>
      </c>
      <c r="J11" s="38"/>
      <c r="K11" s="33">
        <f>COUNTIFS('Módulos'!$G$2:$G$2464,A11,'Módulos'!$I$2:$I$2464,"ATIVO")</f>
        <v>0</v>
      </c>
      <c r="L11" s="34" t="s">
        <v>113</v>
      </c>
      <c r="M11" s="27" t="s">
        <v>166</v>
      </c>
      <c r="N11" s="27" t="s">
        <v>89</v>
      </c>
      <c r="O11" s="27" t="s">
        <v>109</v>
      </c>
      <c r="P11" s="27" t="s">
        <v>227</v>
      </c>
      <c r="Q11" s="27" t="s">
        <v>166</v>
      </c>
      <c r="R11" s="39"/>
    </row>
    <row r="12" ht="31.5" customHeight="1">
      <c r="A12" s="37" t="s">
        <v>362</v>
      </c>
      <c r="B12" s="38" t="s">
        <v>63</v>
      </c>
      <c r="C12" s="27" t="s">
        <v>75</v>
      </c>
      <c r="D12" s="27" t="s">
        <v>81</v>
      </c>
      <c r="E12" s="30" t="str">
        <f t="shared" si="1"/>
        <v>🟡 Atenção</v>
      </c>
      <c r="F12" s="38" t="s">
        <v>372</v>
      </c>
      <c r="G12" s="38" t="s">
        <v>373</v>
      </c>
      <c r="H12" s="38" t="s">
        <v>375</v>
      </c>
      <c r="I12" s="38" t="s">
        <v>377</v>
      </c>
      <c r="J12" s="39">
        <v>45901.0</v>
      </c>
      <c r="K12" s="33">
        <f>COUNTIFS('Módulos'!$G$2:$G$2464,A12,'Módulos'!$I$2:$I$2464,"ATIVO")</f>
        <v>11</v>
      </c>
      <c r="L12" s="34" t="s">
        <v>111</v>
      </c>
      <c r="M12" s="27" t="s">
        <v>134</v>
      </c>
      <c r="N12" s="27" t="s">
        <v>85</v>
      </c>
      <c r="O12" s="27" t="s">
        <v>104</v>
      </c>
      <c r="P12" s="27" t="s">
        <v>243</v>
      </c>
      <c r="Q12" s="27" t="s">
        <v>121</v>
      </c>
      <c r="R12" s="36">
        <v>46204.0</v>
      </c>
    </row>
    <row r="13" ht="31.5" customHeight="1">
      <c r="A13" s="37" t="s">
        <v>387</v>
      </c>
      <c r="B13" s="27" t="s">
        <v>74</v>
      </c>
      <c r="C13" s="27" t="s">
        <v>78</v>
      </c>
      <c r="D13" s="27" t="s">
        <v>231</v>
      </c>
      <c r="E13" s="30" t="str">
        <f t="shared" si="1"/>
        <v>⚪ Sem dados</v>
      </c>
      <c r="F13" s="38" t="s">
        <v>391</v>
      </c>
      <c r="G13" s="38" t="s">
        <v>392</v>
      </c>
      <c r="H13" s="38" t="s">
        <v>393</v>
      </c>
      <c r="I13" s="38" t="s">
        <v>394</v>
      </c>
      <c r="J13" s="39">
        <v>45936.0</v>
      </c>
      <c r="K13" s="33">
        <f>COUNTIFS('Módulos'!$G$2:$G$2464,A13,'Módulos'!$I$2:$I$2464,"ATIVO")</f>
        <v>44</v>
      </c>
      <c r="L13" s="34" t="s">
        <v>111</v>
      </c>
      <c r="M13" s="27" t="s">
        <v>130</v>
      </c>
      <c r="N13" s="27" t="s">
        <v>85</v>
      </c>
      <c r="O13" s="27" t="s">
        <v>109</v>
      </c>
      <c r="P13" s="27" t="s">
        <v>185</v>
      </c>
      <c r="Q13" s="27" t="s">
        <v>185</v>
      </c>
      <c r="R13" s="36">
        <v>46219.0</v>
      </c>
    </row>
    <row r="14" ht="31.5" customHeight="1">
      <c r="A14" s="37" t="s">
        <v>404</v>
      </c>
      <c r="B14" s="38" t="s">
        <v>63</v>
      </c>
      <c r="C14" s="27" t="s">
        <v>75</v>
      </c>
      <c r="D14" s="27" t="s">
        <v>81</v>
      </c>
      <c r="E14" s="30" t="str">
        <f t="shared" si="1"/>
        <v>🟡 Atenção</v>
      </c>
      <c r="F14" s="38" t="s">
        <v>409</v>
      </c>
      <c r="G14" s="38" t="s">
        <v>411</v>
      </c>
      <c r="H14" s="38" t="s">
        <v>412</v>
      </c>
      <c r="I14" s="38" t="s">
        <v>413</v>
      </c>
      <c r="J14" s="39">
        <v>46024.0</v>
      </c>
      <c r="K14" s="33">
        <f>COUNTIFS('Módulos'!$G$2:$G$2464,A14,'Módulos'!$I$2:$I$2464,"ATIVO")</f>
        <v>19</v>
      </c>
      <c r="L14" s="34" t="s">
        <v>111</v>
      </c>
      <c r="M14" s="27" t="s">
        <v>132</v>
      </c>
      <c r="N14" s="27" t="s">
        <v>85</v>
      </c>
      <c r="O14" s="27" t="s">
        <v>107</v>
      </c>
      <c r="P14" s="27" t="s">
        <v>424</v>
      </c>
      <c r="Q14" s="27" t="s">
        <v>121</v>
      </c>
      <c r="R14" s="36">
        <v>46227.0</v>
      </c>
    </row>
    <row r="15" ht="31.5" customHeight="1">
      <c r="A15" s="37" t="s">
        <v>425</v>
      </c>
      <c r="B15" s="38" t="s">
        <v>67</v>
      </c>
      <c r="C15" s="27" t="s">
        <v>78</v>
      </c>
      <c r="D15" s="27" t="s">
        <v>81</v>
      </c>
      <c r="E15" s="30" t="str">
        <f t="shared" si="1"/>
        <v>🟡 Atenção</v>
      </c>
      <c r="F15" s="27" t="s">
        <v>433</v>
      </c>
      <c r="G15" s="27" t="s">
        <v>434</v>
      </c>
      <c r="H15" s="27" t="s">
        <v>436</v>
      </c>
      <c r="I15" s="27" t="s">
        <v>437</v>
      </c>
      <c r="J15" s="92">
        <v>45979.0</v>
      </c>
      <c r="K15" s="33">
        <f>COUNTIFS('Módulos'!$G$2:$G$2464,A15,'Módulos'!$I$2:$I$2464,"ATIVO")</f>
        <v>4</v>
      </c>
      <c r="L15" s="34" t="s">
        <v>111</v>
      </c>
      <c r="M15" s="27" t="s">
        <v>166</v>
      </c>
      <c r="N15" s="27" t="s">
        <v>85</v>
      </c>
      <c r="O15" s="27" t="s">
        <v>109</v>
      </c>
      <c r="P15" s="27" t="s">
        <v>424</v>
      </c>
      <c r="Q15" s="27" t="s">
        <v>270</v>
      </c>
      <c r="R15" s="36">
        <v>46217.0</v>
      </c>
    </row>
    <row r="16" ht="31.5" customHeight="1">
      <c r="A16" s="24" t="s">
        <v>454</v>
      </c>
      <c r="B16" s="27" t="s">
        <v>456</v>
      </c>
      <c r="C16" s="27" t="s">
        <v>78</v>
      </c>
      <c r="D16" s="27" t="s">
        <v>231</v>
      </c>
      <c r="E16" s="30" t="str">
        <f t="shared" si="1"/>
        <v>⚪ Sem dados</v>
      </c>
      <c r="F16" s="38" t="s">
        <v>250</v>
      </c>
      <c r="G16" s="38" t="s">
        <v>250</v>
      </c>
      <c r="H16" s="38" t="s">
        <v>250</v>
      </c>
      <c r="I16" s="38" t="s">
        <v>250</v>
      </c>
      <c r="J16" s="38"/>
      <c r="K16" s="33">
        <f>COUNTIFS('Módulos'!$G$2:$G$2464,A16,'Módulos'!$I$2:$I$2464,"ATIVO")</f>
        <v>33</v>
      </c>
      <c r="L16" s="34" t="s">
        <v>160</v>
      </c>
      <c r="M16" s="27" t="s">
        <v>166</v>
      </c>
      <c r="N16" s="27" t="s">
        <v>89</v>
      </c>
      <c r="O16" s="27" t="s">
        <v>107</v>
      </c>
      <c r="P16" s="27" t="s">
        <v>185</v>
      </c>
      <c r="Q16" s="27" t="s">
        <v>185</v>
      </c>
      <c r="R16" s="38"/>
    </row>
    <row r="17" ht="31.5" customHeight="1">
      <c r="A17" s="37" t="s">
        <v>471</v>
      </c>
      <c r="B17" s="38" t="s">
        <v>63</v>
      </c>
      <c r="C17" s="27" t="s">
        <v>75</v>
      </c>
      <c r="D17" s="27" t="s">
        <v>81</v>
      </c>
      <c r="E17" s="30" t="str">
        <f t="shared" si="1"/>
        <v>🟢 Saudável</v>
      </c>
      <c r="F17" s="38" t="s">
        <v>250</v>
      </c>
      <c r="G17" s="38" t="s">
        <v>250</v>
      </c>
      <c r="H17" s="38" t="s">
        <v>250</v>
      </c>
      <c r="I17" s="38" t="s">
        <v>250</v>
      </c>
      <c r="J17" s="38"/>
      <c r="K17" s="33">
        <f>COUNTIFS('Módulos'!$G$2:$G$2464,A17,'Módulos'!$I$2:$I$2464,"ATIVO")</f>
        <v>9</v>
      </c>
      <c r="L17" s="34" t="s">
        <v>111</v>
      </c>
      <c r="M17" s="27" t="s">
        <v>166</v>
      </c>
      <c r="N17" s="27" t="s">
        <v>85</v>
      </c>
      <c r="O17" s="27" t="s">
        <v>104</v>
      </c>
      <c r="P17" s="27" t="s">
        <v>243</v>
      </c>
      <c r="Q17" s="27" t="s">
        <v>119</v>
      </c>
      <c r="R17" s="36">
        <v>46217.0</v>
      </c>
    </row>
    <row r="18" ht="31.5" customHeight="1">
      <c r="A18" s="24" t="s">
        <v>498</v>
      </c>
      <c r="B18" s="27" t="s">
        <v>74</v>
      </c>
      <c r="C18" s="27" t="s">
        <v>78</v>
      </c>
      <c r="D18" s="27" t="s">
        <v>81</v>
      </c>
      <c r="E18" s="30" t="str">
        <f t="shared" si="1"/>
        <v>⚪ Sem dados</v>
      </c>
      <c r="F18" s="38" t="s">
        <v>250</v>
      </c>
      <c r="G18" s="27" t="s">
        <v>505</v>
      </c>
      <c r="H18" s="27" t="s">
        <v>506</v>
      </c>
      <c r="I18" s="27" t="s">
        <v>507</v>
      </c>
      <c r="J18" s="92">
        <v>45973.0</v>
      </c>
      <c r="K18" s="33">
        <f>COUNTIFS('Módulos'!$G$2:$G$2464,A18,'Módulos'!$I$2:$I$2464,"ATIVO")</f>
        <v>0</v>
      </c>
      <c r="L18" s="34" t="s">
        <v>160</v>
      </c>
      <c r="M18" s="27" t="s">
        <v>166</v>
      </c>
      <c r="N18" s="27" t="s">
        <v>89</v>
      </c>
      <c r="O18" s="27" t="s">
        <v>107</v>
      </c>
      <c r="P18" s="27" t="s">
        <v>185</v>
      </c>
      <c r="Q18" s="27" t="s">
        <v>185</v>
      </c>
      <c r="R18" s="36">
        <v>46189.0</v>
      </c>
    </row>
    <row r="19" ht="31.5" customHeight="1">
      <c r="A19" s="24" t="s">
        <v>519</v>
      </c>
      <c r="B19" s="27" t="s">
        <v>67</v>
      </c>
      <c r="C19" s="27" t="s">
        <v>78</v>
      </c>
      <c r="D19" s="27" t="s">
        <v>81</v>
      </c>
      <c r="E19" s="30" t="str">
        <f t="shared" si="1"/>
        <v>🟡 Atenção</v>
      </c>
      <c r="F19" s="27" t="s">
        <v>525</v>
      </c>
      <c r="G19" s="27" t="s">
        <v>526</v>
      </c>
      <c r="H19" s="27" t="s">
        <v>528</v>
      </c>
      <c r="I19" s="38" t="s">
        <v>250</v>
      </c>
      <c r="J19" s="36">
        <v>45798.0</v>
      </c>
      <c r="K19" s="33">
        <f>COUNTIFS('Módulos'!$G$2:$G$2464,A19,'Módulos'!$I$2:$I$2464,"ATIVO")</f>
        <v>3</v>
      </c>
      <c r="L19" s="34" t="s">
        <v>111</v>
      </c>
      <c r="M19" s="27" t="s">
        <v>535</v>
      </c>
      <c r="N19" s="27" t="s">
        <v>85</v>
      </c>
      <c r="O19" s="27" t="s">
        <v>109</v>
      </c>
      <c r="P19" s="27" t="s">
        <v>424</v>
      </c>
      <c r="Q19" s="27" t="s">
        <v>270</v>
      </c>
      <c r="R19" s="36">
        <v>46219.0</v>
      </c>
    </row>
    <row r="20" ht="31.5" customHeight="1">
      <c r="A20" s="37" t="s">
        <v>538</v>
      </c>
      <c r="B20" s="38" t="s">
        <v>63</v>
      </c>
      <c r="C20" s="27" t="s">
        <v>75</v>
      </c>
      <c r="D20" s="27" t="s">
        <v>81</v>
      </c>
      <c r="E20" s="30" t="str">
        <f t="shared" si="1"/>
        <v>🟡 Atenção</v>
      </c>
      <c r="F20" s="27" t="s">
        <v>541</v>
      </c>
      <c r="G20" s="27" t="s">
        <v>542</v>
      </c>
      <c r="H20" s="27" t="s">
        <v>543</v>
      </c>
      <c r="I20" s="27" t="s">
        <v>544</v>
      </c>
      <c r="J20" s="36">
        <v>46087.0</v>
      </c>
      <c r="K20" s="33">
        <f>COUNTIFS('Módulos'!$G$2:$G$2464,A20,'Módulos'!$I$2:$I$2464,"ATIVO")</f>
        <v>56</v>
      </c>
      <c r="L20" s="34" t="s">
        <v>111</v>
      </c>
      <c r="M20" s="27" t="s">
        <v>553</v>
      </c>
      <c r="N20" s="27" t="s">
        <v>85</v>
      </c>
      <c r="O20" s="27" t="s">
        <v>104</v>
      </c>
      <c r="P20" s="27" t="s">
        <v>424</v>
      </c>
      <c r="Q20" s="27" t="s">
        <v>121</v>
      </c>
      <c r="R20" s="36">
        <v>46225.0</v>
      </c>
    </row>
    <row r="21" ht="31.5" customHeight="1">
      <c r="A21" s="37" t="s">
        <v>328</v>
      </c>
      <c r="B21" s="38" t="s">
        <v>63</v>
      </c>
      <c r="C21" s="27" t="s">
        <v>75</v>
      </c>
      <c r="D21" s="27" t="s">
        <v>231</v>
      </c>
      <c r="E21" s="30" t="str">
        <f t="shared" si="1"/>
        <v>🟢 Saudável</v>
      </c>
      <c r="F21" s="27" t="s">
        <v>557</v>
      </c>
      <c r="G21" s="27" t="s">
        <v>558</v>
      </c>
      <c r="H21" s="27" t="s">
        <v>560</v>
      </c>
      <c r="I21" s="27" t="s">
        <v>561</v>
      </c>
      <c r="J21" s="36">
        <v>45566.0</v>
      </c>
      <c r="K21" s="33">
        <f>COUNTIFS('Módulos'!$G$2:$G$2464,A21,'Módulos'!$I$2:$I$2464,"ATIVO")</f>
        <v>1346</v>
      </c>
      <c r="L21" s="34" t="s">
        <v>111</v>
      </c>
      <c r="M21" s="27" t="s">
        <v>131</v>
      </c>
      <c r="N21" s="27" t="s">
        <v>87</v>
      </c>
      <c r="O21" s="27" t="s">
        <v>107</v>
      </c>
      <c r="P21" s="27" t="s">
        <v>243</v>
      </c>
      <c r="Q21" s="27" t="s">
        <v>119</v>
      </c>
      <c r="R21" s="38"/>
    </row>
    <row r="22" ht="31.5" customHeight="1">
      <c r="A22" s="37" t="s">
        <v>285</v>
      </c>
      <c r="B22" s="38" t="s">
        <v>63</v>
      </c>
      <c r="C22" s="27" t="s">
        <v>75</v>
      </c>
      <c r="D22" s="27" t="s">
        <v>81</v>
      </c>
      <c r="E22" s="30" t="str">
        <f t="shared" si="1"/>
        <v>🟡 Atenção</v>
      </c>
      <c r="F22" s="27" t="s">
        <v>576</v>
      </c>
      <c r="G22" s="27" t="s">
        <v>558</v>
      </c>
      <c r="H22" s="27" t="s">
        <v>560</v>
      </c>
      <c r="I22" s="27" t="s">
        <v>561</v>
      </c>
      <c r="J22" s="36">
        <v>45901.0</v>
      </c>
      <c r="K22" s="33">
        <f>COUNTIFS('Módulos'!$G$2:$G$2464,A22,'Módulos'!$I$2:$I$2464,"ATIVO")</f>
        <v>6</v>
      </c>
      <c r="L22" s="34" t="s">
        <v>111</v>
      </c>
      <c r="M22" s="27" t="s">
        <v>166</v>
      </c>
      <c r="N22" s="27" t="s">
        <v>85</v>
      </c>
      <c r="O22" s="27" t="s">
        <v>104</v>
      </c>
      <c r="P22" s="27" t="s">
        <v>243</v>
      </c>
      <c r="Q22" s="27" t="s">
        <v>121</v>
      </c>
      <c r="R22" s="38"/>
    </row>
    <row r="23" ht="31.5" customHeight="1">
      <c r="A23" s="37" t="s">
        <v>582</v>
      </c>
      <c r="B23" s="38" t="s">
        <v>63</v>
      </c>
      <c r="C23" s="27" t="s">
        <v>75</v>
      </c>
      <c r="D23" s="27" t="s">
        <v>81</v>
      </c>
      <c r="E23" s="30" t="str">
        <f t="shared" si="1"/>
        <v>🟢 Saudável</v>
      </c>
      <c r="F23" s="27" t="s">
        <v>585</v>
      </c>
      <c r="G23" s="27" t="s">
        <v>586</v>
      </c>
      <c r="H23" s="27" t="s">
        <v>588</v>
      </c>
      <c r="I23" s="27" t="s">
        <v>589</v>
      </c>
      <c r="J23" s="36">
        <v>45901.0</v>
      </c>
      <c r="K23" s="33">
        <f>COUNTIFS('Módulos'!$G$2:$G$2464,A23,'Módulos'!$I$2:$I$2464,"ATIVO")</f>
        <v>7</v>
      </c>
      <c r="L23" s="34" t="s">
        <v>111</v>
      </c>
      <c r="M23" s="27" t="s">
        <v>166</v>
      </c>
      <c r="N23" s="27" t="s">
        <v>85</v>
      </c>
      <c r="O23" s="27" t="s">
        <v>107</v>
      </c>
      <c r="P23" s="27" t="s">
        <v>243</v>
      </c>
      <c r="Q23" s="27" t="s">
        <v>119</v>
      </c>
      <c r="R23" s="38"/>
    </row>
    <row r="24" ht="31.5" customHeight="1">
      <c r="A24" s="37" t="s">
        <v>594</v>
      </c>
      <c r="B24" s="38" t="s">
        <v>71</v>
      </c>
      <c r="C24" s="27" t="s">
        <v>78</v>
      </c>
      <c r="D24" s="27" t="s">
        <v>81</v>
      </c>
      <c r="E24" s="30" t="str">
        <f t="shared" si="1"/>
        <v>⚪ Sem dados</v>
      </c>
      <c r="F24" s="27" t="s">
        <v>598</v>
      </c>
      <c r="G24" s="27" t="s">
        <v>599</v>
      </c>
      <c r="H24" s="38" t="s">
        <v>250</v>
      </c>
      <c r="I24" s="27" t="s">
        <v>600</v>
      </c>
      <c r="J24" s="38"/>
      <c r="K24" s="33">
        <f>COUNTIFS('Módulos'!$G$2:$G$2464,A24,'Módulos'!$I$2:$I$2464,"ATIVO")</f>
        <v>0</v>
      </c>
      <c r="L24" s="34" t="s">
        <v>113</v>
      </c>
      <c r="M24" s="27" t="s">
        <v>166</v>
      </c>
      <c r="N24" s="27" t="s">
        <v>89</v>
      </c>
      <c r="O24" s="27" t="s">
        <v>109</v>
      </c>
      <c r="P24" s="27" t="s">
        <v>227</v>
      </c>
      <c r="Q24" s="27" t="s">
        <v>166</v>
      </c>
      <c r="R24" s="38"/>
    </row>
    <row r="25" ht="31.5" customHeight="1">
      <c r="A25" s="37" t="s">
        <v>608</v>
      </c>
      <c r="B25" s="38" t="s">
        <v>63</v>
      </c>
      <c r="C25" s="27" t="s">
        <v>75</v>
      </c>
      <c r="D25" s="27" t="s">
        <v>81</v>
      </c>
      <c r="E25" s="30" t="str">
        <f t="shared" si="1"/>
        <v>🟡 Atenção</v>
      </c>
      <c r="F25" s="27" t="s">
        <v>611</v>
      </c>
      <c r="G25" s="27" t="s">
        <v>613</v>
      </c>
      <c r="H25" s="27" t="s">
        <v>614</v>
      </c>
      <c r="I25" s="27" t="s">
        <v>615</v>
      </c>
      <c r="J25" s="92">
        <v>45952.0</v>
      </c>
      <c r="K25" s="33">
        <f>COUNTIFS('Módulos'!$G$2:$G$2464,A25,'Módulos'!$I$2:$I$2464,"ATIVO")</f>
        <v>0</v>
      </c>
      <c r="L25" s="34" t="s">
        <v>111</v>
      </c>
      <c r="M25" s="27" t="s">
        <v>166</v>
      </c>
      <c r="N25" s="27" t="s">
        <v>89</v>
      </c>
      <c r="O25" s="27" t="s">
        <v>104</v>
      </c>
      <c r="P25" s="27" t="s">
        <v>243</v>
      </c>
      <c r="Q25" s="27" t="s">
        <v>121</v>
      </c>
      <c r="R25" s="38"/>
    </row>
    <row r="26" ht="31.5" customHeight="1">
      <c r="A26" s="24" t="s">
        <v>621</v>
      </c>
      <c r="B26" s="27" t="s">
        <v>74</v>
      </c>
      <c r="C26" s="27" t="s">
        <v>78</v>
      </c>
      <c r="D26" s="27" t="s">
        <v>231</v>
      </c>
      <c r="E26" s="30" t="str">
        <f t="shared" si="1"/>
        <v>⚪ Sem dados</v>
      </c>
      <c r="F26" s="27" t="s">
        <v>625</v>
      </c>
      <c r="G26" s="27" t="s">
        <v>626</v>
      </c>
      <c r="H26" s="27" t="s">
        <v>628</v>
      </c>
      <c r="I26" s="27" t="s">
        <v>629</v>
      </c>
      <c r="J26" s="36">
        <v>46037.0</v>
      </c>
      <c r="K26" s="33">
        <f>COUNTIFS('Módulos'!$G$2:$G$2464,A26,'Módulos'!$I$2:$I$2464,"ATIVO")</f>
        <v>1</v>
      </c>
      <c r="L26" s="34" t="s">
        <v>160</v>
      </c>
      <c r="M26" s="27" t="s">
        <v>166</v>
      </c>
      <c r="N26" s="27" t="s">
        <v>89</v>
      </c>
      <c r="O26" s="27" t="s">
        <v>107</v>
      </c>
      <c r="P26" s="27" t="s">
        <v>185</v>
      </c>
      <c r="Q26" s="27" t="s">
        <v>185</v>
      </c>
      <c r="R26" s="36">
        <v>46158.0</v>
      </c>
    </row>
    <row r="27" ht="31.5" customHeight="1">
      <c r="A27" s="24" t="s">
        <v>634</v>
      </c>
      <c r="B27" s="27" t="s">
        <v>63</v>
      </c>
      <c r="C27" s="27" t="s">
        <v>78</v>
      </c>
      <c r="D27" s="27" t="s">
        <v>231</v>
      </c>
      <c r="E27" s="30" t="str">
        <f t="shared" si="1"/>
        <v>🔴 Risco</v>
      </c>
      <c r="F27" s="38"/>
      <c r="G27" s="38"/>
      <c r="H27" s="38"/>
      <c r="I27" s="38"/>
      <c r="J27" s="39"/>
      <c r="K27" s="33">
        <f>COUNTIFS('Módulos'!$G$2:$G$2464,A27,'Módulos'!$I$2:$I$2464,"ATIVO")</f>
        <v>0</v>
      </c>
      <c r="L27" s="34" t="s">
        <v>111</v>
      </c>
      <c r="M27" s="27" t="s">
        <v>166</v>
      </c>
      <c r="N27" s="27" t="s">
        <v>89</v>
      </c>
      <c r="O27" s="27" t="s">
        <v>109</v>
      </c>
      <c r="P27" s="27" t="s">
        <v>243</v>
      </c>
      <c r="Q27" s="27" t="s">
        <v>166</v>
      </c>
      <c r="R27" s="39"/>
    </row>
    <row r="28" ht="31.5" customHeight="1">
      <c r="A28" s="24" t="s">
        <v>642</v>
      </c>
      <c r="B28" s="27" t="s">
        <v>69</v>
      </c>
      <c r="C28" s="27" t="s">
        <v>78</v>
      </c>
      <c r="D28" s="27" t="s">
        <v>231</v>
      </c>
      <c r="E28" s="30" t="str">
        <f t="shared" si="1"/>
        <v>🟡 Atenção</v>
      </c>
      <c r="F28" s="27" t="s">
        <v>645</v>
      </c>
      <c r="G28" s="27" t="s">
        <v>646</v>
      </c>
      <c r="H28" s="27" t="s">
        <v>648</v>
      </c>
      <c r="I28" s="27" t="s">
        <v>649</v>
      </c>
      <c r="J28" s="36">
        <v>45997.0</v>
      </c>
      <c r="K28" s="33">
        <f>COUNTIFS('Módulos'!$G$2:$G$2464,A28,'Módulos'!$I$2:$I$2464,"ATIVO")</f>
        <v>205</v>
      </c>
      <c r="L28" s="34" t="s">
        <v>111</v>
      </c>
      <c r="M28" s="27" t="s">
        <v>652</v>
      </c>
      <c r="N28" s="27" t="s">
        <v>85</v>
      </c>
      <c r="O28" s="27" t="s">
        <v>109</v>
      </c>
      <c r="P28" s="27" t="s">
        <v>424</v>
      </c>
      <c r="Q28" s="27" t="s">
        <v>270</v>
      </c>
      <c r="R28" s="36">
        <v>46218.0</v>
      </c>
    </row>
    <row r="29" ht="31.5" customHeight="1">
      <c r="A29" s="37" t="s">
        <v>653</v>
      </c>
      <c r="B29" s="27" t="s">
        <v>69</v>
      </c>
      <c r="C29" s="27" t="s">
        <v>78</v>
      </c>
      <c r="D29" s="27" t="s">
        <v>231</v>
      </c>
      <c r="E29" s="30" t="str">
        <f t="shared" si="1"/>
        <v>🟡 Atenção</v>
      </c>
      <c r="F29" s="27" t="s">
        <v>655</v>
      </c>
      <c r="G29" s="27" t="s">
        <v>656</v>
      </c>
      <c r="H29" s="27" t="s">
        <v>657</v>
      </c>
      <c r="I29" s="27" t="s">
        <v>658</v>
      </c>
      <c r="J29" s="36">
        <v>46075.0</v>
      </c>
      <c r="K29" s="33">
        <f>COUNTIFS('Módulos'!$G$2:$G$2464,A29,'Módulos'!$I$2:$I$2464,"ATIVO")</f>
        <v>6</v>
      </c>
      <c r="L29" s="34" t="s">
        <v>111</v>
      </c>
      <c r="M29" s="27" t="s">
        <v>131</v>
      </c>
      <c r="N29" s="27" t="s">
        <v>85</v>
      </c>
      <c r="O29" s="27" t="s">
        <v>109</v>
      </c>
      <c r="P29" s="27" t="s">
        <v>227</v>
      </c>
      <c r="Q29" s="27" t="s">
        <v>270</v>
      </c>
      <c r="R29" s="36">
        <v>46210.0</v>
      </c>
    </row>
    <row r="30" ht="31.5" customHeight="1">
      <c r="A30" s="37" t="s">
        <v>664</v>
      </c>
      <c r="B30" s="27" t="s">
        <v>456</v>
      </c>
      <c r="C30" s="27" t="s">
        <v>78</v>
      </c>
      <c r="D30" s="27" t="s">
        <v>231</v>
      </c>
      <c r="E30" s="30" t="str">
        <f t="shared" si="1"/>
        <v>⚪ Sem dados</v>
      </c>
      <c r="F30" s="27" t="s">
        <v>666</v>
      </c>
      <c r="G30" s="27" t="s">
        <v>668</v>
      </c>
      <c r="H30" s="27" t="s">
        <v>669</v>
      </c>
      <c r="I30" s="27" t="s">
        <v>670</v>
      </c>
      <c r="J30" s="92">
        <v>45955.0</v>
      </c>
      <c r="K30" s="33">
        <f>COUNTIFS('Módulos'!$G$2:$G$2464,A30,'Módulos'!$I$2:$I$2464,"ATIVO")</f>
        <v>7</v>
      </c>
      <c r="L30" s="34" t="s">
        <v>111</v>
      </c>
      <c r="M30" s="27" t="s">
        <v>672</v>
      </c>
      <c r="N30" s="27" t="s">
        <v>85</v>
      </c>
      <c r="O30" s="27" t="s">
        <v>104</v>
      </c>
      <c r="P30" s="27" t="s">
        <v>185</v>
      </c>
      <c r="Q30" s="27" t="s">
        <v>185</v>
      </c>
      <c r="R30" s="36">
        <v>46216.0</v>
      </c>
    </row>
    <row r="31" ht="31.5" customHeight="1">
      <c r="A31" s="37" t="s">
        <v>674</v>
      </c>
      <c r="B31" s="38" t="s">
        <v>63</v>
      </c>
      <c r="C31" s="27" t="s">
        <v>75</v>
      </c>
      <c r="D31" s="27" t="s">
        <v>81</v>
      </c>
      <c r="E31" s="30" t="str">
        <f t="shared" si="1"/>
        <v>🟢 Saudável</v>
      </c>
      <c r="F31" s="27" t="s">
        <v>677</v>
      </c>
      <c r="G31" s="27" t="s">
        <v>392</v>
      </c>
      <c r="H31" s="27" t="s">
        <v>678</v>
      </c>
      <c r="I31" s="27" t="s">
        <v>679</v>
      </c>
      <c r="J31" s="36">
        <v>45901.0</v>
      </c>
      <c r="K31" s="33">
        <f>COUNTIFS('Módulos'!$G$2:$G$2464,A31,'Módulos'!$I$2:$I$2464,"ATIVO")</f>
        <v>4</v>
      </c>
      <c r="L31" s="34" t="s">
        <v>111</v>
      </c>
      <c r="M31" s="27" t="s">
        <v>166</v>
      </c>
      <c r="N31" s="27" t="s">
        <v>85</v>
      </c>
      <c r="O31" s="27" t="s">
        <v>104</v>
      </c>
      <c r="P31" s="27" t="s">
        <v>243</v>
      </c>
      <c r="Q31" s="27" t="s">
        <v>119</v>
      </c>
      <c r="R31" s="38"/>
    </row>
    <row r="32" ht="31.5" customHeight="1">
      <c r="A32" s="37" t="s">
        <v>378</v>
      </c>
      <c r="B32" s="38" t="s">
        <v>63</v>
      </c>
      <c r="C32" s="27" t="s">
        <v>75</v>
      </c>
      <c r="D32" s="27" t="s">
        <v>231</v>
      </c>
      <c r="E32" s="30" t="str">
        <f t="shared" si="1"/>
        <v>🟢 Saudável</v>
      </c>
      <c r="F32" s="27" t="s">
        <v>687</v>
      </c>
      <c r="G32" s="27" t="s">
        <v>688</v>
      </c>
      <c r="H32" s="27" t="s">
        <v>690</v>
      </c>
      <c r="I32" s="27" t="s">
        <v>691</v>
      </c>
      <c r="J32" s="36">
        <v>45809.0</v>
      </c>
      <c r="K32" s="33">
        <f>COUNTIFS('Módulos'!$G$2:$G$2464,A32,'Módulos'!$I$2:$I$2464,"ATIVO")</f>
        <v>80</v>
      </c>
      <c r="L32" s="34" t="s">
        <v>111</v>
      </c>
      <c r="M32" s="27" t="s">
        <v>166</v>
      </c>
      <c r="N32" s="27" t="s">
        <v>87</v>
      </c>
      <c r="O32" s="27" t="s">
        <v>107</v>
      </c>
      <c r="P32" s="27" t="s">
        <v>243</v>
      </c>
      <c r="Q32" s="27" t="s">
        <v>119</v>
      </c>
      <c r="R32" s="38"/>
    </row>
    <row r="33" ht="31.5" customHeight="1">
      <c r="A33" s="24" t="s">
        <v>696</v>
      </c>
      <c r="B33" s="27" t="s">
        <v>456</v>
      </c>
      <c r="C33" s="27" t="s">
        <v>78</v>
      </c>
      <c r="D33" s="27" t="s">
        <v>231</v>
      </c>
      <c r="E33" s="30" t="str">
        <f t="shared" si="1"/>
        <v>⚪ Sem dados</v>
      </c>
      <c r="F33" s="38" t="s">
        <v>250</v>
      </c>
      <c r="G33" s="38" t="s">
        <v>250</v>
      </c>
      <c r="H33" s="38" t="s">
        <v>250</v>
      </c>
      <c r="I33" s="38" t="s">
        <v>250</v>
      </c>
      <c r="J33" s="38"/>
      <c r="K33" s="33">
        <f>COUNTIFS('Módulos'!$G$2:$G$2464,A33,'Módulos'!$I$2:$I$2464,"ATIVO")</f>
        <v>0</v>
      </c>
      <c r="L33" s="34" t="s">
        <v>160</v>
      </c>
      <c r="M33" s="27" t="s">
        <v>166</v>
      </c>
      <c r="N33" s="27" t="s">
        <v>89</v>
      </c>
      <c r="O33" s="27" t="s">
        <v>107</v>
      </c>
      <c r="P33" s="27" t="s">
        <v>185</v>
      </c>
      <c r="Q33" s="27" t="s">
        <v>185</v>
      </c>
      <c r="R33" s="38"/>
    </row>
    <row r="34" ht="31.5" customHeight="1">
      <c r="A34" s="37" t="s">
        <v>706</v>
      </c>
      <c r="B34" s="27" t="s">
        <v>194</v>
      </c>
      <c r="C34" s="27" t="s">
        <v>78</v>
      </c>
      <c r="D34" s="27" t="s">
        <v>231</v>
      </c>
      <c r="E34" s="30" t="str">
        <f t="shared" si="1"/>
        <v>⚪ Sem dados</v>
      </c>
      <c r="F34" s="38" t="s">
        <v>250</v>
      </c>
      <c r="G34" s="38" t="s">
        <v>250</v>
      </c>
      <c r="H34" s="38" t="s">
        <v>250</v>
      </c>
      <c r="I34" s="38" t="s">
        <v>250</v>
      </c>
      <c r="J34" s="38"/>
      <c r="K34" s="33">
        <f>COUNTIFS('Módulos'!$G$2:$G$2464,A34,'Módulos'!$I$2:$I$2464,"ATIVO")</f>
        <v>0</v>
      </c>
      <c r="L34" s="34" t="s">
        <v>160</v>
      </c>
      <c r="M34" s="27" t="s">
        <v>166</v>
      </c>
      <c r="N34" s="27" t="s">
        <v>89</v>
      </c>
      <c r="O34" s="27" t="s">
        <v>109</v>
      </c>
      <c r="P34" s="27" t="s">
        <v>185</v>
      </c>
      <c r="Q34" s="27" t="s">
        <v>185</v>
      </c>
      <c r="R34" s="38"/>
    </row>
    <row r="35" ht="31.5" customHeight="1">
      <c r="A35" s="37" t="s">
        <v>715</v>
      </c>
      <c r="B35" s="38" t="s">
        <v>63</v>
      </c>
      <c r="C35" s="27" t="s">
        <v>75</v>
      </c>
      <c r="D35" s="27" t="s">
        <v>81</v>
      </c>
      <c r="E35" s="30" t="str">
        <f t="shared" si="1"/>
        <v>🟢 Saudável</v>
      </c>
      <c r="F35" s="27" t="s">
        <v>717</v>
      </c>
      <c r="G35" s="27" t="s">
        <v>718</v>
      </c>
      <c r="H35" s="27" t="s">
        <v>721</v>
      </c>
      <c r="I35" s="27" t="s">
        <v>722</v>
      </c>
      <c r="J35" s="36">
        <v>46103.0</v>
      </c>
      <c r="K35" s="33">
        <f>COUNTIFS('Módulos'!$G$2:$G$2464,A35,'Módulos'!$I$2:$I$2464,"ATIVO")</f>
        <v>33</v>
      </c>
      <c r="L35" s="34" t="s">
        <v>111</v>
      </c>
      <c r="M35" s="27" t="s">
        <v>726</v>
      </c>
      <c r="N35" s="27" t="s">
        <v>85</v>
      </c>
      <c r="O35" s="27" t="s">
        <v>104</v>
      </c>
      <c r="P35" s="27" t="s">
        <v>243</v>
      </c>
      <c r="Q35" s="27" t="s">
        <v>119</v>
      </c>
      <c r="R35" s="36">
        <v>46223.0</v>
      </c>
    </row>
    <row r="36" ht="31.5" customHeight="1">
      <c r="A36" s="24" t="s">
        <v>728</v>
      </c>
      <c r="B36" s="27" t="s">
        <v>194</v>
      </c>
      <c r="C36" s="27" t="s">
        <v>78</v>
      </c>
      <c r="D36" s="27"/>
      <c r="E36" s="30" t="str">
        <f t="shared" si="1"/>
        <v>⚪ Sem dados</v>
      </c>
      <c r="F36" s="38"/>
      <c r="G36" s="38"/>
      <c r="H36" s="38"/>
      <c r="I36" s="38"/>
      <c r="J36" s="38"/>
      <c r="K36" s="33">
        <f>COUNTIFS('Módulos'!$G$2:$G$2464,A36,'Módulos'!$I$2:$I$2464,"ATIVO")</f>
        <v>0</v>
      </c>
      <c r="L36" s="34" t="s">
        <v>160</v>
      </c>
      <c r="M36" s="27" t="s">
        <v>166</v>
      </c>
      <c r="N36" s="27" t="s">
        <v>89</v>
      </c>
      <c r="O36" s="27" t="s">
        <v>109</v>
      </c>
      <c r="P36" s="27" t="s">
        <v>185</v>
      </c>
      <c r="Q36" s="27" t="s">
        <v>185</v>
      </c>
      <c r="R36" s="38"/>
    </row>
    <row r="37" ht="31.5" customHeight="1">
      <c r="A37" s="37" t="s">
        <v>736</v>
      </c>
      <c r="B37" s="38" t="s">
        <v>71</v>
      </c>
      <c r="C37" s="27" t="s">
        <v>78</v>
      </c>
      <c r="D37" s="27" t="s">
        <v>231</v>
      </c>
      <c r="E37" s="30" t="str">
        <f t="shared" si="1"/>
        <v>⚪ Sem dados</v>
      </c>
      <c r="F37" s="38" t="s">
        <v>250</v>
      </c>
      <c r="G37" s="38" t="s">
        <v>250</v>
      </c>
      <c r="H37" s="38" t="s">
        <v>250</v>
      </c>
      <c r="I37" s="38" t="s">
        <v>250</v>
      </c>
      <c r="J37" s="38"/>
      <c r="K37" s="33">
        <f>COUNTIFS('Módulos'!$G$2:$G$2464,A37,'Módulos'!$I$2:$I$2464,"ATIVO")</f>
        <v>0</v>
      </c>
      <c r="L37" s="34" t="s">
        <v>113</v>
      </c>
      <c r="M37" s="27" t="s">
        <v>166</v>
      </c>
      <c r="N37" s="27" t="s">
        <v>89</v>
      </c>
      <c r="O37" s="27" t="s">
        <v>107</v>
      </c>
      <c r="P37" s="27" t="s">
        <v>227</v>
      </c>
      <c r="Q37" s="27" t="s">
        <v>166</v>
      </c>
      <c r="R37" s="36">
        <v>46217.0</v>
      </c>
    </row>
    <row r="38" ht="31.5" customHeight="1">
      <c r="A38" s="37" t="s">
        <v>743</v>
      </c>
      <c r="B38" s="38" t="s">
        <v>71</v>
      </c>
      <c r="C38" s="27" t="s">
        <v>78</v>
      </c>
      <c r="D38" s="27" t="s">
        <v>81</v>
      </c>
      <c r="E38" s="30" t="str">
        <f t="shared" si="1"/>
        <v>⚪ Sem dados</v>
      </c>
      <c r="F38" s="38" t="s">
        <v>250</v>
      </c>
      <c r="G38" s="38" t="s">
        <v>250</v>
      </c>
      <c r="H38" s="38" t="s">
        <v>250</v>
      </c>
      <c r="I38" s="38" t="s">
        <v>250</v>
      </c>
      <c r="J38" s="38"/>
      <c r="K38" s="33">
        <f>COUNTIFS('Módulos'!$G$2:$G$2464,A38,'Módulos'!$I$2:$I$2464,"ATIVO")</f>
        <v>0</v>
      </c>
      <c r="L38" s="34" t="s">
        <v>113</v>
      </c>
      <c r="M38" s="27" t="s">
        <v>166</v>
      </c>
      <c r="N38" s="27" t="s">
        <v>89</v>
      </c>
      <c r="O38" s="27" t="s">
        <v>107</v>
      </c>
      <c r="P38" s="27" t="s">
        <v>227</v>
      </c>
      <c r="Q38" s="27" t="s">
        <v>166</v>
      </c>
      <c r="R38" s="38"/>
    </row>
    <row r="39" ht="31.5" customHeight="1">
      <c r="A39" s="37" t="s">
        <v>754</v>
      </c>
      <c r="B39" s="27" t="s">
        <v>74</v>
      </c>
      <c r="C39" s="27" t="s">
        <v>78</v>
      </c>
      <c r="D39" s="27" t="s">
        <v>81</v>
      </c>
      <c r="E39" s="30" t="str">
        <f t="shared" si="1"/>
        <v>⚪ Sem dados</v>
      </c>
      <c r="F39" s="27" t="s">
        <v>757</v>
      </c>
      <c r="G39" s="27" t="s">
        <v>759</v>
      </c>
      <c r="H39" s="27" t="s">
        <v>760</v>
      </c>
      <c r="I39" s="27" t="s">
        <v>761</v>
      </c>
      <c r="J39" s="36">
        <v>46162.0</v>
      </c>
      <c r="K39" s="33">
        <f>COUNTIFS('Módulos'!$G$2:$G$2464,A39,'Módulos'!$I$2:$I$2464,"ATIVO")</f>
        <v>0</v>
      </c>
      <c r="L39" s="34" t="s">
        <v>160</v>
      </c>
      <c r="M39" s="27" t="s">
        <v>763</v>
      </c>
      <c r="N39" s="27" t="s">
        <v>89</v>
      </c>
      <c r="O39" s="27" t="s">
        <v>109</v>
      </c>
      <c r="P39" s="27" t="s">
        <v>185</v>
      </c>
      <c r="Q39" s="27" t="s">
        <v>185</v>
      </c>
      <c r="R39" s="38"/>
    </row>
    <row r="40" ht="31.5" customHeight="1">
      <c r="A40" s="37" t="s">
        <v>768</v>
      </c>
      <c r="B40" s="27" t="s">
        <v>74</v>
      </c>
      <c r="C40" s="27" t="s">
        <v>78</v>
      </c>
      <c r="D40" s="27" t="s">
        <v>231</v>
      </c>
      <c r="E40" s="30" t="str">
        <f t="shared" si="1"/>
        <v>⚪ Sem dados</v>
      </c>
      <c r="F40" s="27" t="s">
        <v>770</v>
      </c>
      <c r="G40" s="27" t="s">
        <v>773</v>
      </c>
      <c r="H40" s="27" t="s">
        <v>774</v>
      </c>
      <c r="I40" s="27" t="s">
        <v>775</v>
      </c>
      <c r="J40" s="36">
        <v>45901.0</v>
      </c>
      <c r="K40" s="33">
        <f>COUNTIFS('Módulos'!$G$2:$G$2464,A40,'Módulos'!$I$2:$I$2464,"ATIVO")</f>
        <v>13</v>
      </c>
      <c r="L40" s="34" t="s">
        <v>111</v>
      </c>
      <c r="M40" s="27" t="s">
        <v>781</v>
      </c>
      <c r="N40" s="27" t="s">
        <v>89</v>
      </c>
      <c r="O40" s="27" t="s">
        <v>109</v>
      </c>
      <c r="P40" s="27" t="s">
        <v>185</v>
      </c>
      <c r="Q40" s="27" t="s">
        <v>185</v>
      </c>
      <c r="R40" s="36">
        <v>46219.0</v>
      </c>
    </row>
    <row r="41" ht="31.5" customHeight="1">
      <c r="A41" s="37" t="s">
        <v>784</v>
      </c>
      <c r="B41" s="38" t="s">
        <v>67</v>
      </c>
      <c r="C41" s="27" t="s">
        <v>78</v>
      </c>
      <c r="D41" s="27" t="s">
        <v>231</v>
      </c>
      <c r="E41" s="30" t="str">
        <f t="shared" si="1"/>
        <v>🟡 Atenção</v>
      </c>
      <c r="F41" s="27" t="s">
        <v>786</v>
      </c>
      <c r="G41" s="38" t="s">
        <v>250</v>
      </c>
      <c r="H41" s="38" t="s">
        <v>250</v>
      </c>
      <c r="I41" s="38" t="s">
        <v>250</v>
      </c>
      <c r="J41" s="92">
        <v>45971.0</v>
      </c>
      <c r="K41" s="33">
        <f>COUNTIFS('Módulos'!$G$2:$G$2464,A41,'Módulos'!$I$2:$I$2464,"ATIVO")</f>
        <v>10</v>
      </c>
      <c r="L41" s="34" t="s">
        <v>111</v>
      </c>
      <c r="M41" s="27" t="s">
        <v>166</v>
      </c>
      <c r="N41" s="27" t="s">
        <v>85</v>
      </c>
      <c r="O41" s="27" t="s">
        <v>109</v>
      </c>
      <c r="P41" s="27" t="s">
        <v>227</v>
      </c>
      <c r="Q41" s="27" t="s">
        <v>270</v>
      </c>
      <c r="R41" s="38"/>
    </row>
    <row r="42" ht="31.5" customHeight="1">
      <c r="A42" s="37" t="s">
        <v>792</v>
      </c>
      <c r="B42" s="38" t="s">
        <v>71</v>
      </c>
      <c r="C42" s="27" t="s">
        <v>78</v>
      </c>
      <c r="D42" s="27" t="s">
        <v>231</v>
      </c>
      <c r="E42" s="30" t="str">
        <f t="shared" si="1"/>
        <v>⚪ Sem dados</v>
      </c>
      <c r="F42" s="27" t="s">
        <v>796</v>
      </c>
      <c r="G42" s="27" t="s">
        <v>798</v>
      </c>
      <c r="H42" s="27" t="s">
        <v>800</v>
      </c>
      <c r="I42" s="27" t="s">
        <v>801</v>
      </c>
      <c r="J42" s="38"/>
      <c r="K42" s="33">
        <f>COUNTIFS('Módulos'!$G$2:$G$2464,A42,'Módulos'!$I$2:$I$2464,"ATIVO")</f>
        <v>0</v>
      </c>
      <c r="L42" s="34" t="s">
        <v>113</v>
      </c>
      <c r="M42" s="27" t="s">
        <v>166</v>
      </c>
      <c r="N42" s="27" t="s">
        <v>89</v>
      </c>
      <c r="O42" s="27" t="s">
        <v>109</v>
      </c>
      <c r="P42" s="27" t="s">
        <v>227</v>
      </c>
      <c r="Q42" s="27" t="s">
        <v>166</v>
      </c>
      <c r="R42" s="36">
        <v>46227.0</v>
      </c>
    </row>
    <row r="43" ht="31.5" customHeight="1">
      <c r="A43" s="24" t="s">
        <v>804</v>
      </c>
      <c r="B43" s="27" t="s">
        <v>74</v>
      </c>
      <c r="C43" s="27" t="s">
        <v>78</v>
      </c>
      <c r="D43" s="27" t="s">
        <v>231</v>
      </c>
      <c r="E43" s="30" t="str">
        <f t="shared" si="1"/>
        <v>⚪ Sem dados</v>
      </c>
      <c r="F43" s="38" t="s">
        <v>250</v>
      </c>
      <c r="G43" s="38" t="s">
        <v>250</v>
      </c>
      <c r="H43" s="38" t="s">
        <v>250</v>
      </c>
      <c r="I43" s="38" t="s">
        <v>250</v>
      </c>
      <c r="J43" s="38"/>
      <c r="K43" s="33">
        <f>COUNTIFS('Módulos'!$G$2:$G$2464,A43,'Módulos'!$I$2:$I$2464,"ATIVO")</f>
        <v>0</v>
      </c>
      <c r="L43" s="34" t="s">
        <v>160</v>
      </c>
      <c r="M43" s="27" t="s">
        <v>166</v>
      </c>
      <c r="N43" s="27" t="s">
        <v>89</v>
      </c>
      <c r="O43" s="27" t="s">
        <v>107</v>
      </c>
      <c r="P43" s="27" t="s">
        <v>185</v>
      </c>
      <c r="Q43" s="27" t="s">
        <v>185</v>
      </c>
      <c r="R43" s="38"/>
    </row>
    <row r="44" ht="31.5" customHeight="1">
      <c r="A44" s="24" t="s">
        <v>812</v>
      </c>
      <c r="B44" s="27" t="s">
        <v>74</v>
      </c>
      <c r="C44" s="27" t="s">
        <v>78</v>
      </c>
      <c r="D44" s="27" t="s">
        <v>231</v>
      </c>
      <c r="E44" s="30" t="str">
        <f t="shared" si="1"/>
        <v>⚪ Sem dados</v>
      </c>
      <c r="F44" s="38" t="s">
        <v>250</v>
      </c>
      <c r="G44" s="38" t="s">
        <v>250</v>
      </c>
      <c r="H44" s="38" t="s">
        <v>250</v>
      </c>
      <c r="I44" s="38" t="s">
        <v>250</v>
      </c>
      <c r="J44" s="38"/>
      <c r="K44" s="33">
        <f>COUNTIFS('Módulos'!$G$2:$G$2464,A44,'Módulos'!$I$2:$I$2464,"ATIVO")</f>
        <v>0</v>
      </c>
      <c r="L44" s="34" t="s">
        <v>160</v>
      </c>
      <c r="M44" s="27" t="s">
        <v>166</v>
      </c>
      <c r="N44" s="27" t="s">
        <v>89</v>
      </c>
      <c r="O44" s="27" t="s">
        <v>107</v>
      </c>
      <c r="P44" s="27" t="s">
        <v>185</v>
      </c>
      <c r="Q44" s="27" t="s">
        <v>185</v>
      </c>
      <c r="R44" s="38"/>
    </row>
    <row r="45" ht="31.5" customHeight="1">
      <c r="A45" s="37" t="s">
        <v>819</v>
      </c>
      <c r="B45" s="38" t="s">
        <v>63</v>
      </c>
      <c r="C45" s="27" t="s">
        <v>75</v>
      </c>
      <c r="D45" s="27" t="s">
        <v>81</v>
      </c>
      <c r="E45" s="30" t="str">
        <f t="shared" si="1"/>
        <v>🟡 Atenção</v>
      </c>
      <c r="F45" s="27" t="s">
        <v>823</v>
      </c>
      <c r="G45" s="27" t="s">
        <v>824</v>
      </c>
      <c r="H45" s="27" t="s">
        <v>825</v>
      </c>
      <c r="I45" s="27" t="s">
        <v>826</v>
      </c>
      <c r="J45" s="36">
        <v>45931.0</v>
      </c>
      <c r="K45" s="33">
        <f>COUNTIFS('Módulos'!$G$2:$G$2464,A45,'Módulos'!$I$2:$I$2464,"ATIVO")</f>
        <v>6</v>
      </c>
      <c r="L45" s="34" t="s">
        <v>111</v>
      </c>
      <c r="M45" s="27" t="s">
        <v>134</v>
      </c>
      <c r="N45" s="27" t="s">
        <v>85</v>
      </c>
      <c r="O45" s="27" t="s">
        <v>107</v>
      </c>
      <c r="P45" s="27" t="s">
        <v>243</v>
      </c>
      <c r="Q45" s="27" t="s">
        <v>121</v>
      </c>
      <c r="R45" s="36">
        <v>46223.0</v>
      </c>
    </row>
    <row r="46" ht="31.5" customHeight="1">
      <c r="A46" s="37" t="s">
        <v>831</v>
      </c>
      <c r="B46" s="27" t="s">
        <v>74</v>
      </c>
      <c r="C46" s="27" t="s">
        <v>78</v>
      </c>
      <c r="D46" s="27" t="s">
        <v>81</v>
      </c>
      <c r="E46" s="30" t="str">
        <f t="shared" si="1"/>
        <v>⚪ Sem dados</v>
      </c>
      <c r="F46" s="38" t="s">
        <v>250</v>
      </c>
      <c r="G46" s="38" t="s">
        <v>250</v>
      </c>
      <c r="H46" s="38" t="s">
        <v>250</v>
      </c>
      <c r="I46" s="38" t="s">
        <v>250</v>
      </c>
      <c r="J46" s="36">
        <v>45901.0</v>
      </c>
      <c r="K46" s="33">
        <f>COUNTIFS('Módulos'!$G$2:$G$2464,A46,'Módulos'!$I$2:$I$2464,"ATIVO")</f>
        <v>5</v>
      </c>
      <c r="L46" s="34" t="s">
        <v>111</v>
      </c>
      <c r="M46" s="27" t="s">
        <v>166</v>
      </c>
      <c r="N46" s="27" t="s">
        <v>89</v>
      </c>
      <c r="O46" s="27" t="s">
        <v>109</v>
      </c>
      <c r="P46" s="27" t="s">
        <v>227</v>
      </c>
      <c r="Q46" s="27" t="s">
        <v>270</v>
      </c>
      <c r="R46" s="36">
        <v>46150.0</v>
      </c>
    </row>
    <row r="47" ht="31.5" customHeight="1">
      <c r="A47" s="37" t="s">
        <v>836</v>
      </c>
      <c r="B47" s="38" t="s">
        <v>67</v>
      </c>
      <c r="C47" s="27" t="s">
        <v>78</v>
      </c>
      <c r="D47" s="27" t="s">
        <v>231</v>
      </c>
      <c r="E47" s="30" t="str">
        <f t="shared" si="1"/>
        <v>🟡 Atenção</v>
      </c>
      <c r="F47" s="27" t="s">
        <v>838</v>
      </c>
      <c r="G47" s="27" t="s">
        <v>840</v>
      </c>
      <c r="H47" s="27" t="s">
        <v>841</v>
      </c>
      <c r="I47" s="27" t="s">
        <v>842</v>
      </c>
      <c r="J47" s="36">
        <v>46126.0</v>
      </c>
      <c r="K47" s="33">
        <f>COUNTIFS('Módulos'!$G$2:$G$2464,A47,'Módulos'!$I$2:$I$2464,"ATIVO")</f>
        <v>2</v>
      </c>
      <c r="L47" s="34" t="s">
        <v>111</v>
      </c>
      <c r="M47" s="27" t="s">
        <v>131</v>
      </c>
      <c r="N47" s="27" t="s">
        <v>85</v>
      </c>
      <c r="O47" s="27" t="s">
        <v>109</v>
      </c>
      <c r="P47" s="27" t="s">
        <v>227</v>
      </c>
      <c r="Q47" s="27" t="s">
        <v>270</v>
      </c>
      <c r="R47" s="36">
        <v>46204.0</v>
      </c>
    </row>
    <row r="48" ht="6.75" customHeight="1"/>
  </sheetData>
  <autoFilter ref="$A$1:$R$48"/>
  <dataValidations>
    <dataValidation type="list" allowBlank="1" sqref="N2:N47">
      <formula1>Config!$C$3:$C$5</formula1>
    </dataValidation>
    <dataValidation type="list" allowBlank="1" sqref="M2:M47">
      <formula1>Config!$H$3:$H$16</formula1>
    </dataValidation>
    <dataValidation type="list" allowBlank="1" sqref="L2:L47">
      <formula1>Config!$E$3:$E$5</formula1>
    </dataValidation>
    <dataValidation type="list" allowBlank="1" sqref="O2:O47">
      <formula1>Config!$D$3:$D$5</formula1>
    </dataValidation>
    <dataValidation type="list" allowBlank="1" sqref="B2:B47">
      <formula1>Config!$A$3:$A$9</formula1>
    </dataValidation>
    <dataValidation type="list" allowBlank="1" sqref="C2:C47">
      <formula1>Config!$B$3:$B$5</formula1>
    </dataValidation>
    <dataValidation type="list" allowBlank="1" sqref="D2:D47">
      <formula1>Config!$I$4:$I$11</formula1>
    </dataValidation>
    <dataValidation type="list" allowBlank="1" sqref="P2:P47">
      <formula1>Config!$F$3:$F$6</formula1>
    </dataValidation>
    <dataValidation type="list" allowBlank="1" sqref="Q2:Q47">
      <formula1>Config!$G$3:$G$7</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1.0"/>
    <col customWidth="1" min="2" max="2" width="22.0"/>
    <col customWidth="1" min="3" max="3" width="26.0"/>
    <col customWidth="1" min="4" max="4" width="14.0"/>
    <col customWidth="1" min="5" max="5" width="13.0"/>
    <col customWidth="1" min="6" max="6" width="22.0"/>
    <col customWidth="1" min="7" max="7" width="18.0"/>
    <col customWidth="1" min="8" max="8" width="20.0"/>
    <col customWidth="1" min="9" max="9" width="28.0"/>
    <col customWidth="1" min="10" max="10" width="14.0"/>
    <col customWidth="1" min="11" max="11" width="15.0"/>
    <col customWidth="1" min="12" max="12" width="40.0"/>
    <col customWidth="1" min="13" max="13" width="26.0"/>
    <col customWidth="1" min="14" max="26" width="8.71"/>
  </cols>
  <sheetData>
    <row r="1" ht="33.75" customHeight="1">
      <c r="A1" s="10" t="s">
        <v>217</v>
      </c>
      <c r="B1" s="10" t="s">
        <v>218</v>
      </c>
      <c r="C1" s="10" t="s">
        <v>219</v>
      </c>
      <c r="D1" s="10" t="s">
        <v>220</v>
      </c>
      <c r="E1" s="10" t="s">
        <v>221</v>
      </c>
      <c r="F1" s="10" t="s">
        <v>222</v>
      </c>
      <c r="G1" s="10" t="s">
        <v>223</v>
      </c>
      <c r="H1" s="10" t="s">
        <v>225</v>
      </c>
      <c r="I1" s="10" t="s">
        <v>226</v>
      </c>
      <c r="J1" s="10" t="s">
        <v>228</v>
      </c>
      <c r="K1" s="10" t="s">
        <v>200</v>
      </c>
      <c r="L1" s="10" t="s">
        <v>229</v>
      </c>
      <c r="M1" s="10" t="s">
        <v>38</v>
      </c>
    </row>
    <row r="2" ht="30.0" customHeight="1">
      <c r="A2" s="42" t="s">
        <v>191</v>
      </c>
      <c r="B2" s="37" t="s">
        <v>238</v>
      </c>
      <c r="C2" s="38" t="s">
        <v>240</v>
      </c>
      <c r="D2" s="38" t="s">
        <v>241</v>
      </c>
      <c r="E2" s="38"/>
      <c r="F2" s="38" t="s">
        <v>242</v>
      </c>
      <c r="G2" s="38" t="s">
        <v>170</v>
      </c>
      <c r="H2" s="38" t="s">
        <v>65</v>
      </c>
      <c r="I2" s="38" t="s">
        <v>249</v>
      </c>
      <c r="J2" s="39"/>
      <c r="K2" s="53">
        <f t="array" ref="K2">IFERROR($E2*Config!$P$2*INDEX(Config!$K$3:$K$10,MATCH($H2,Config!$J$3:$J$10,0)),0)</f>
        <v>0</v>
      </c>
      <c r="L2" s="38" t="s">
        <v>278</v>
      </c>
      <c r="M2" s="38"/>
    </row>
    <row r="3" ht="30.0" customHeight="1">
      <c r="A3" s="42" t="s">
        <v>191</v>
      </c>
      <c r="B3" s="37" t="s">
        <v>280</v>
      </c>
      <c r="C3" s="38" t="s">
        <v>281</v>
      </c>
      <c r="D3" s="38" t="s">
        <v>282</v>
      </c>
      <c r="E3" s="38"/>
      <c r="F3" s="38" t="s">
        <v>283</v>
      </c>
      <c r="G3" s="38" t="s">
        <v>161</v>
      </c>
      <c r="H3" s="38" t="s">
        <v>65</v>
      </c>
      <c r="I3" s="38" t="s">
        <v>288</v>
      </c>
      <c r="J3" s="39"/>
      <c r="K3" s="53">
        <f t="array" ref="K3">IFERROR($E3*Config!$P$2*INDEX(Config!$K$3:$K$10,MATCH($H3,Config!$J$3:$J$10,0)),0)</f>
        <v>0</v>
      </c>
      <c r="L3" s="38" t="s">
        <v>295</v>
      </c>
      <c r="M3" s="38"/>
    </row>
    <row r="4" ht="30.0" customHeight="1">
      <c r="A4" s="42" t="s">
        <v>191</v>
      </c>
      <c r="B4" s="37" t="s">
        <v>297</v>
      </c>
      <c r="C4" s="38" t="s">
        <v>298</v>
      </c>
      <c r="D4" s="38" t="s">
        <v>299</v>
      </c>
      <c r="E4" s="38"/>
      <c r="F4" s="38" t="s">
        <v>301</v>
      </c>
      <c r="G4" s="38" t="s">
        <v>164</v>
      </c>
      <c r="H4" s="38" t="s">
        <v>65</v>
      </c>
      <c r="I4" s="38" t="s">
        <v>304</v>
      </c>
      <c r="J4" s="39"/>
      <c r="K4" s="53">
        <f t="array" ref="K4">IFERROR($E4*Config!$P$2*INDEX(Config!$K$3:$K$10,MATCH($H4,Config!$J$3:$J$10,0)),0)</f>
        <v>0</v>
      </c>
      <c r="L4" s="38" t="s">
        <v>309</v>
      </c>
      <c r="M4" s="38"/>
    </row>
    <row r="5" ht="30.0" customHeight="1">
      <c r="A5" s="42" t="s">
        <v>191</v>
      </c>
      <c r="B5" s="37" t="s">
        <v>310</v>
      </c>
      <c r="C5" s="38" t="s">
        <v>311</v>
      </c>
      <c r="D5" s="38" t="s">
        <v>313</v>
      </c>
      <c r="E5" s="38"/>
      <c r="F5" s="38" t="s">
        <v>301</v>
      </c>
      <c r="G5" s="38" t="s">
        <v>170</v>
      </c>
      <c r="H5" s="38" t="s">
        <v>65</v>
      </c>
      <c r="I5" s="38" t="s">
        <v>315</v>
      </c>
      <c r="J5" s="39"/>
      <c r="K5" s="53">
        <f t="array" ref="K5">IFERROR($E5*Config!$P$2*INDEX(Config!$K$3:$K$10,MATCH($H5,Config!$J$3:$J$10,0)),0)</f>
        <v>0</v>
      </c>
      <c r="L5" s="38" t="s">
        <v>320</v>
      </c>
      <c r="M5" s="38"/>
    </row>
    <row r="6" ht="30.0" customHeight="1">
      <c r="A6" s="42" t="s">
        <v>191</v>
      </c>
      <c r="B6" s="37" t="s">
        <v>322</v>
      </c>
      <c r="C6" s="38" t="s">
        <v>323</v>
      </c>
      <c r="D6" s="38" t="s">
        <v>324</v>
      </c>
      <c r="E6" s="38"/>
      <c r="F6" s="38" t="s">
        <v>325</v>
      </c>
      <c r="G6" s="38" t="s">
        <v>161</v>
      </c>
      <c r="H6" s="38" t="s">
        <v>65</v>
      </c>
      <c r="I6" s="38" t="s">
        <v>327</v>
      </c>
      <c r="J6" s="39"/>
      <c r="K6" s="53">
        <f t="array" ref="K6">IFERROR($E6*Config!$P$2*INDEX(Config!$K$3:$K$10,MATCH($H6,Config!$J$3:$J$10,0)),0)</f>
        <v>0</v>
      </c>
      <c r="L6" s="38" t="s">
        <v>329</v>
      </c>
      <c r="M6" s="38"/>
    </row>
    <row r="7" ht="30.0" customHeight="1">
      <c r="A7" s="42" t="s">
        <v>191</v>
      </c>
      <c r="B7" s="37" t="s">
        <v>330</v>
      </c>
      <c r="C7" s="38" t="s">
        <v>331</v>
      </c>
      <c r="D7" s="38" t="s">
        <v>333</v>
      </c>
      <c r="E7" s="38"/>
      <c r="F7" s="38" t="s">
        <v>334</v>
      </c>
      <c r="G7" s="38" t="s">
        <v>170</v>
      </c>
      <c r="H7" s="38" t="s">
        <v>65</v>
      </c>
      <c r="I7" s="38" t="s">
        <v>335</v>
      </c>
      <c r="J7" s="39"/>
      <c r="K7" s="53">
        <f t="array" ref="K7">IFERROR($E7*Config!$P$2*INDEX(Config!$K$3:$K$10,MATCH($H7,Config!$J$3:$J$10,0)),0)</f>
        <v>0</v>
      </c>
      <c r="L7" s="38" t="s">
        <v>339</v>
      </c>
      <c r="M7" s="38"/>
    </row>
    <row r="8" ht="30.0" customHeight="1">
      <c r="A8" s="42" t="s">
        <v>191</v>
      </c>
      <c r="B8" s="37" t="s">
        <v>341</v>
      </c>
      <c r="C8" s="38" t="s">
        <v>342</v>
      </c>
      <c r="D8" s="38" t="s">
        <v>343</v>
      </c>
      <c r="E8" s="38"/>
      <c r="F8" s="38" t="s">
        <v>344</v>
      </c>
      <c r="G8" s="38" t="s">
        <v>161</v>
      </c>
      <c r="H8" s="38" t="s">
        <v>65</v>
      </c>
      <c r="I8" s="38" t="s">
        <v>346</v>
      </c>
      <c r="J8" s="39"/>
      <c r="K8" s="53">
        <f t="array" ref="K8">IFERROR($E8*Config!$P$2*INDEX(Config!$K$3:$K$10,MATCH($H8,Config!$J$3:$J$10,0)),0)</f>
        <v>0</v>
      </c>
      <c r="L8" s="38" t="s">
        <v>355</v>
      </c>
      <c r="M8" s="38"/>
    </row>
    <row r="9" ht="30.0" customHeight="1">
      <c r="A9" s="42" t="s">
        <v>191</v>
      </c>
      <c r="B9" s="37" t="s">
        <v>356</v>
      </c>
      <c r="C9" s="38" t="s">
        <v>358</v>
      </c>
      <c r="D9" s="38" t="s">
        <v>241</v>
      </c>
      <c r="E9" s="38"/>
      <c r="F9" s="38" t="s">
        <v>359</v>
      </c>
      <c r="G9" s="38" t="s">
        <v>170</v>
      </c>
      <c r="H9" s="38" t="s">
        <v>65</v>
      </c>
      <c r="I9" s="38" t="s">
        <v>360</v>
      </c>
      <c r="J9" s="39"/>
      <c r="K9" s="53">
        <f t="array" ref="K9">IFERROR($E9*Config!$P$2*INDEX(Config!$K$3:$K$10,MATCH($H9,Config!$J$3:$J$10,0)),0)</f>
        <v>0</v>
      </c>
      <c r="L9" s="38" t="s">
        <v>355</v>
      </c>
      <c r="M9" s="38"/>
    </row>
    <row r="10" ht="30.0" customHeight="1">
      <c r="A10" s="42" t="s">
        <v>191</v>
      </c>
      <c r="B10" s="37" t="s">
        <v>365</v>
      </c>
      <c r="C10" s="38" t="s">
        <v>366</v>
      </c>
      <c r="D10" s="38" t="s">
        <v>368</v>
      </c>
      <c r="E10" s="38"/>
      <c r="F10" s="38" t="s">
        <v>301</v>
      </c>
      <c r="G10" s="38" t="s">
        <v>164</v>
      </c>
      <c r="H10" s="38" t="s">
        <v>65</v>
      </c>
      <c r="I10" s="38" t="s">
        <v>369</v>
      </c>
      <c r="J10" s="39"/>
      <c r="K10" s="53">
        <f t="array" ref="K10">IFERROR($E10*Config!$P$2*INDEX(Config!$K$3:$K$10,MATCH($H10,Config!$J$3:$J$10,0)),0)</f>
        <v>0</v>
      </c>
      <c r="L10" s="38" t="s">
        <v>379</v>
      </c>
      <c r="M10" s="38"/>
    </row>
    <row r="11" ht="30.0" customHeight="1">
      <c r="A11" s="42" t="s">
        <v>191</v>
      </c>
      <c r="B11" s="37" t="s">
        <v>381</v>
      </c>
      <c r="C11" s="38" t="s">
        <v>382</v>
      </c>
      <c r="D11" s="38" t="s">
        <v>383</v>
      </c>
      <c r="E11" s="38"/>
      <c r="F11" s="38" t="s">
        <v>283</v>
      </c>
      <c r="G11" s="38" t="s">
        <v>161</v>
      </c>
      <c r="H11" s="38" t="s">
        <v>65</v>
      </c>
      <c r="I11" s="38" t="s">
        <v>385</v>
      </c>
      <c r="J11" s="39"/>
      <c r="K11" s="53">
        <f t="array" ref="K11">IFERROR($E11*Config!$P$2*INDEX(Config!$K$3:$K$10,MATCH($H11,Config!$J$3:$J$10,0)),0)</f>
        <v>0</v>
      </c>
      <c r="L11" s="38" t="s">
        <v>395</v>
      </c>
      <c r="M11" s="38"/>
    </row>
    <row r="12" ht="30.0" customHeight="1">
      <c r="A12" s="88" t="s">
        <v>195</v>
      </c>
      <c r="B12" s="37" t="s">
        <v>399</v>
      </c>
      <c r="C12" s="38" t="s">
        <v>400</v>
      </c>
      <c r="D12" s="38" t="s">
        <v>401</v>
      </c>
      <c r="E12" s="38"/>
      <c r="F12" s="38" t="s">
        <v>403</v>
      </c>
      <c r="G12" s="38" t="s">
        <v>172</v>
      </c>
      <c r="H12" s="38" t="s">
        <v>65</v>
      </c>
      <c r="I12" s="38" t="s">
        <v>406</v>
      </c>
      <c r="J12" s="39"/>
      <c r="K12" s="53">
        <f t="array" ref="K12">IFERROR($E12*Config!$P$2*INDEX(Config!$K$3:$K$10,MATCH($H12,Config!$J$3:$J$10,0)),0)</f>
        <v>0</v>
      </c>
      <c r="L12" s="38" t="s">
        <v>416</v>
      </c>
      <c r="M12" s="38"/>
    </row>
    <row r="13" ht="30.0" customHeight="1">
      <c r="A13" s="88" t="s">
        <v>195</v>
      </c>
      <c r="B13" s="37" t="s">
        <v>419</v>
      </c>
      <c r="C13" s="38" t="s">
        <v>420</v>
      </c>
      <c r="D13" s="38" t="s">
        <v>421</v>
      </c>
      <c r="E13" s="38"/>
      <c r="F13" s="38" t="s">
        <v>403</v>
      </c>
      <c r="G13" s="38" t="s">
        <v>172</v>
      </c>
      <c r="H13" s="38" t="s">
        <v>65</v>
      </c>
      <c r="I13" s="38" t="s">
        <v>422</v>
      </c>
      <c r="J13" s="39"/>
      <c r="K13" s="53">
        <f t="array" ref="K13">IFERROR($E13*Config!$P$2*INDEX(Config!$K$3:$K$10,MATCH($H13,Config!$J$3:$J$10,0)),0)</f>
        <v>0</v>
      </c>
      <c r="L13" s="38" t="s">
        <v>426</v>
      </c>
      <c r="M13" s="38"/>
    </row>
    <row r="14" ht="30.0" customHeight="1">
      <c r="A14" s="88" t="s">
        <v>195</v>
      </c>
      <c r="B14" s="37" t="s">
        <v>429</v>
      </c>
      <c r="C14" s="38" t="s">
        <v>430</v>
      </c>
      <c r="D14" s="38" t="s">
        <v>431</v>
      </c>
      <c r="E14" s="38"/>
      <c r="F14" s="38" t="s">
        <v>432</v>
      </c>
      <c r="G14" s="38" t="s">
        <v>170</v>
      </c>
      <c r="H14" s="38" t="s">
        <v>65</v>
      </c>
      <c r="I14" s="38" t="s">
        <v>435</v>
      </c>
      <c r="J14" s="39"/>
      <c r="K14" s="53">
        <f t="array" ref="K14">IFERROR($E14*Config!$P$2*INDEX(Config!$K$3:$K$10,MATCH($H14,Config!$J$3:$J$10,0)),0)</f>
        <v>0</v>
      </c>
      <c r="L14" s="38" t="s">
        <v>440</v>
      </c>
      <c r="M14" s="38"/>
    </row>
    <row r="15" ht="30.0" customHeight="1">
      <c r="A15" s="88" t="s">
        <v>195</v>
      </c>
      <c r="B15" s="37" t="s">
        <v>442</v>
      </c>
      <c r="C15" s="38" t="s">
        <v>443</v>
      </c>
      <c r="D15" s="38" t="s">
        <v>444</v>
      </c>
      <c r="E15" s="38"/>
      <c r="F15" s="38" t="s">
        <v>301</v>
      </c>
      <c r="G15" s="38" t="s">
        <v>172</v>
      </c>
      <c r="H15" s="38" t="s">
        <v>65</v>
      </c>
      <c r="I15" s="38" t="s">
        <v>445</v>
      </c>
      <c r="J15" s="39"/>
      <c r="K15" s="53">
        <f t="array" ref="K15">IFERROR($E15*Config!$P$2*INDEX(Config!$K$3:$K$10,MATCH($H15,Config!$J$3:$J$10,0)),0)</f>
        <v>0</v>
      </c>
      <c r="L15" s="38" t="s">
        <v>448</v>
      </c>
      <c r="M15" s="38"/>
    </row>
    <row r="16" ht="30.0" customHeight="1">
      <c r="A16" s="88" t="s">
        <v>195</v>
      </c>
      <c r="B16" s="37" t="s">
        <v>450</v>
      </c>
      <c r="C16" s="38" t="s">
        <v>451</v>
      </c>
      <c r="D16" s="38" t="s">
        <v>452</v>
      </c>
      <c r="E16" s="38"/>
      <c r="F16" s="38" t="s">
        <v>453</v>
      </c>
      <c r="G16" s="38" t="s">
        <v>164</v>
      </c>
      <c r="H16" s="38" t="s">
        <v>65</v>
      </c>
      <c r="I16" s="38" t="s">
        <v>455</v>
      </c>
      <c r="J16" s="39"/>
      <c r="K16" s="53">
        <f t="array" ref="K16">IFERROR($E16*Config!$P$2*INDEX(Config!$K$3:$K$10,MATCH($H16,Config!$J$3:$J$10,0)),0)</f>
        <v>0</v>
      </c>
      <c r="L16" s="38" t="s">
        <v>459</v>
      </c>
      <c r="M16" s="38"/>
    </row>
    <row r="17" ht="30.0" customHeight="1">
      <c r="A17" s="88" t="s">
        <v>195</v>
      </c>
      <c r="B17" s="37" t="s">
        <v>460</v>
      </c>
      <c r="C17" s="38" t="s">
        <v>461</v>
      </c>
      <c r="D17" s="38" t="s">
        <v>462</v>
      </c>
      <c r="E17" s="38"/>
      <c r="F17" s="38" t="s">
        <v>301</v>
      </c>
      <c r="G17" s="38" t="s">
        <v>172</v>
      </c>
      <c r="H17" s="38" t="s">
        <v>65</v>
      </c>
      <c r="I17" s="38" t="s">
        <v>465</v>
      </c>
      <c r="J17" s="39"/>
      <c r="K17" s="53">
        <f t="array" ref="K17">IFERROR($E17*Config!$P$2*INDEX(Config!$K$3:$K$10,MATCH($H17,Config!$J$3:$J$10,0)),0)</f>
        <v>0</v>
      </c>
      <c r="L17" s="38" t="s">
        <v>470</v>
      </c>
      <c r="M17" s="38"/>
    </row>
    <row r="18" ht="30.0" customHeight="1">
      <c r="A18" s="94" t="s">
        <v>197</v>
      </c>
      <c r="B18" s="37" t="s">
        <v>476</v>
      </c>
      <c r="C18" s="38" t="s">
        <v>477</v>
      </c>
      <c r="D18" s="38" t="s">
        <v>479</v>
      </c>
      <c r="E18" s="38"/>
      <c r="F18" s="38" t="s">
        <v>481</v>
      </c>
      <c r="G18" s="38" t="s">
        <v>170</v>
      </c>
      <c r="H18" s="38" t="s">
        <v>65</v>
      </c>
      <c r="I18" s="38" t="s">
        <v>482</v>
      </c>
      <c r="J18" s="39"/>
      <c r="K18" s="53">
        <f t="array" ref="K18">IFERROR($E18*Config!$P$2*INDEX(Config!$K$3:$K$10,MATCH($H18,Config!$J$3:$J$10,0)),0)</f>
        <v>0</v>
      </c>
      <c r="L18" s="38" t="s">
        <v>488</v>
      </c>
      <c r="M18" s="38"/>
    </row>
    <row r="19" ht="30.0" customHeight="1">
      <c r="A19" s="94" t="s">
        <v>197</v>
      </c>
      <c r="B19" s="37" t="s">
        <v>491</v>
      </c>
      <c r="C19" s="38" t="s">
        <v>477</v>
      </c>
      <c r="D19" s="38" t="s">
        <v>493</v>
      </c>
      <c r="E19" s="38"/>
      <c r="F19" s="38" t="s">
        <v>481</v>
      </c>
      <c r="G19" s="38" t="s">
        <v>170</v>
      </c>
      <c r="H19" s="38" t="s">
        <v>65</v>
      </c>
      <c r="I19" s="38" t="s">
        <v>494</v>
      </c>
      <c r="J19" s="39"/>
      <c r="K19" s="53">
        <f t="array" ref="K19">IFERROR($E19*Config!$P$2*INDEX(Config!$K$3:$K$10,MATCH($H19,Config!$J$3:$J$10,0)),0)</f>
        <v>0</v>
      </c>
      <c r="L19" s="38" t="s">
        <v>499</v>
      </c>
      <c r="M19" s="38"/>
    </row>
    <row r="20" ht="30.0" customHeight="1">
      <c r="A20" s="94" t="s">
        <v>197</v>
      </c>
      <c r="B20" s="37" t="s">
        <v>502</v>
      </c>
      <c r="C20" s="38" t="s">
        <v>477</v>
      </c>
      <c r="D20" s="38" t="s">
        <v>368</v>
      </c>
      <c r="E20" s="38"/>
      <c r="F20" s="38" t="s">
        <v>503</v>
      </c>
      <c r="G20" s="38" t="s">
        <v>172</v>
      </c>
      <c r="H20" s="38" t="s">
        <v>65</v>
      </c>
      <c r="I20" s="38" t="s">
        <v>504</v>
      </c>
      <c r="J20" s="39"/>
      <c r="K20" s="53">
        <f t="array" ref="K20">IFERROR($E20*Config!$P$2*INDEX(Config!$K$3:$K$10,MATCH($H20,Config!$J$3:$J$10,0)),0)</f>
        <v>0</v>
      </c>
      <c r="L20" s="38" t="s">
        <v>510</v>
      </c>
      <c r="M20" s="38"/>
    </row>
    <row r="21" ht="30.0" customHeight="1">
      <c r="A21" s="94" t="s">
        <v>197</v>
      </c>
      <c r="B21" s="37" t="s">
        <v>512</v>
      </c>
      <c r="C21" s="38" t="s">
        <v>513</v>
      </c>
      <c r="D21" s="38" t="s">
        <v>368</v>
      </c>
      <c r="E21" s="38"/>
      <c r="F21" s="38" t="s">
        <v>514</v>
      </c>
      <c r="G21" s="38" t="s">
        <v>172</v>
      </c>
      <c r="H21" s="38" t="s">
        <v>65</v>
      </c>
      <c r="I21" s="38" t="s">
        <v>516</v>
      </c>
      <c r="J21" s="39"/>
      <c r="K21" s="53">
        <f t="array" ref="K21">IFERROR($E21*Config!$P$2*INDEX(Config!$K$3:$K$10,MATCH($H21,Config!$J$3:$J$10,0)),0)</f>
        <v>0</v>
      </c>
      <c r="L21" s="38" t="s">
        <v>521</v>
      </c>
      <c r="M21" s="38"/>
    </row>
    <row r="22" ht="30.0" customHeight="1">
      <c r="A22" s="94" t="s">
        <v>197</v>
      </c>
      <c r="B22" s="37" t="s">
        <v>523</v>
      </c>
      <c r="C22" s="38" t="s">
        <v>513</v>
      </c>
      <c r="D22" s="38" t="s">
        <v>524</v>
      </c>
      <c r="E22" s="38"/>
      <c r="F22" s="38" t="s">
        <v>432</v>
      </c>
      <c r="G22" s="38" t="s">
        <v>164</v>
      </c>
      <c r="H22" s="38" t="s">
        <v>65</v>
      </c>
      <c r="I22" s="38" t="s">
        <v>527</v>
      </c>
      <c r="J22" s="39"/>
      <c r="K22" s="53">
        <f t="array" ref="K22">IFERROR($E22*Config!$P$2*INDEX(Config!$K$3:$K$10,MATCH($H22,Config!$J$3:$J$10,0)),0)</f>
        <v>0</v>
      </c>
      <c r="L22" s="38" t="s">
        <v>532</v>
      </c>
      <c r="M22" s="38"/>
    </row>
    <row r="23" ht="30.0" customHeight="1">
      <c r="A23" s="94" t="s">
        <v>197</v>
      </c>
      <c r="B23" s="37" t="s">
        <v>536</v>
      </c>
      <c r="C23" s="38" t="s">
        <v>537</v>
      </c>
      <c r="D23" s="38" t="s">
        <v>368</v>
      </c>
      <c r="E23" s="38"/>
      <c r="F23" s="38" t="s">
        <v>503</v>
      </c>
      <c r="G23" s="38" t="s">
        <v>174</v>
      </c>
      <c r="H23" s="38" t="s">
        <v>65</v>
      </c>
      <c r="I23" s="38" t="s">
        <v>539</v>
      </c>
      <c r="J23" s="39"/>
      <c r="K23" s="53">
        <f t="array" ref="K23">IFERROR($E23*Config!$P$2*INDEX(Config!$K$3:$K$10,MATCH($H23,Config!$J$3:$J$10,0)),0)</f>
        <v>0</v>
      </c>
      <c r="L23" s="38" t="s">
        <v>545</v>
      </c>
      <c r="M23" s="38"/>
    </row>
    <row r="24" ht="30.0" customHeight="1">
      <c r="A24" s="94" t="s">
        <v>197</v>
      </c>
      <c r="B24" s="37" t="s">
        <v>547</v>
      </c>
      <c r="C24" s="38" t="s">
        <v>549</v>
      </c>
      <c r="D24" s="38" t="s">
        <v>550</v>
      </c>
      <c r="E24" s="38"/>
      <c r="F24" s="38" t="s">
        <v>551</v>
      </c>
      <c r="G24" s="38" t="s">
        <v>172</v>
      </c>
      <c r="H24" s="38" t="s">
        <v>65</v>
      </c>
      <c r="I24" s="38" t="s">
        <v>445</v>
      </c>
      <c r="J24" s="39"/>
      <c r="K24" s="53">
        <f t="array" ref="K24">IFERROR($E24*Config!$P$2*INDEX(Config!$K$3:$K$10,MATCH($H24,Config!$J$3:$J$10,0)),0)</f>
        <v>0</v>
      </c>
      <c r="L24" s="38" t="s">
        <v>556</v>
      </c>
      <c r="M24" s="38"/>
    </row>
    <row r="25" ht="30.0" customHeight="1">
      <c r="A25" s="94" t="s">
        <v>197</v>
      </c>
      <c r="B25" s="37" t="s">
        <v>562</v>
      </c>
      <c r="C25" s="38" t="s">
        <v>563</v>
      </c>
      <c r="D25" s="38" t="s">
        <v>565</v>
      </c>
      <c r="E25" s="38"/>
      <c r="F25" s="38" t="s">
        <v>503</v>
      </c>
      <c r="G25" s="38" t="s">
        <v>170</v>
      </c>
      <c r="H25" s="38" t="s">
        <v>65</v>
      </c>
      <c r="I25" s="38" t="s">
        <v>567</v>
      </c>
      <c r="J25" s="39"/>
      <c r="K25" s="53">
        <f t="array" ref="K25">IFERROR($E25*Config!$P$2*INDEX(Config!$K$3:$K$10,MATCH($H25,Config!$J$3:$J$10,0)),0)</f>
        <v>0</v>
      </c>
      <c r="L25" s="38" t="s">
        <v>573</v>
      </c>
      <c r="M25" s="3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5"/>
  <dataValidations>
    <dataValidation type="list" allowBlank="1" sqref="A2:A25">
      <formula1>Config!$M$3:$M$5</formula1>
    </dataValidation>
    <dataValidation type="list" allowBlank="1" sqref="G2:G25">
      <formula1>Config!$L$3:$L$9</formula1>
    </dataValidation>
    <dataValidation type="list" allowBlank="1" sqref="H2:H25">
      <formula1>Config!$J$3:$J$10</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14"/>
    <col customWidth="1" min="2" max="2" width="23.0"/>
    <col customWidth="1" min="3" max="3" width="19.57"/>
    <col customWidth="1" min="4" max="4" width="27.57"/>
    <col customWidth="1" min="5" max="6" width="23.0"/>
    <col customWidth="1" min="7" max="7" width="11.43"/>
    <col customWidth="1" min="8" max="8" width="10.29"/>
    <col customWidth="1" min="9" max="9" width="32.0"/>
    <col customWidth="1" min="10" max="10" width="29.0"/>
    <col customWidth="1" min="11" max="11" width="19.43"/>
    <col customWidth="1" min="12" max="12" width="86.86"/>
    <col customWidth="1" min="13" max="13" width="23.14"/>
    <col customWidth="1" min="14" max="14" width="11.14"/>
    <col customWidth="1" min="15" max="15" width="23.0"/>
    <col customWidth="1" min="16" max="16" width="150.71"/>
    <col customWidth="1" min="17" max="17" width="16.43"/>
    <col customWidth="1" min="18" max="18" width="1.29"/>
    <col hidden="1" min="19" max="30" width="14.43"/>
  </cols>
  <sheetData>
    <row r="1" ht="46.5" customHeight="1">
      <c r="A1" s="41" t="s">
        <v>232</v>
      </c>
      <c r="B1" s="43" t="s">
        <v>237</v>
      </c>
      <c r="C1" s="44" t="s">
        <v>244</v>
      </c>
      <c r="D1" s="45" t="s">
        <v>246</v>
      </c>
      <c r="E1" s="46" t="s">
        <v>248</v>
      </c>
      <c r="F1" s="46" t="s">
        <v>253</v>
      </c>
      <c r="G1" s="46" t="s">
        <v>255</v>
      </c>
      <c r="H1" s="45" t="s">
        <v>257</v>
      </c>
      <c r="I1" s="45" t="s">
        <v>258</v>
      </c>
      <c r="J1" s="45" t="s">
        <v>259</v>
      </c>
      <c r="K1" s="45" t="s">
        <v>260</v>
      </c>
      <c r="L1" s="47" t="s">
        <v>261</v>
      </c>
      <c r="M1" s="41" t="s">
        <v>263</v>
      </c>
      <c r="N1" s="41" t="s">
        <v>264</v>
      </c>
      <c r="O1" s="48" t="s">
        <v>265</v>
      </c>
      <c r="P1" s="49" t="s">
        <v>266</v>
      </c>
      <c r="Q1" s="50" t="s">
        <v>267</v>
      </c>
    </row>
    <row r="2" ht="18.0" customHeight="1">
      <c r="A2" s="51" t="s">
        <v>269</v>
      </c>
      <c r="B2" s="52" t="s">
        <v>276</v>
      </c>
      <c r="C2" s="54" t="s">
        <v>277</v>
      </c>
      <c r="D2" s="55" t="s">
        <v>285</v>
      </c>
      <c r="E2" s="55" t="s">
        <v>289</v>
      </c>
      <c r="F2" s="57"/>
      <c r="G2" s="57">
        <v>46027.0</v>
      </c>
      <c r="H2" s="58">
        <v>0.0</v>
      </c>
      <c r="I2" s="62" t="s">
        <v>302</v>
      </c>
      <c r="J2" s="62" t="s">
        <v>277</v>
      </c>
      <c r="K2" s="66" t="s">
        <v>314</v>
      </c>
      <c r="L2" s="67" t="s">
        <v>316</v>
      </c>
      <c r="M2" s="55" t="s">
        <v>318</v>
      </c>
      <c r="N2" s="57">
        <v>46027.0</v>
      </c>
      <c r="O2" s="55" t="str">
        <f t="shared" ref="O2:O323" si="1">IF(N2="","SEM DATA APONTADA",(IF(B2="FINALIZADO", "CONCLUÍDO",(IF(B2="ANALISADO", "ANALISADO",IF(N2&lt;TODAY(), "VENCIDO", IF(N2=TODAY(), "VENCE HOJE", IF(N2&lt;=TODAY()+5,"VENCENDO", "NO PRAZO"))))))))</f>
        <v>CONCLUÍDO</v>
      </c>
      <c r="P2" s="70" t="s">
        <v>336</v>
      </c>
      <c r="Q2" s="72">
        <v>46027.0</v>
      </c>
      <c r="R2" s="8"/>
      <c r="S2" s="8"/>
      <c r="T2" s="8"/>
      <c r="U2" s="8"/>
      <c r="V2" s="8"/>
      <c r="W2" s="8"/>
      <c r="X2" s="8"/>
      <c r="Y2" s="8"/>
      <c r="Z2" s="8"/>
      <c r="AA2" s="8"/>
      <c r="AB2" s="8"/>
      <c r="AC2" s="8"/>
      <c r="AD2" s="8"/>
    </row>
    <row r="3">
      <c r="A3" s="51" t="s">
        <v>345</v>
      </c>
      <c r="B3" s="74" t="s">
        <v>276</v>
      </c>
      <c r="C3" s="54" t="s">
        <v>277</v>
      </c>
      <c r="D3" s="62" t="s">
        <v>328</v>
      </c>
      <c r="E3" s="55" t="s">
        <v>349</v>
      </c>
      <c r="F3" s="57"/>
      <c r="G3" s="57">
        <v>46027.0</v>
      </c>
      <c r="H3" s="58">
        <v>0.0</v>
      </c>
      <c r="I3" s="62" t="s">
        <v>302</v>
      </c>
      <c r="J3" s="62" t="s">
        <v>277</v>
      </c>
      <c r="K3" s="66" t="s">
        <v>314</v>
      </c>
      <c r="L3" s="77" t="s">
        <v>357</v>
      </c>
      <c r="M3" s="74"/>
      <c r="N3" s="72">
        <v>46027.0</v>
      </c>
      <c r="O3" s="55" t="str">
        <f t="shared" si="1"/>
        <v>CONCLUÍDO</v>
      </c>
      <c r="P3" s="70" t="s">
        <v>361</v>
      </c>
      <c r="Q3" s="72">
        <v>46027.0</v>
      </c>
      <c r="R3" s="8"/>
      <c r="S3" s="8"/>
      <c r="T3" s="8"/>
      <c r="U3" s="8"/>
      <c r="V3" s="8"/>
      <c r="W3" s="8"/>
      <c r="X3" s="8"/>
      <c r="Y3" s="8"/>
      <c r="Z3" s="8"/>
      <c r="AA3" s="8"/>
      <c r="AB3" s="8"/>
      <c r="AC3" s="8"/>
      <c r="AD3" s="8"/>
    </row>
    <row r="4">
      <c r="A4" s="51" t="s">
        <v>363</v>
      </c>
      <c r="B4" s="52" t="s">
        <v>276</v>
      </c>
      <c r="C4" s="54" t="s">
        <v>277</v>
      </c>
      <c r="D4" s="62" t="s">
        <v>328</v>
      </c>
      <c r="E4" s="55" t="s">
        <v>367</v>
      </c>
      <c r="F4" s="57"/>
      <c r="G4" s="57">
        <v>46027.0</v>
      </c>
      <c r="H4" s="58">
        <v>0.0</v>
      </c>
      <c r="I4" s="62" t="s">
        <v>302</v>
      </c>
      <c r="J4" s="62" t="s">
        <v>277</v>
      </c>
      <c r="K4" s="66" t="s">
        <v>314</v>
      </c>
      <c r="L4" s="77" t="s">
        <v>370</v>
      </c>
      <c r="M4" s="74"/>
      <c r="N4" s="82">
        <v>46027.0</v>
      </c>
      <c r="O4" s="55" t="str">
        <f t="shared" si="1"/>
        <v>CONCLUÍDO</v>
      </c>
      <c r="P4" s="70"/>
      <c r="Q4" s="84">
        <f>N4</f>
        <v>46027</v>
      </c>
      <c r="R4" s="8"/>
      <c r="S4" s="8"/>
      <c r="T4" s="8"/>
      <c r="U4" s="8"/>
      <c r="V4" s="8"/>
      <c r="W4" s="8"/>
      <c r="X4" s="8"/>
      <c r="Y4" s="8"/>
      <c r="Z4" s="8"/>
      <c r="AA4" s="8"/>
      <c r="AB4" s="8"/>
      <c r="AC4" s="8"/>
      <c r="AD4" s="8"/>
    </row>
    <row r="5">
      <c r="A5" s="85" t="s">
        <v>386</v>
      </c>
      <c r="B5" s="74" t="s">
        <v>276</v>
      </c>
      <c r="C5" s="86" t="s">
        <v>277</v>
      </c>
      <c r="D5" s="55" t="s">
        <v>362</v>
      </c>
      <c r="E5" s="87" t="s">
        <v>289</v>
      </c>
      <c r="F5" s="57"/>
      <c r="G5" s="89">
        <v>46027.0</v>
      </c>
      <c r="H5" s="58">
        <v>0.0</v>
      </c>
      <c r="I5" s="62" t="s">
        <v>302</v>
      </c>
      <c r="J5" s="62" t="s">
        <v>277</v>
      </c>
      <c r="K5" s="66" t="s">
        <v>407</v>
      </c>
      <c r="L5" s="90" t="s">
        <v>408</v>
      </c>
      <c r="M5" s="62" t="s">
        <v>415</v>
      </c>
      <c r="N5" s="72">
        <v>46028.0</v>
      </c>
      <c r="O5" s="55" t="str">
        <f t="shared" si="1"/>
        <v>CONCLUÍDO</v>
      </c>
      <c r="P5" s="70" t="s">
        <v>418</v>
      </c>
      <c r="Q5" s="72">
        <v>46028.0</v>
      </c>
      <c r="R5" s="8"/>
      <c r="S5" s="8"/>
      <c r="T5" s="8"/>
      <c r="U5" s="8"/>
      <c r="V5" s="8"/>
      <c r="W5" s="8"/>
      <c r="X5" s="8"/>
      <c r="Y5" s="8"/>
      <c r="Z5" s="8"/>
      <c r="AA5" s="8"/>
      <c r="AB5" s="8"/>
      <c r="AC5" s="8"/>
      <c r="AD5" s="8"/>
    </row>
    <row r="6">
      <c r="A6" s="91"/>
      <c r="B6" s="74" t="s">
        <v>276</v>
      </c>
      <c r="C6" s="91"/>
      <c r="D6" s="55" t="s">
        <v>362</v>
      </c>
      <c r="E6" s="91"/>
      <c r="F6" s="57"/>
      <c r="G6" s="91"/>
      <c r="H6" s="58">
        <v>0.0</v>
      </c>
      <c r="I6" s="62" t="s">
        <v>302</v>
      </c>
      <c r="J6" s="62" t="s">
        <v>277</v>
      </c>
      <c r="K6" s="66" t="s">
        <v>407</v>
      </c>
      <c r="L6" s="91"/>
      <c r="M6" s="62" t="s">
        <v>428</v>
      </c>
      <c r="N6" s="72">
        <v>46028.0</v>
      </c>
      <c r="O6" s="55" t="str">
        <f t="shared" si="1"/>
        <v>CONCLUÍDO</v>
      </c>
      <c r="P6" s="70" t="s">
        <v>418</v>
      </c>
      <c r="Q6" s="72">
        <v>46028.0</v>
      </c>
      <c r="R6" s="8"/>
      <c r="S6" s="8"/>
      <c r="T6" s="8"/>
      <c r="U6" s="8"/>
      <c r="V6" s="8"/>
      <c r="W6" s="8"/>
      <c r="X6" s="8"/>
      <c r="Y6" s="8"/>
      <c r="Z6" s="8"/>
      <c r="AA6" s="8"/>
      <c r="AB6" s="8"/>
      <c r="AC6" s="8"/>
      <c r="AD6" s="8"/>
    </row>
    <row r="7">
      <c r="A7" s="91"/>
      <c r="B7" s="74" t="s">
        <v>276</v>
      </c>
      <c r="C7" s="91"/>
      <c r="D7" s="55" t="s">
        <v>362</v>
      </c>
      <c r="E7" s="91"/>
      <c r="F7" s="57"/>
      <c r="G7" s="91"/>
      <c r="H7" s="58">
        <v>0.0</v>
      </c>
      <c r="I7" s="62" t="s">
        <v>302</v>
      </c>
      <c r="J7" s="62" t="s">
        <v>277</v>
      </c>
      <c r="K7" s="66" t="s">
        <v>407</v>
      </c>
      <c r="L7" s="91"/>
      <c r="M7" s="62" t="s">
        <v>441</v>
      </c>
      <c r="N7" s="72">
        <v>46028.0</v>
      </c>
      <c r="O7" s="55" t="str">
        <f t="shared" si="1"/>
        <v>CONCLUÍDO</v>
      </c>
      <c r="P7" s="70" t="s">
        <v>418</v>
      </c>
      <c r="Q7" s="72">
        <v>46028.0</v>
      </c>
      <c r="R7" s="8"/>
      <c r="S7" s="8"/>
      <c r="T7" s="8"/>
      <c r="U7" s="8"/>
      <c r="V7" s="8"/>
      <c r="W7" s="8"/>
      <c r="X7" s="8"/>
      <c r="Y7" s="8"/>
      <c r="Z7" s="8"/>
      <c r="AA7" s="8"/>
      <c r="AB7" s="8"/>
      <c r="AC7" s="8"/>
      <c r="AD7" s="8"/>
    </row>
    <row r="8">
      <c r="A8" s="91"/>
      <c r="B8" s="74" t="s">
        <v>276</v>
      </c>
      <c r="C8" s="91"/>
      <c r="D8" s="55" t="s">
        <v>362</v>
      </c>
      <c r="E8" s="91"/>
      <c r="F8" s="57"/>
      <c r="G8" s="91"/>
      <c r="H8" s="58">
        <v>0.0</v>
      </c>
      <c r="I8" s="62" t="s">
        <v>302</v>
      </c>
      <c r="J8" s="62" t="s">
        <v>277</v>
      </c>
      <c r="K8" s="66" t="s">
        <v>407</v>
      </c>
      <c r="L8" s="91"/>
      <c r="M8" s="62" t="s">
        <v>449</v>
      </c>
      <c r="N8" s="72">
        <v>46028.0</v>
      </c>
      <c r="O8" s="55" t="str">
        <f t="shared" si="1"/>
        <v>CONCLUÍDO</v>
      </c>
      <c r="P8" s="70" t="s">
        <v>418</v>
      </c>
      <c r="Q8" s="72">
        <v>46028.0</v>
      </c>
      <c r="R8" s="8"/>
      <c r="S8" s="8"/>
      <c r="T8" s="8"/>
      <c r="U8" s="8"/>
      <c r="V8" s="8"/>
      <c r="W8" s="8"/>
      <c r="X8" s="8"/>
      <c r="Y8" s="8"/>
      <c r="Z8" s="8"/>
      <c r="AA8" s="8"/>
      <c r="AB8" s="8"/>
      <c r="AC8" s="8"/>
      <c r="AD8" s="8"/>
    </row>
    <row r="9">
      <c r="A9" s="93"/>
      <c r="B9" s="74" t="s">
        <v>276</v>
      </c>
      <c r="C9" s="93"/>
      <c r="D9" s="55" t="s">
        <v>362</v>
      </c>
      <c r="E9" s="93"/>
      <c r="F9" s="57"/>
      <c r="G9" s="93"/>
      <c r="H9" s="58">
        <v>0.0</v>
      </c>
      <c r="I9" s="62" t="s">
        <v>302</v>
      </c>
      <c r="J9" s="62" t="s">
        <v>277</v>
      </c>
      <c r="K9" s="66" t="s">
        <v>407</v>
      </c>
      <c r="L9" s="93"/>
      <c r="M9" s="62" t="s">
        <v>463</v>
      </c>
      <c r="N9" s="72">
        <v>46028.0</v>
      </c>
      <c r="O9" s="55" t="str">
        <f t="shared" si="1"/>
        <v>CONCLUÍDO</v>
      </c>
      <c r="P9" s="70" t="s">
        <v>418</v>
      </c>
      <c r="Q9" s="72">
        <v>46028.0</v>
      </c>
      <c r="R9" s="8"/>
      <c r="S9" s="8"/>
      <c r="T9" s="8"/>
      <c r="U9" s="8"/>
      <c r="V9" s="8"/>
      <c r="W9" s="8"/>
      <c r="X9" s="8"/>
      <c r="Y9" s="8"/>
      <c r="Z9" s="8"/>
      <c r="AA9" s="8"/>
      <c r="AB9" s="8"/>
      <c r="AC9" s="8"/>
      <c r="AD9" s="8"/>
    </row>
    <row r="10">
      <c r="A10" s="51" t="s">
        <v>467</v>
      </c>
      <c r="B10" s="74" t="s">
        <v>276</v>
      </c>
      <c r="C10" s="54" t="s">
        <v>277</v>
      </c>
      <c r="D10" s="62" t="s">
        <v>328</v>
      </c>
      <c r="E10" s="55" t="s">
        <v>472</v>
      </c>
      <c r="F10" s="57"/>
      <c r="G10" s="57">
        <v>46027.0</v>
      </c>
      <c r="H10" s="58">
        <v>0.0</v>
      </c>
      <c r="I10" s="62" t="s">
        <v>302</v>
      </c>
      <c r="J10" s="62" t="s">
        <v>473</v>
      </c>
      <c r="K10" s="66" t="s">
        <v>474</v>
      </c>
      <c r="L10" s="77" t="s">
        <v>478</v>
      </c>
      <c r="M10" s="74"/>
      <c r="N10" s="72">
        <v>46027.0</v>
      </c>
      <c r="O10" s="55" t="str">
        <f t="shared" si="1"/>
        <v>CONCLUÍDO</v>
      </c>
      <c r="P10" s="70" t="s">
        <v>483</v>
      </c>
      <c r="Q10" s="72">
        <v>46027.0</v>
      </c>
      <c r="R10" s="8"/>
      <c r="S10" s="8"/>
      <c r="T10" s="8"/>
      <c r="U10" s="8"/>
      <c r="V10" s="8"/>
      <c r="W10" s="8"/>
      <c r="X10" s="8"/>
      <c r="Y10" s="8"/>
      <c r="Z10" s="8"/>
      <c r="AA10" s="8"/>
      <c r="AB10" s="8"/>
      <c r="AC10" s="8"/>
      <c r="AD10" s="8"/>
    </row>
    <row r="11">
      <c r="A11" s="51" t="s">
        <v>485</v>
      </c>
      <c r="B11" s="74" t="s">
        <v>276</v>
      </c>
      <c r="C11" s="54" t="s">
        <v>277</v>
      </c>
      <c r="D11" s="62" t="s">
        <v>328</v>
      </c>
      <c r="E11" s="55" t="s">
        <v>487</v>
      </c>
      <c r="F11" s="57"/>
      <c r="G11" s="57">
        <v>46027.0</v>
      </c>
      <c r="H11" s="58">
        <v>0.0</v>
      </c>
      <c r="I11" s="62" t="s">
        <v>302</v>
      </c>
      <c r="J11" s="62" t="s">
        <v>277</v>
      </c>
      <c r="K11" s="66" t="s">
        <v>314</v>
      </c>
      <c r="L11" s="77" t="s">
        <v>489</v>
      </c>
      <c r="M11" s="55" t="s">
        <v>490</v>
      </c>
      <c r="N11" s="72">
        <v>46027.0</v>
      </c>
      <c r="O11" s="55" t="str">
        <f t="shared" si="1"/>
        <v>CONCLUÍDO</v>
      </c>
      <c r="P11" s="70" t="s">
        <v>418</v>
      </c>
      <c r="Q11" s="72">
        <v>46027.0</v>
      </c>
      <c r="R11" s="8"/>
      <c r="S11" s="8"/>
      <c r="T11" s="8"/>
      <c r="U11" s="8"/>
      <c r="V11" s="8"/>
      <c r="W11" s="8"/>
      <c r="X11" s="8"/>
      <c r="Y11" s="8"/>
      <c r="Z11" s="8"/>
      <c r="AA11" s="8"/>
      <c r="AB11" s="8"/>
      <c r="AC11" s="8"/>
      <c r="AD11" s="8"/>
    </row>
    <row r="12">
      <c r="A12" s="51" t="s">
        <v>495</v>
      </c>
      <c r="B12" s="74" t="s">
        <v>276</v>
      </c>
      <c r="C12" s="54" t="s">
        <v>277</v>
      </c>
      <c r="D12" s="62" t="s">
        <v>328</v>
      </c>
      <c r="E12" s="55" t="s">
        <v>497</v>
      </c>
      <c r="F12" s="57"/>
      <c r="G12" s="57">
        <v>46025.0</v>
      </c>
      <c r="H12" s="58">
        <v>0.0</v>
      </c>
      <c r="I12" s="62" t="s">
        <v>302</v>
      </c>
      <c r="J12" s="62" t="s">
        <v>473</v>
      </c>
      <c r="K12" s="66" t="s">
        <v>474</v>
      </c>
      <c r="L12" s="77" t="s">
        <v>501</v>
      </c>
      <c r="M12" s="95"/>
      <c r="N12" s="72">
        <v>46027.0</v>
      </c>
      <c r="O12" s="55" t="str">
        <f t="shared" si="1"/>
        <v>CONCLUÍDO</v>
      </c>
      <c r="P12" s="70" t="s">
        <v>508</v>
      </c>
      <c r="Q12" s="72">
        <v>46027.0</v>
      </c>
      <c r="R12" s="8"/>
      <c r="S12" s="8"/>
      <c r="T12" s="8"/>
      <c r="U12" s="8"/>
      <c r="V12" s="8"/>
      <c r="W12" s="8"/>
      <c r="X12" s="8"/>
      <c r="Y12" s="8"/>
      <c r="Z12" s="8"/>
      <c r="AA12" s="8"/>
      <c r="AB12" s="8"/>
      <c r="AC12" s="8"/>
      <c r="AD12" s="8"/>
    </row>
    <row r="13">
      <c r="A13" s="51" t="s">
        <v>511</v>
      </c>
      <c r="B13" s="74" t="s">
        <v>276</v>
      </c>
      <c r="C13" s="54" t="s">
        <v>277</v>
      </c>
      <c r="D13" s="62" t="s">
        <v>328</v>
      </c>
      <c r="E13" s="55" t="s">
        <v>515</v>
      </c>
      <c r="F13" s="57"/>
      <c r="G13" s="57">
        <v>46027.0</v>
      </c>
      <c r="H13" s="58">
        <v>0.0</v>
      </c>
      <c r="I13" s="62" t="s">
        <v>302</v>
      </c>
      <c r="J13" s="62" t="s">
        <v>473</v>
      </c>
      <c r="K13" s="66" t="s">
        <v>474</v>
      </c>
      <c r="L13" s="77" t="s">
        <v>478</v>
      </c>
      <c r="M13" s="74"/>
      <c r="N13" s="72">
        <v>46027.0</v>
      </c>
      <c r="O13" s="55" t="str">
        <f t="shared" si="1"/>
        <v>CONCLUÍDO</v>
      </c>
      <c r="P13" s="70" t="s">
        <v>483</v>
      </c>
      <c r="Q13" s="72">
        <v>46027.0</v>
      </c>
      <c r="R13" s="8"/>
      <c r="S13" s="8"/>
      <c r="T13" s="8"/>
      <c r="U13" s="8"/>
      <c r="V13" s="8"/>
      <c r="W13" s="8"/>
      <c r="X13" s="8"/>
      <c r="Y13" s="8"/>
      <c r="Z13" s="8"/>
      <c r="AA13" s="8"/>
      <c r="AB13" s="8"/>
      <c r="AC13" s="8"/>
      <c r="AD13" s="8"/>
    </row>
    <row r="14">
      <c r="A14" s="51" t="s">
        <v>522</v>
      </c>
      <c r="B14" s="74" t="s">
        <v>276</v>
      </c>
      <c r="C14" s="54" t="s">
        <v>277</v>
      </c>
      <c r="D14" s="55" t="s">
        <v>285</v>
      </c>
      <c r="E14" s="55" t="s">
        <v>289</v>
      </c>
      <c r="F14" s="57"/>
      <c r="G14" s="57">
        <v>46027.0</v>
      </c>
      <c r="H14" s="58">
        <v>0.0</v>
      </c>
      <c r="I14" s="62" t="s">
        <v>302</v>
      </c>
      <c r="J14" s="62" t="s">
        <v>277</v>
      </c>
      <c r="K14" s="66" t="s">
        <v>314</v>
      </c>
      <c r="L14" s="77" t="s">
        <v>530</v>
      </c>
      <c r="M14" s="74"/>
      <c r="N14" s="72">
        <v>46027.0</v>
      </c>
      <c r="O14" s="55" t="str">
        <f t="shared" si="1"/>
        <v>CONCLUÍDO</v>
      </c>
      <c r="P14" s="70" t="s">
        <v>531</v>
      </c>
      <c r="Q14" s="72">
        <v>46027.0</v>
      </c>
      <c r="R14" s="8"/>
      <c r="S14" s="8"/>
      <c r="T14" s="8"/>
      <c r="U14" s="8"/>
      <c r="V14" s="8"/>
      <c r="W14" s="8"/>
      <c r="X14" s="8"/>
      <c r="Y14" s="8"/>
      <c r="Z14" s="8"/>
      <c r="AA14" s="8"/>
      <c r="AB14" s="8"/>
      <c r="AC14" s="8"/>
      <c r="AD14" s="8"/>
    </row>
    <row r="15">
      <c r="A15" s="51" t="s">
        <v>534</v>
      </c>
      <c r="B15" s="74" t="s">
        <v>276</v>
      </c>
      <c r="C15" s="54" t="s">
        <v>277</v>
      </c>
      <c r="D15" s="62" t="s">
        <v>328</v>
      </c>
      <c r="E15" s="55" t="s">
        <v>515</v>
      </c>
      <c r="F15" s="57"/>
      <c r="G15" s="57">
        <v>46027.0</v>
      </c>
      <c r="H15" s="58">
        <v>0.0</v>
      </c>
      <c r="I15" s="62" t="s">
        <v>302</v>
      </c>
      <c r="J15" s="62" t="s">
        <v>277</v>
      </c>
      <c r="K15" s="66" t="s">
        <v>314</v>
      </c>
      <c r="L15" s="77" t="s">
        <v>548</v>
      </c>
      <c r="M15" s="74"/>
      <c r="N15" s="72">
        <v>46027.0</v>
      </c>
      <c r="O15" s="55" t="str">
        <f t="shared" si="1"/>
        <v>CONCLUÍDO</v>
      </c>
      <c r="P15" s="70" t="s">
        <v>552</v>
      </c>
      <c r="Q15" s="72">
        <v>46027.0</v>
      </c>
      <c r="R15" s="8"/>
      <c r="S15" s="8"/>
      <c r="T15" s="8"/>
      <c r="U15" s="8"/>
      <c r="V15" s="8"/>
      <c r="W15" s="8"/>
      <c r="X15" s="8"/>
      <c r="Y15" s="8"/>
      <c r="Z15" s="8"/>
      <c r="AA15" s="8"/>
      <c r="AB15" s="8"/>
      <c r="AC15" s="8"/>
      <c r="AD15" s="8"/>
    </row>
    <row r="16">
      <c r="A16" s="51" t="s">
        <v>555</v>
      </c>
      <c r="B16" s="74" t="s">
        <v>276</v>
      </c>
      <c r="C16" s="54" t="s">
        <v>277</v>
      </c>
      <c r="D16" s="62" t="s">
        <v>328</v>
      </c>
      <c r="E16" s="55" t="s">
        <v>487</v>
      </c>
      <c r="F16" s="57"/>
      <c r="G16" s="57">
        <v>46027.0</v>
      </c>
      <c r="H16" s="58">
        <v>0.0</v>
      </c>
      <c r="I16" s="62" t="s">
        <v>302</v>
      </c>
      <c r="J16" s="62" t="s">
        <v>277</v>
      </c>
      <c r="K16" s="66" t="s">
        <v>314</v>
      </c>
      <c r="L16" s="77" t="s">
        <v>564</v>
      </c>
      <c r="M16" s="55" t="s">
        <v>566</v>
      </c>
      <c r="N16" s="72">
        <v>46027.0</v>
      </c>
      <c r="O16" s="55" t="str">
        <f t="shared" si="1"/>
        <v>CONCLUÍDO</v>
      </c>
      <c r="P16" s="70" t="s">
        <v>418</v>
      </c>
      <c r="Q16" s="72">
        <v>46027.0</v>
      </c>
      <c r="R16" s="8"/>
      <c r="S16" s="8"/>
      <c r="T16" s="8"/>
      <c r="U16" s="8"/>
      <c r="V16" s="8"/>
      <c r="W16" s="8"/>
      <c r="X16" s="8"/>
      <c r="Y16" s="8"/>
      <c r="Z16" s="8"/>
      <c r="AA16" s="8"/>
      <c r="AB16" s="8"/>
      <c r="AC16" s="8"/>
      <c r="AD16" s="8"/>
    </row>
    <row r="17">
      <c r="A17" s="51" t="s">
        <v>569</v>
      </c>
      <c r="B17" s="74" t="s">
        <v>276</v>
      </c>
      <c r="C17" s="54" t="s">
        <v>570</v>
      </c>
      <c r="D17" s="62" t="s">
        <v>571</v>
      </c>
      <c r="E17" s="55" t="s">
        <v>572</v>
      </c>
      <c r="F17" s="57"/>
      <c r="G17" s="57">
        <v>46027.0</v>
      </c>
      <c r="H17" s="58">
        <v>0.0</v>
      </c>
      <c r="I17" s="62" t="s">
        <v>302</v>
      </c>
      <c r="J17" s="62" t="s">
        <v>277</v>
      </c>
      <c r="K17" s="66" t="s">
        <v>314</v>
      </c>
      <c r="L17" s="77" t="s">
        <v>575</v>
      </c>
      <c r="M17" s="95"/>
      <c r="N17" s="72">
        <v>46031.0</v>
      </c>
      <c r="O17" s="55" t="str">
        <f t="shared" si="1"/>
        <v>CONCLUÍDO</v>
      </c>
      <c r="P17" s="70" t="s">
        <v>577</v>
      </c>
      <c r="Q17" s="72">
        <v>46028.0</v>
      </c>
      <c r="R17" s="8"/>
      <c r="S17" s="8"/>
      <c r="T17" s="8"/>
      <c r="U17" s="8"/>
      <c r="V17" s="8"/>
      <c r="W17" s="8"/>
      <c r="X17" s="8"/>
      <c r="Y17" s="8"/>
      <c r="Z17" s="8"/>
      <c r="AA17" s="8"/>
      <c r="AB17" s="8"/>
      <c r="AC17" s="8"/>
      <c r="AD17" s="8"/>
    </row>
    <row r="18">
      <c r="A18" s="51" t="s">
        <v>579</v>
      </c>
      <c r="B18" s="74" t="s">
        <v>276</v>
      </c>
      <c r="C18" s="54" t="s">
        <v>277</v>
      </c>
      <c r="D18" s="62" t="s">
        <v>571</v>
      </c>
      <c r="E18" s="55" t="s">
        <v>580</v>
      </c>
      <c r="F18" s="57"/>
      <c r="G18" s="57">
        <v>46027.0</v>
      </c>
      <c r="H18" s="58">
        <v>0.0</v>
      </c>
      <c r="I18" s="62" t="s">
        <v>302</v>
      </c>
      <c r="J18" s="62" t="s">
        <v>277</v>
      </c>
      <c r="K18" s="66" t="s">
        <v>314</v>
      </c>
      <c r="L18" s="77" t="s">
        <v>583</v>
      </c>
      <c r="M18" s="74"/>
      <c r="N18" s="72">
        <v>46027.0</v>
      </c>
      <c r="O18" s="55" t="str">
        <f t="shared" si="1"/>
        <v>CONCLUÍDO</v>
      </c>
      <c r="P18" s="70" t="s">
        <v>584</v>
      </c>
      <c r="Q18" s="72">
        <v>46027.0</v>
      </c>
      <c r="R18" s="96"/>
      <c r="S18" s="96"/>
      <c r="T18" s="96"/>
      <c r="U18" s="96"/>
      <c r="V18" s="96"/>
      <c r="W18" s="96"/>
      <c r="X18" s="96"/>
      <c r="Y18" s="96"/>
      <c r="Z18" s="96"/>
      <c r="AA18" s="96"/>
      <c r="AB18" s="96"/>
      <c r="AC18" s="96"/>
      <c r="AD18" s="96"/>
    </row>
    <row r="19">
      <c r="A19" s="51" t="s">
        <v>590</v>
      </c>
      <c r="B19" s="52" t="s">
        <v>276</v>
      </c>
      <c r="C19" s="54" t="s">
        <v>277</v>
      </c>
      <c r="D19" s="62" t="s">
        <v>328</v>
      </c>
      <c r="E19" s="55" t="s">
        <v>593</v>
      </c>
      <c r="F19" s="57"/>
      <c r="G19" s="57">
        <v>46028.0</v>
      </c>
      <c r="H19" s="58">
        <v>0.0</v>
      </c>
      <c r="I19" s="62" t="s">
        <v>302</v>
      </c>
      <c r="J19" s="62" t="s">
        <v>473</v>
      </c>
      <c r="K19" s="66" t="s">
        <v>474</v>
      </c>
      <c r="L19" s="77" t="s">
        <v>595</v>
      </c>
      <c r="M19" s="74"/>
      <c r="N19" s="57">
        <v>46028.0</v>
      </c>
      <c r="O19" s="55" t="str">
        <f t="shared" si="1"/>
        <v>CONCLUÍDO</v>
      </c>
      <c r="P19" s="97" t="s">
        <v>597</v>
      </c>
      <c r="Q19" s="82">
        <v>46028.0</v>
      </c>
      <c r="R19" s="96"/>
      <c r="S19" s="96"/>
      <c r="T19" s="96"/>
      <c r="U19" s="96"/>
      <c r="V19" s="96"/>
      <c r="W19" s="96"/>
      <c r="X19" s="96"/>
      <c r="Y19" s="96"/>
      <c r="Z19" s="96"/>
      <c r="AA19" s="96"/>
      <c r="AB19" s="96"/>
      <c r="AC19" s="96"/>
      <c r="AD19" s="96"/>
    </row>
    <row r="20">
      <c r="A20" s="51" t="s">
        <v>604</v>
      </c>
      <c r="B20" s="74" t="s">
        <v>276</v>
      </c>
      <c r="C20" s="54" t="s">
        <v>570</v>
      </c>
      <c r="D20" s="62" t="s">
        <v>328</v>
      </c>
      <c r="E20" s="55" t="s">
        <v>605</v>
      </c>
      <c r="F20" s="57"/>
      <c r="G20" s="57">
        <v>46028.0</v>
      </c>
      <c r="H20" s="58">
        <v>0.0</v>
      </c>
      <c r="I20" s="62" t="s">
        <v>302</v>
      </c>
      <c r="J20" s="62" t="s">
        <v>570</v>
      </c>
      <c r="K20" s="66" t="s">
        <v>407</v>
      </c>
      <c r="L20" s="77" t="s">
        <v>609</v>
      </c>
      <c r="M20" s="55" t="s">
        <v>610</v>
      </c>
      <c r="N20" s="72">
        <v>46028.0</v>
      </c>
      <c r="O20" s="55" t="str">
        <f t="shared" si="1"/>
        <v>CONCLUÍDO</v>
      </c>
      <c r="P20" s="70" t="s">
        <v>612</v>
      </c>
      <c r="Q20" s="72">
        <v>46028.0</v>
      </c>
      <c r="R20" s="96"/>
      <c r="S20" s="96"/>
      <c r="T20" s="96"/>
      <c r="U20" s="96"/>
      <c r="V20" s="96"/>
      <c r="W20" s="96"/>
      <c r="X20" s="96"/>
      <c r="Y20" s="96"/>
      <c r="Z20" s="96"/>
      <c r="AA20" s="96"/>
      <c r="AB20" s="96"/>
      <c r="AC20" s="96"/>
      <c r="AD20" s="96"/>
    </row>
    <row r="21">
      <c r="A21" s="51" t="s">
        <v>618</v>
      </c>
      <c r="B21" s="74" t="s">
        <v>276</v>
      </c>
      <c r="C21" s="54" t="s">
        <v>277</v>
      </c>
      <c r="D21" s="62" t="s">
        <v>230</v>
      </c>
      <c r="E21" s="55" t="s">
        <v>620</v>
      </c>
      <c r="F21" s="57"/>
      <c r="G21" s="57">
        <v>46028.0</v>
      </c>
      <c r="H21" s="58">
        <v>0.0</v>
      </c>
      <c r="I21" s="62" t="s">
        <v>302</v>
      </c>
      <c r="J21" s="62" t="s">
        <v>570</v>
      </c>
      <c r="K21" s="66" t="s">
        <v>314</v>
      </c>
      <c r="L21" s="77" t="s">
        <v>622</v>
      </c>
      <c r="M21" s="74"/>
      <c r="N21" s="72">
        <v>46028.0</v>
      </c>
      <c r="O21" s="55" t="str">
        <f t="shared" si="1"/>
        <v>CONCLUÍDO</v>
      </c>
      <c r="P21" s="70" t="s">
        <v>627</v>
      </c>
      <c r="Q21" s="72">
        <v>46028.0</v>
      </c>
      <c r="R21" s="96"/>
      <c r="S21" s="96"/>
      <c r="T21" s="96"/>
      <c r="U21" s="96"/>
      <c r="V21" s="96"/>
      <c r="W21" s="96"/>
      <c r="X21" s="96"/>
      <c r="Y21" s="96"/>
      <c r="Z21" s="96"/>
      <c r="AA21" s="96"/>
      <c r="AB21" s="96"/>
      <c r="AC21" s="96"/>
      <c r="AD21" s="96"/>
    </row>
    <row r="22">
      <c r="A22" s="51" t="s">
        <v>631</v>
      </c>
      <c r="B22" s="52" t="s">
        <v>276</v>
      </c>
      <c r="C22" s="54" t="s">
        <v>277</v>
      </c>
      <c r="D22" s="62" t="s">
        <v>328</v>
      </c>
      <c r="E22" s="55" t="s">
        <v>605</v>
      </c>
      <c r="F22" s="57"/>
      <c r="G22" s="57">
        <v>46028.0</v>
      </c>
      <c r="H22" s="58">
        <v>0.0</v>
      </c>
      <c r="I22" s="62" t="s">
        <v>302</v>
      </c>
      <c r="J22" s="62" t="s">
        <v>473</v>
      </c>
      <c r="K22" s="66" t="s">
        <v>474</v>
      </c>
      <c r="L22" s="77" t="s">
        <v>635</v>
      </c>
      <c r="M22" s="55" t="s">
        <v>636</v>
      </c>
      <c r="N22" s="57">
        <v>46030.0</v>
      </c>
      <c r="O22" s="55" t="str">
        <f t="shared" si="1"/>
        <v>CONCLUÍDO</v>
      </c>
      <c r="P22" s="98" t="s">
        <v>637</v>
      </c>
      <c r="Q22" s="82">
        <v>46037.0</v>
      </c>
      <c r="R22" s="96"/>
      <c r="S22" s="96"/>
      <c r="T22" s="96"/>
      <c r="U22" s="96"/>
      <c r="V22" s="96"/>
      <c r="W22" s="96"/>
      <c r="X22" s="96"/>
      <c r="Y22" s="96"/>
      <c r="Z22" s="96"/>
      <c r="AA22" s="96"/>
      <c r="AB22" s="96"/>
      <c r="AC22" s="96"/>
      <c r="AD22" s="96"/>
    </row>
    <row r="23">
      <c r="A23" s="51" t="s">
        <v>639</v>
      </c>
      <c r="B23" s="74" t="s">
        <v>276</v>
      </c>
      <c r="C23" s="54" t="s">
        <v>277</v>
      </c>
      <c r="D23" s="62" t="s">
        <v>328</v>
      </c>
      <c r="E23" s="55" t="s">
        <v>641</v>
      </c>
      <c r="F23" s="57"/>
      <c r="G23" s="57">
        <v>46028.0</v>
      </c>
      <c r="H23" s="58">
        <v>0.0</v>
      </c>
      <c r="I23" s="62" t="s">
        <v>302</v>
      </c>
      <c r="J23" s="62" t="s">
        <v>277</v>
      </c>
      <c r="K23" s="66" t="s">
        <v>314</v>
      </c>
      <c r="L23" s="77" t="s">
        <v>643</v>
      </c>
      <c r="M23" s="99"/>
      <c r="N23" s="72">
        <v>46028.0</v>
      </c>
      <c r="O23" s="55" t="str">
        <f t="shared" si="1"/>
        <v>CONCLUÍDO</v>
      </c>
      <c r="P23" s="70" t="s">
        <v>584</v>
      </c>
      <c r="Q23" s="72">
        <v>46028.0</v>
      </c>
      <c r="R23" s="96"/>
      <c r="S23" s="96"/>
      <c r="T23" s="96"/>
      <c r="U23" s="96"/>
      <c r="V23" s="96"/>
      <c r="W23" s="96"/>
      <c r="X23" s="96"/>
      <c r="Y23" s="96"/>
      <c r="Z23" s="96"/>
      <c r="AA23" s="96"/>
      <c r="AB23" s="96"/>
      <c r="AC23" s="96"/>
      <c r="AD23" s="96"/>
    </row>
    <row r="24">
      <c r="A24" s="51" t="s">
        <v>651</v>
      </c>
      <c r="B24" s="52" t="s">
        <v>276</v>
      </c>
      <c r="C24" s="54" t="s">
        <v>570</v>
      </c>
      <c r="D24" s="62" t="s">
        <v>571</v>
      </c>
      <c r="E24" s="55" t="s">
        <v>572</v>
      </c>
      <c r="F24" s="57"/>
      <c r="G24" s="57">
        <v>46028.0</v>
      </c>
      <c r="H24" s="58">
        <v>0.0</v>
      </c>
      <c r="I24" s="62" t="s">
        <v>302</v>
      </c>
      <c r="J24" s="62" t="s">
        <v>277</v>
      </c>
      <c r="K24" s="66" t="s">
        <v>314</v>
      </c>
      <c r="L24" s="77" t="s">
        <v>575</v>
      </c>
      <c r="M24" s="74"/>
      <c r="N24" s="57">
        <v>46030.0</v>
      </c>
      <c r="O24" s="55" t="str">
        <f t="shared" si="1"/>
        <v>CONCLUÍDO</v>
      </c>
      <c r="P24" s="70"/>
      <c r="Q24" s="82">
        <v>46030.0</v>
      </c>
      <c r="R24" s="96"/>
      <c r="S24" s="96"/>
      <c r="T24" s="96"/>
      <c r="U24" s="96"/>
      <c r="V24" s="96"/>
      <c r="W24" s="96"/>
      <c r="X24" s="96"/>
      <c r="Y24" s="96"/>
      <c r="Z24" s="96"/>
      <c r="AA24" s="96"/>
      <c r="AB24" s="96"/>
      <c r="AC24" s="96"/>
      <c r="AD24" s="96"/>
    </row>
    <row r="25">
      <c r="A25" s="51" t="s">
        <v>660</v>
      </c>
      <c r="B25" s="74" t="s">
        <v>276</v>
      </c>
      <c r="C25" s="54" t="s">
        <v>277</v>
      </c>
      <c r="D25" s="62" t="s">
        <v>328</v>
      </c>
      <c r="E25" s="55" t="s">
        <v>593</v>
      </c>
      <c r="F25" s="57"/>
      <c r="G25" s="57">
        <v>46028.0</v>
      </c>
      <c r="H25" s="58">
        <v>0.0</v>
      </c>
      <c r="I25" s="62" t="s">
        <v>302</v>
      </c>
      <c r="J25" s="62" t="s">
        <v>277</v>
      </c>
      <c r="K25" s="66" t="s">
        <v>314</v>
      </c>
      <c r="L25" s="77" t="s">
        <v>661</v>
      </c>
      <c r="M25" s="55" t="s">
        <v>662</v>
      </c>
      <c r="N25" s="72">
        <v>46028.0</v>
      </c>
      <c r="O25" s="55" t="str">
        <f t="shared" si="1"/>
        <v>CONCLUÍDO</v>
      </c>
      <c r="P25" s="70" t="s">
        <v>418</v>
      </c>
      <c r="Q25" s="72">
        <v>46028.0</v>
      </c>
      <c r="R25" s="96"/>
      <c r="S25" s="96"/>
      <c r="T25" s="96"/>
      <c r="U25" s="96"/>
      <c r="V25" s="96"/>
      <c r="W25" s="96"/>
      <c r="X25" s="96"/>
      <c r="Y25" s="96"/>
      <c r="Z25" s="96"/>
      <c r="AA25" s="96"/>
      <c r="AB25" s="96"/>
      <c r="AC25" s="96"/>
      <c r="AD25" s="96"/>
    </row>
    <row r="26">
      <c r="A26" s="51" t="s">
        <v>665</v>
      </c>
      <c r="B26" s="74" t="s">
        <v>276</v>
      </c>
      <c r="C26" s="54" t="s">
        <v>277</v>
      </c>
      <c r="D26" s="62" t="s">
        <v>328</v>
      </c>
      <c r="E26" s="55" t="s">
        <v>641</v>
      </c>
      <c r="F26" s="57"/>
      <c r="G26" s="57">
        <v>46028.0</v>
      </c>
      <c r="H26" s="58">
        <v>0.0</v>
      </c>
      <c r="I26" s="62" t="s">
        <v>302</v>
      </c>
      <c r="J26" s="62" t="s">
        <v>277</v>
      </c>
      <c r="K26" s="66" t="s">
        <v>314</v>
      </c>
      <c r="L26" s="77" t="s">
        <v>643</v>
      </c>
      <c r="M26" s="74"/>
      <c r="N26" s="72">
        <v>46028.0</v>
      </c>
      <c r="O26" s="55" t="str">
        <f t="shared" si="1"/>
        <v>CONCLUÍDO</v>
      </c>
      <c r="P26" s="70" t="s">
        <v>584</v>
      </c>
      <c r="Q26" s="72">
        <v>46028.0</v>
      </c>
      <c r="R26" s="96"/>
      <c r="S26" s="96"/>
      <c r="T26" s="96"/>
      <c r="U26" s="96"/>
      <c r="V26" s="96"/>
      <c r="W26" s="96"/>
      <c r="X26" s="96"/>
      <c r="Y26" s="96"/>
      <c r="Z26" s="96"/>
      <c r="AA26" s="96"/>
      <c r="AB26" s="96"/>
      <c r="AC26" s="96"/>
      <c r="AD26" s="96"/>
    </row>
    <row r="27">
      <c r="A27" s="51" t="s">
        <v>673</v>
      </c>
      <c r="B27" s="74" t="s">
        <v>276</v>
      </c>
      <c r="C27" s="54" t="s">
        <v>277</v>
      </c>
      <c r="D27" s="55" t="s">
        <v>378</v>
      </c>
      <c r="E27" s="55" t="s">
        <v>676</v>
      </c>
      <c r="F27" s="57"/>
      <c r="G27" s="57">
        <v>45664.0</v>
      </c>
      <c r="H27" s="58">
        <v>0.0</v>
      </c>
      <c r="I27" s="62" t="s">
        <v>302</v>
      </c>
      <c r="J27" s="62" t="s">
        <v>473</v>
      </c>
      <c r="K27" s="66" t="s">
        <v>474</v>
      </c>
      <c r="L27" s="77" t="s">
        <v>635</v>
      </c>
      <c r="M27" s="55" t="s">
        <v>680</v>
      </c>
      <c r="N27" s="72">
        <v>46030.0</v>
      </c>
      <c r="O27" s="55" t="str">
        <f t="shared" si="1"/>
        <v>CONCLUÍDO</v>
      </c>
      <c r="P27" s="70" t="s">
        <v>682</v>
      </c>
      <c r="Q27" s="84">
        <f>N27</f>
        <v>46030</v>
      </c>
      <c r="R27" s="96"/>
      <c r="S27" s="96"/>
      <c r="T27" s="96"/>
      <c r="U27" s="96"/>
      <c r="V27" s="96"/>
      <c r="W27" s="96"/>
      <c r="X27" s="96"/>
      <c r="Y27" s="96"/>
      <c r="Z27" s="96"/>
      <c r="AA27" s="96"/>
      <c r="AB27" s="96"/>
      <c r="AC27" s="96"/>
      <c r="AD27" s="96"/>
    </row>
    <row r="28">
      <c r="A28" s="51" t="s">
        <v>685</v>
      </c>
      <c r="B28" s="52" t="s">
        <v>276</v>
      </c>
      <c r="C28" s="54" t="s">
        <v>570</v>
      </c>
      <c r="D28" s="62" t="s">
        <v>328</v>
      </c>
      <c r="E28" s="55" t="s">
        <v>689</v>
      </c>
      <c r="F28" s="57"/>
      <c r="G28" s="57">
        <v>45664.0</v>
      </c>
      <c r="H28" s="58">
        <v>0.0</v>
      </c>
      <c r="I28" s="62" t="s">
        <v>302</v>
      </c>
      <c r="J28" s="62" t="s">
        <v>692</v>
      </c>
      <c r="K28" s="66" t="s">
        <v>407</v>
      </c>
      <c r="L28" s="77" t="s">
        <v>609</v>
      </c>
      <c r="M28" s="55" t="s">
        <v>693</v>
      </c>
      <c r="N28" s="57">
        <v>46030.0</v>
      </c>
      <c r="O28" s="55" t="str">
        <f t="shared" si="1"/>
        <v>CONCLUÍDO</v>
      </c>
      <c r="P28" s="97" t="s">
        <v>695</v>
      </c>
      <c r="Q28" s="82">
        <v>46034.0</v>
      </c>
      <c r="R28" s="8"/>
      <c r="S28" s="8"/>
      <c r="T28" s="8"/>
      <c r="U28" s="8"/>
      <c r="V28" s="8"/>
      <c r="W28" s="8"/>
      <c r="X28" s="8"/>
      <c r="Y28" s="8"/>
      <c r="Z28" s="8"/>
      <c r="AA28" s="8"/>
      <c r="AB28" s="8"/>
      <c r="AC28" s="8"/>
      <c r="AD28" s="8"/>
    </row>
    <row r="29">
      <c r="A29" s="51" t="s">
        <v>697</v>
      </c>
      <c r="B29" s="74" t="s">
        <v>276</v>
      </c>
      <c r="C29" s="54" t="s">
        <v>277</v>
      </c>
      <c r="D29" s="62" t="s">
        <v>328</v>
      </c>
      <c r="E29" s="55" t="s">
        <v>699</v>
      </c>
      <c r="F29" s="57"/>
      <c r="G29" s="57">
        <v>45664.0</v>
      </c>
      <c r="H29" s="58">
        <v>0.0</v>
      </c>
      <c r="I29" s="62" t="s">
        <v>302</v>
      </c>
      <c r="J29" s="62" t="s">
        <v>700</v>
      </c>
      <c r="K29" s="66" t="s">
        <v>314</v>
      </c>
      <c r="L29" s="77" t="s">
        <v>701</v>
      </c>
      <c r="M29" s="74"/>
      <c r="N29" s="72">
        <v>46029.0</v>
      </c>
      <c r="O29" s="55" t="str">
        <f t="shared" si="1"/>
        <v>CONCLUÍDO</v>
      </c>
      <c r="P29" s="70" t="s">
        <v>703</v>
      </c>
      <c r="Q29" s="72">
        <v>46029.0</v>
      </c>
      <c r="R29" s="96"/>
      <c r="S29" s="96"/>
      <c r="T29" s="96"/>
      <c r="U29" s="96"/>
      <c r="V29" s="96"/>
      <c r="W29" s="96"/>
      <c r="X29" s="96"/>
      <c r="Y29" s="96"/>
      <c r="Z29" s="96"/>
      <c r="AA29" s="96"/>
      <c r="AB29" s="96"/>
      <c r="AC29" s="96"/>
      <c r="AD29" s="96"/>
    </row>
    <row r="30">
      <c r="A30" s="51" t="s">
        <v>704</v>
      </c>
      <c r="B30" s="74" t="s">
        <v>276</v>
      </c>
      <c r="C30" s="54" t="s">
        <v>277</v>
      </c>
      <c r="D30" s="62" t="s">
        <v>328</v>
      </c>
      <c r="E30" s="55" t="s">
        <v>708</v>
      </c>
      <c r="F30" s="57"/>
      <c r="G30" s="57">
        <v>46028.0</v>
      </c>
      <c r="H30" s="58">
        <v>0.0</v>
      </c>
      <c r="I30" s="62" t="s">
        <v>302</v>
      </c>
      <c r="J30" s="62" t="s">
        <v>473</v>
      </c>
      <c r="K30" s="66" t="s">
        <v>474</v>
      </c>
      <c r="L30" s="77" t="s">
        <v>635</v>
      </c>
      <c r="M30" s="55" t="s">
        <v>709</v>
      </c>
      <c r="N30" s="72">
        <v>46029.0</v>
      </c>
      <c r="O30" s="55" t="str">
        <f t="shared" si="1"/>
        <v>CONCLUÍDO</v>
      </c>
      <c r="P30" s="70" t="s">
        <v>711</v>
      </c>
      <c r="Q30" s="57" t="s">
        <v>712</v>
      </c>
      <c r="R30" s="96"/>
      <c r="S30" s="96"/>
      <c r="T30" s="96"/>
      <c r="U30" s="96"/>
      <c r="V30" s="96"/>
      <c r="W30" s="96"/>
      <c r="X30" s="96"/>
      <c r="Y30" s="96"/>
      <c r="Z30" s="96"/>
      <c r="AA30" s="96"/>
      <c r="AB30" s="96"/>
      <c r="AC30" s="96"/>
      <c r="AD30" s="96"/>
    </row>
    <row r="31" ht="24.0" customHeight="1">
      <c r="A31" s="51" t="s">
        <v>713</v>
      </c>
      <c r="B31" s="52" t="s">
        <v>276</v>
      </c>
      <c r="C31" s="54" t="s">
        <v>277</v>
      </c>
      <c r="D31" s="62" t="s">
        <v>328</v>
      </c>
      <c r="E31" s="55" t="s">
        <v>605</v>
      </c>
      <c r="F31" s="57"/>
      <c r="G31" s="57">
        <v>45664.0</v>
      </c>
      <c r="H31" s="58">
        <v>0.0</v>
      </c>
      <c r="I31" s="62" t="s">
        <v>302</v>
      </c>
      <c r="J31" s="62" t="s">
        <v>692</v>
      </c>
      <c r="K31" s="66" t="s">
        <v>407</v>
      </c>
      <c r="L31" s="77" t="s">
        <v>716</v>
      </c>
      <c r="M31" s="55" t="s">
        <v>719</v>
      </c>
      <c r="N31" s="100">
        <v>46059.0</v>
      </c>
      <c r="O31" s="55" t="str">
        <f t="shared" si="1"/>
        <v>CONCLUÍDO</v>
      </c>
      <c r="P31" s="98" t="s">
        <v>725</v>
      </c>
      <c r="Q31" s="82">
        <v>46084.0</v>
      </c>
      <c r="R31" s="96"/>
      <c r="S31" s="96"/>
      <c r="T31" s="96"/>
      <c r="U31" s="96"/>
      <c r="V31" s="96"/>
      <c r="W31" s="96"/>
      <c r="X31" s="96"/>
      <c r="Y31" s="96"/>
      <c r="Z31" s="96"/>
      <c r="AA31" s="96"/>
      <c r="AB31" s="96"/>
      <c r="AC31" s="96"/>
      <c r="AD31" s="96"/>
    </row>
    <row r="32">
      <c r="A32" s="51" t="s">
        <v>727</v>
      </c>
      <c r="B32" s="52" t="s">
        <v>276</v>
      </c>
      <c r="C32" s="54" t="s">
        <v>277</v>
      </c>
      <c r="D32" s="62" t="s">
        <v>328</v>
      </c>
      <c r="E32" s="55" t="s">
        <v>730</v>
      </c>
      <c r="F32" s="57"/>
      <c r="G32" s="57">
        <v>46029.0</v>
      </c>
      <c r="H32" s="58">
        <v>0.0</v>
      </c>
      <c r="I32" s="62" t="s">
        <v>302</v>
      </c>
      <c r="J32" s="62" t="s">
        <v>473</v>
      </c>
      <c r="K32" s="66" t="s">
        <v>474</v>
      </c>
      <c r="L32" s="77" t="s">
        <v>731</v>
      </c>
      <c r="M32" s="55" t="s">
        <v>732</v>
      </c>
      <c r="N32" s="72">
        <v>46031.0</v>
      </c>
      <c r="O32" s="55" t="str">
        <f t="shared" si="1"/>
        <v>CONCLUÍDO</v>
      </c>
      <c r="P32" s="97" t="s">
        <v>734</v>
      </c>
      <c r="Q32" s="82">
        <v>46031.0</v>
      </c>
      <c r="R32" s="96"/>
      <c r="S32" s="96"/>
      <c r="T32" s="96"/>
      <c r="U32" s="96"/>
      <c r="V32" s="96"/>
      <c r="W32" s="96"/>
      <c r="X32" s="96"/>
      <c r="Y32" s="96"/>
      <c r="Z32" s="96"/>
      <c r="AA32" s="96"/>
      <c r="AB32" s="96"/>
      <c r="AC32" s="96"/>
      <c r="AD32" s="96"/>
    </row>
    <row r="33">
      <c r="A33" s="51" t="s">
        <v>735</v>
      </c>
      <c r="B33" s="74" t="s">
        <v>276</v>
      </c>
      <c r="C33" s="54" t="s">
        <v>570</v>
      </c>
      <c r="D33" s="62" t="s">
        <v>571</v>
      </c>
      <c r="E33" s="55" t="s">
        <v>572</v>
      </c>
      <c r="F33" s="57"/>
      <c r="G33" s="57">
        <v>46029.0</v>
      </c>
      <c r="H33" s="58">
        <v>0.0</v>
      </c>
      <c r="I33" s="62" t="s">
        <v>302</v>
      </c>
      <c r="J33" s="62" t="s">
        <v>277</v>
      </c>
      <c r="K33" s="66" t="s">
        <v>314</v>
      </c>
      <c r="L33" s="77" t="s">
        <v>738</v>
      </c>
      <c r="M33" s="74"/>
      <c r="N33" s="72">
        <v>46029.0</v>
      </c>
      <c r="O33" s="55" t="str">
        <f t="shared" si="1"/>
        <v>CONCLUÍDO</v>
      </c>
      <c r="P33" s="70" t="s">
        <v>584</v>
      </c>
      <c r="Q33" s="57" t="s">
        <v>712</v>
      </c>
      <c r="R33" s="96"/>
      <c r="S33" s="96"/>
      <c r="T33" s="96"/>
      <c r="U33" s="96"/>
      <c r="V33" s="96"/>
      <c r="W33" s="96"/>
      <c r="X33" s="96"/>
      <c r="Y33" s="96"/>
      <c r="Z33" s="96"/>
      <c r="AA33" s="96"/>
      <c r="AB33" s="96"/>
      <c r="AC33" s="96"/>
      <c r="AD33" s="96"/>
    </row>
    <row r="34">
      <c r="A34" s="51" t="s">
        <v>740</v>
      </c>
      <c r="B34" s="52" t="s">
        <v>276</v>
      </c>
      <c r="C34" s="54" t="s">
        <v>277</v>
      </c>
      <c r="D34" s="62" t="s">
        <v>328</v>
      </c>
      <c r="E34" s="55" t="s">
        <v>741</v>
      </c>
      <c r="F34" s="57"/>
      <c r="G34" s="57">
        <v>45665.0</v>
      </c>
      <c r="H34" s="58">
        <v>0.0</v>
      </c>
      <c r="I34" s="66" t="s">
        <v>302</v>
      </c>
      <c r="J34" s="66" t="s">
        <v>277</v>
      </c>
      <c r="K34" s="66" t="s">
        <v>314</v>
      </c>
      <c r="L34" s="77" t="s">
        <v>744</v>
      </c>
      <c r="M34" s="101"/>
      <c r="N34" s="57">
        <v>45665.0</v>
      </c>
      <c r="O34" s="55" t="str">
        <f t="shared" si="1"/>
        <v>CONCLUÍDO</v>
      </c>
      <c r="P34" s="97" t="s">
        <v>746</v>
      </c>
      <c r="Q34" s="102">
        <v>46050.0</v>
      </c>
      <c r="R34" s="96"/>
      <c r="S34" s="96"/>
      <c r="T34" s="96"/>
      <c r="U34" s="96"/>
      <c r="V34" s="96"/>
      <c r="W34" s="96"/>
      <c r="X34" s="96"/>
      <c r="Y34" s="96"/>
      <c r="Z34" s="96"/>
      <c r="AA34" s="96"/>
      <c r="AB34" s="96"/>
      <c r="AC34" s="96"/>
      <c r="AD34" s="96"/>
    </row>
    <row r="35">
      <c r="A35" s="51" t="s">
        <v>749</v>
      </c>
      <c r="B35" s="103" t="s">
        <v>276</v>
      </c>
      <c r="C35" s="54" t="s">
        <v>277</v>
      </c>
      <c r="D35" s="66" t="s">
        <v>328</v>
      </c>
      <c r="E35" s="66" t="s">
        <v>708</v>
      </c>
      <c r="F35" s="100"/>
      <c r="G35" s="100">
        <v>45666.0</v>
      </c>
      <c r="H35" s="58">
        <v>0.0</v>
      </c>
      <c r="I35" s="66" t="s">
        <v>302</v>
      </c>
      <c r="J35" s="66" t="s">
        <v>570</v>
      </c>
      <c r="K35" s="66" t="s">
        <v>407</v>
      </c>
      <c r="L35" s="104" t="s">
        <v>609</v>
      </c>
      <c r="M35" s="66" t="s">
        <v>756</v>
      </c>
      <c r="N35" s="100">
        <v>46034.0</v>
      </c>
      <c r="O35" s="55" t="str">
        <f t="shared" si="1"/>
        <v>CONCLUÍDO</v>
      </c>
      <c r="P35" s="105"/>
      <c r="Q35" s="84">
        <f>N35</f>
        <v>46034</v>
      </c>
      <c r="R35" s="96"/>
      <c r="S35" s="96"/>
      <c r="T35" s="96"/>
      <c r="U35" s="96"/>
      <c r="V35" s="96"/>
      <c r="W35" s="96"/>
      <c r="X35" s="96"/>
      <c r="Y35" s="96"/>
      <c r="Z35" s="96"/>
      <c r="AA35" s="96"/>
      <c r="AB35" s="96"/>
      <c r="AC35" s="96"/>
      <c r="AD35" s="96"/>
    </row>
    <row r="36">
      <c r="A36" s="51" t="s">
        <v>764</v>
      </c>
      <c r="B36" s="103" t="s">
        <v>765</v>
      </c>
      <c r="C36" s="54" t="s">
        <v>570</v>
      </c>
      <c r="D36" s="62" t="s">
        <v>571</v>
      </c>
      <c r="E36" s="66" t="s">
        <v>769</v>
      </c>
      <c r="F36" s="100"/>
      <c r="G36" s="100">
        <v>46034.0</v>
      </c>
      <c r="H36" s="58">
        <v>0.0</v>
      </c>
      <c r="I36" s="66" t="s">
        <v>771</v>
      </c>
      <c r="J36" s="66" t="s">
        <v>772</v>
      </c>
      <c r="K36" s="66" t="s">
        <v>776</v>
      </c>
      <c r="L36" s="104" t="s">
        <v>777</v>
      </c>
      <c r="M36" s="66"/>
      <c r="N36" s="100">
        <v>46083.0</v>
      </c>
      <c r="O36" s="55" t="str">
        <f t="shared" si="1"/>
        <v>VENCIDO</v>
      </c>
      <c r="P36" s="105"/>
      <c r="Q36" s="100"/>
      <c r="R36" s="96"/>
      <c r="S36" s="96"/>
      <c r="T36" s="96"/>
      <c r="U36" s="96"/>
      <c r="V36" s="96"/>
      <c r="W36" s="96"/>
      <c r="X36" s="96"/>
      <c r="Y36" s="96"/>
      <c r="Z36" s="96"/>
      <c r="AA36" s="96"/>
      <c r="AB36" s="96"/>
      <c r="AC36" s="96"/>
      <c r="AD36" s="96"/>
    </row>
    <row r="37">
      <c r="A37" s="51" t="s">
        <v>782</v>
      </c>
      <c r="B37" s="103" t="s">
        <v>765</v>
      </c>
      <c r="C37" s="54" t="s">
        <v>570</v>
      </c>
      <c r="D37" s="62" t="s">
        <v>571</v>
      </c>
      <c r="E37" s="66" t="s">
        <v>769</v>
      </c>
      <c r="F37" s="100"/>
      <c r="G37" s="100">
        <v>46034.0</v>
      </c>
      <c r="H37" s="58">
        <v>0.0</v>
      </c>
      <c r="I37" s="66" t="s">
        <v>771</v>
      </c>
      <c r="J37" s="66" t="s">
        <v>772</v>
      </c>
      <c r="K37" s="66" t="s">
        <v>776</v>
      </c>
      <c r="L37" s="104" t="s">
        <v>787</v>
      </c>
      <c r="M37" s="66"/>
      <c r="N37" s="100">
        <v>46083.0</v>
      </c>
      <c r="O37" s="55" t="str">
        <f t="shared" si="1"/>
        <v>VENCIDO</v>
      </c>
      <c r="P37" s="105"/>
      <c r="Q37" s="100"/>
      <c r="R37" s="96"/>
      <c r="S37" s="96"/>
      <c r="T37" s="96"/>
      <c r="U37" s="96"/>
      <c r="V37" s="96"/>
      <c r="W37" s="96"/>
      <c r="X37" s="96"/>
      <c r="Y37" s="96"/>
      <c r="Z37" s="96"/>
      <c r="AA37" s="96"/>
      <c r="AB37" s="96"/>
      <c r="AC37" s="96"/>
      <c r="AD37" s="96"/>
    </row>
    <row r="38">
      <c r="A38" s="51" t="s">
        <v>790</v>
      </c>
      <c r="B38" s="103" t="s">
        <v>765</v>
      </c>
      <c r="C38" s="54" t="s">
        <v>570</v>
      </c>
      <c r="D38" s="62" t="s">
        <v>571</v>
      </c>
      <c r="E38" s="66" t="s">
        <v>769</v>
      </c>
      <c r="F38" s="100"/>
      <c r="G38" s="100">
        <v>46034.0</v>
      </c>
      <c r="H38" s="58">
        <v>0.0</v>
      </c>
      <c r="I38" s="66" t="s">
        <v>771</v>
      </c>
      <c r="J38" s="66" t="s">
        <v>772</v>
      </c>
      <c r="K38" s="66" t="s">
        <v>776</v>
      </c>
      <c r="L38" s="104" t="s">
        <v>795</v>
      </c>
      <c r="M38" s="66"/>
      <c r="N38" s="100">
        <v>46083.0</v>
      </c>
      <c r="O38" s="55" t="str">
        <f t="shared" si="1"/>
        <v>VENCIDO</v>
      </c>
      <c r="P38" s="105"/>
      <c r="Q38" s="100"/>
      <c r="R38" s="96"/>
      <c r="S38" s="96"/>
      <c r="T38" s="96"/>
      <c r="U38" s="96"/>
      <c r="V38" s="96"/>
      <c r="W38" s="96"/>
      <c r="X38" s="96"/>
      <c r="Y38" s="96"/>
      <c r="Z38" s="96"/>
      <c r="AA38" s="96"/>
      <c r="AB38" s="96"/>
      <c r="AC38" s="96"/>
      <c r="AD38" s="96"/>
    </row>
    <row r="39">
      <c r="A39" s="51" t="s">
        <v>802</v>
      </c>
      <c r="B39" s="103" t="s">
        <v>276</v>
      </c>
      <c r="C39" s="54" t="s">
        <v>570</v>
      </c>
      <c r="D39" s="66" t="s">
        <v>230</v>
      </c>
      <c r="E39" s="66" t="s">
        <v>769</v>
      </c>
      <c r="F39" s="107"/>
      <c r="G39" s="107">
        <v>45955.0</v>
      </c>
      <c r="H39" s="58">
        <v>0.0</v>
      </c>
      <c r="I39" s="66" t="s">
        <v>302</v>
      </c>
      <c r="J39" s="66" t="s">
        <v>277</v>
      </c>
      <c r="K39" s="66" t="s">
        <v>314</v>
      </c>
      <c r="L39" s="104" t="s">
        <v>805</v>
      </c>
      <c r="M39" s="108" t="s">
        <v>806</v>
      </c>
      <c r="N39" s="100"/>
      <c r="O39" s="55" t="str">
        <f t="shared" si="1"/>
        <v>SEM DATA APONTADA</v>
      </c>
      <c r="P39" s="105" t="s">
        <v>808</v>
      </c>
      <c r="Q39" s="100">
        <v>46139.0</v>
      </c>
      <c r="R39" s="96"/>
      <c r="S39" s="96"/>
      <c r="T39" s="96"/>
      <c r="U39" s="96"/>
      <c r="V39" s="96"/>
      <c r="W39" s="96"/>
      <c r="X39" s="96"/>
      <c r="Y39" s="96"/>
      <c r="Z39" s="96"/>
      <c r="AA39" s="96"/>
      <c r="AB39" s="96"/>
      <c r="AC39" s="96"/>
      <c r="AD39" s="96"/>
    </row>
    <row r="40">
      <c r="A40" s="51" t="s">
        <v>809</v>
      </c>
      <c r="B40" s="103" t="s">
        <v>276</v>
      </c>
      <c r="C40" s="54" t="s">
        <v>570</v>
      </c>
      <c r="D40" s="66" t="s">
        <v>498</v>
      </c>
      <c r="E40" s="66" t="s">
        <v>769</v>
      </c>
      <c r="F40" s="109"/>
      <c r="G40" s="109">
        <v>45995.0</v>
      </c>
      <c r="H40" s="58">
        <v>0.0</v>
      </c>
      <c r="I40" s="66" t="s">
        <v>302</v>
      </c>
      <c r="J40" s="66" t="s">
        <v>811</v>
      </c>
      <c r="K40" s="66" t="s">
        <v>314</v>
      </c>
      <c r="L40" s="104" t="s">
        <v>805</v>
      </c>
      <c r="M40" s="108" t="s">
        <v>813</v>
      </c>
      <c r="N40" s="100">
        <v>46035.0</v>
      </c>
      <c r="O40" s="55" t="str">
        <f t="shared" si="1"/>
        <v>CONCLUÍDO</v>
      </c>
      <c r="P40" s="105" t="s">
        <v>814</v>
      </c>
      <c r="Q40" s="100">
        <v>46035.0</v>
      </c>
      <c r="R40" s="96"/>
      <c r="S40" s="96"/>
      <c r="T40" s="96"/>
      <c r="U40" s="96"/>
      <c r="V40" s="96"/>
      <c r="W40" s="96"/>
      <c r="X40" s="96"/>
      <c r="Y40" s="96"/>
      <c r="Z40" s="96"/>
      <c r="AA40" s="96"/>
      <c r="AB40" s="96"/>
      <c r="AC40" s="96"/>
      <c r="AD40" s="96"/>
    </row>
    <row r="41">
      <c r="A41" s="51" t="s">
        <v>815</v>
      </c>
      <c r="B41" s="103" t="s">
        <v>276</v>
      </c>
      <c r="C41" s="54" t="s">
        <v>570</v>
      </c>
      <c r="D41" s="66" t="s">
        <v>230</v>
      </c>
      <c r="E41" s="66" t="s">
        <v>769</v>
      </c>
      <c r="F41" s="109"/>
      <c r="G41" s="109">
        <v>46014.0</v>
      </c>
      <c r="H41" s="58">
        <v>0.0</v>
      </c>
      <c r="I41" s="66" t="s">
        <v>302</v>
      </c>
      <c r="J41" s="66" t="s">
        <v>277</v>
      </c>
      <c r="K41" s="66" t="s">
        <v>314</v>
      </c>
      <c r="L41" s="104" t="s">
        <v>805</v>
      </c>
      <c r="M41" s="108" t="s">
        <v>818</v>
      </c>
      <c r="N41" s="100">
        <v>46051.0</v>
      </c>
      <c r="O41" s="55" t="str">
        <f t="shared" si="1"/>
        <v>CONCLUÍDO</v>
      </c>
      <c r="P41" s="105" t="s">
        <v>820</v>
      </c>
      <c r="Q41" s="100">
        <v>46051.0</v>
      </c>
      <c r="R41" s="96"/>
      <c r="S41" s="96"/>
      <c r="T41" s="96"/>
      <c r="U41" s="96"/>
      <c r="V41" s="96"/>
      <c r="W41" s="96"/>
      <c r="X41" s="96"/>
      <c r="Y41" s="96"/>
      <c r="Z41" s="96"/>
      <c r="AA41" s="96"/>
      <c r="AB41" s="96"/>
      <c r="AC41" s="96"/>
      <c r="AD41" s="96"/>
    </row>
    <row r="42">
      <c r="A42" s="51" t="s">
        <v>821</v>
      </c>
      <c r="B42" s="103" t="s">
        <v>276</v>
      </c>
      <c r="C42" s="54" t="s">
        <v>570</v>
      </c>
      <c r="D42" s="66" t="s">
        <v>498</v>
      </c>
      <c r="E42" s="66" t="s">
        <v>769</v>
      </c>
      <c r="F42" s="109"/>
      <c r="G42" s="109">
        <v>46020.0</v>
      </c>
      <c r="H42" s="58">
        <v>0.0</v>
      </c>
      <c r="I42" s="66" t="s">
        <v>302</v>
      </c>
      <c r="J42" s="66" t="s">
        <v>811</v>
      </c>
      <c r="K42" s="66" t="s">
        <v>314</v>
      </c>
      <c r="L42" s="104" t="s">
        <v>805</v>
      </c>
      <c r="M42" s="108" t="s">
        <v>827</v>
      </c>
      <c r="N42" s="100">
        <v>46035.0</v>
      </c>
      <c r="O42" s="55" t="str">
        <f t="shared" si="1"/>
        <v>CONCLUÍDO</v>
      </c>
      <c r="P42" s="105" t="s">
        <v>814</v>
      </c>
      <c r="Q42" s="100">
        <v>46035.0</v>
      </c>
      <c r="R42" s="96"/>
      <c r="S42" s="96"/>
      <c r="T42" s="96"/>
      <c r="U42" s="96"/>
      <c r="V42" s="96"/>
      <c r="W42" s="96"/>
      <c r="X42" s="96"/>
      <c r="Y42" s="96"/>
      <c r="Z42" s="96"/>
      <c r="AA42" s="96"/>
      <c r="AB42" s="96"/>
      <c r="AC42" s="96"/>
      <c r="AD42" s="96"/>
    </row>
    <row r="43">
      <c r="A43" s="51" t="s">
        <v>830</v>
      </c>
      <c r="B43" s="103" t="s">
        <v>276</v>
      </c>
      <c r="C43" s="54" t="s">
        <v>570</v>
      </c>
      <c r="D43" s="66" t="s">
        <v>642</v>
      </c>
      <c r="E43" s="66" t="s">
        <v>769</v>
      </c>
      <c r="F43" s="109"/>
      <c r="G43" s="109">
        <v>46020.0</v>
      </c>
      <c r="H43" s="58">
        <v>0.0</v>
      </c>
      <c r="I43" s="66" t="s">
        <v>302</v>
      </c>
      <c r="J43" s="66" t="s">
        <v>277</v>
      </c>
      <c r="K43" s="66" t="s">
        <v>314</v>
      </c>
      <c r="L43" s="104" t="s">
        <v>805</v>
      </c>
      <c r="M43" s="108" t="s">
        <v>833</v>
      </c>
      <c r="N43" s="100">
        <v>46049.0</v>
      </c>
      <c r="O43" s="55" t="str">
        <f t="shared" si="1"/>
        <v>CONCLUÍDO</v>
      </c>
      <c r="P43" s="105" t="s">
        <v>834</v>
      </c>
      <c r="Q43" s="100">
        <v>46049.0</v>
      </c>
      <c r="R43" s="96"/>
      <c r="S43" s="96"/>
      <c r="T43" s="96"/>
      <c r="U43" s="96"/>
      <c r="V43" s="96"/>
      <c r="W43" s="96"/>
      <c r="X43" s="96"/>
      <c r="Y43" s="96"/>
      <c r="Z43" s="96"/>
      <c r="AA43" s="96"/>
      <c r="AB43" s="96"/>
      <c r="AC43" s="96"/>
      <c r="AD43" s="96"/>
    </row>
    <row r="44">
      <c r="A44" s="51" t="s">
        <v>835</v>
      </c>
      <c r="B44" s="103" t="s">
        <v>276</v>
      </c>
      <c r="C44" s="54" t="s">
        <v>570</v>
      </c>
      <c r="D44" s="66" t="s">
        <v>271</v>
      </c>
      <c r="E44" s="66" t="s">
        <v>769</v>
      </c>
      <c r="F44" s="109"/>
      <c r="G44" s="109">
        <v>46027.0</v>
      </c>
      <c r="H44" s="58">
        <v>0.0</v>
      </c>
      <c r="I44" s="66" t="s">
        <v>302</v>
      </c>
      <c r="J44" s="66" t="s">
        <v>277</v>
      </c>
      <c r="K44" s="66" t="s">
        <v>314</v>
      </c>
      <c r="L44" s="104" t="s">
        <v>805</v>
      </c>
      <c r="M44" s="108" t="s">
        <v>839</v>
      </c>
      <c r="N44" s="100">
        <v>46049.0</v>
      </c>
      <c r="O44" s="55" t="str">
        <f t="shared" si="1"/>
        <v>CONCLUÍDO</v>
      </c>
      <c r="P44" s="105" t="s">
        <v>834</v>
      </c>
      <c r="Q44" s="100">
        <v>46049.0</v>
      </c>
      <c r="R44" s="96"/>
      <c r="S44" s="96"/>
      <c r="T44" s="96"/>
      <c r="U44" s="96"/>
      <c r="V44" s="96"/>
      <c r="W44" s="96"/>
      <c r="X44" s="96"/>
      <c r="Y44" s="96"/>
      <c r="Z44" s="96"/>
      <c r="AA44" s="96"/>
      <c r="AB44" s="96"/>
      <c r="AC44" s="96"/>
      <c r="AD44" s="96"/>
    </row>
    <row r="45">
      <c r="A45" s="51" t="s">
        <v>843</v>
      </c>
      <c r="B45" s="103" t="s">
        <v>276</v>
      </c>
      <c r="C45" s="54" t="s">
        <v>570</v>
      </c>
      <c r="D45" s="66" t="s">
        <v>387</v>
      </c>
      <c r="E45" s="66" t="s">
        <v>769</v>
      </c>
      <c r="F45" s="109"/>
      <c r="G45" s="109">
        <v>46027.0</v>
      </c>
      <c r="H45" s="58">
        <v>0.0</v>
      </c>
      <c r="I45" s="66" t="s">
        <v>302</v>
      </c>
      <c r="J45" s="66" t="s">
        <v>277</v>
      </c>
      <c r="K45" s="66" t="s">
        <v>314</v>
      </c>
      <c r="L45" s="104" t="s">
        <v>805</v>
      </c>
      <c r="M45" s="108" t="s">
        <v>846</v>
      </c>
      <c r="N45" s="100">
        <v>46049.0</v>
      </c>
      <c r="O45" s="55" t="str">
        <f t="shared" si="1"/>
        <v>CONCLUÍDO</v>
      </c>
      <c r="P45" s="105" t="s">
        <v>808</v>
      </c>
      <c r="Q45" s="100">
        <v>46049.0</v>
      </c>
      <c r="R45" s="96"/>
      <c r="S45" s="96"/>
      <c r="T45" s="96"/>
      <c r="U45" s="96"/>
      <c r="V45" s="96"/>
      <c r="W45" s="96"/>
      <c r="X45" s="96"/>
      <c r="Y45" s="96"/>
      <c r="Z45" s="96"/>
      <c r="AA45" s="96"/>
      <c r="AB45" s="96"/>
      <c r="AC45" s="96"/>
      <c r="AD45" s="96"/>
    </row>
    <row r="46">
      <c r="A46" s="51" t="s">
        <v>848</v>
      </c>
      <c r="B46" s="103" t="s">
        <v>276</v>
      </c>
      <c r="C46" s="54" t="s">
        <v>570</v>
      </c>
      <c r="D46" s="66" t="s">
        <v>387</v>
      </c>
      <c r="E46" s="66" t="s">
        <v>769</v>
      </c>
      <c r="F46" s="109"/>
      <c r="G46" s="109">
        <v>46027.0</v>
      </c>
      <c r="H46" s="58">
        <v>0.0</v>
      </c>
      <c r="I46" s="66" t="s">
        <v>302</v>
      </c>
      <c r="J46" s="66" t="s">
        <v>811</v>
      </c>
      <c r="K46" s="66" t="s">
        <v>314</v>
      </c>
      <c r="L46" s="104" t="s">
        <v>805</v>
      </c>
      <c r="M46" s="108" t="s">
        <v>849</v>
      </c>
      <c r="N46" s="100">
        <v>46049.0</v>
      </c>
      <c r="O46" s="55" t="str">
        <f t="shared" si="1"/>
        <v>CONCLUÍDO</v>
      </c>
      <c r="P46" s="105" t="s">
        <v>834</v>
      </c>
      <c r="Q46" s="100">
        <v>46049.0</v>
      </c>
      <c r="R46" s="96"/>
      <c r="S46" s="96"/>
      <c r="T46" s="96"/>
      <c r="U46" s="96"/>
      <c r="V46" s="96"/>
      <c r="W46" s="96"/>
      <c r="X46" s="96"/>
      <c r="Y46" s="96"/>
      <c r="Z46" s="96"/>
      <c r="AA46" s="96"/>
      <c r="AB46" s="96"/>
      <c r="AC46" s="96"/>
      <c r="AD46" s="96"/>
    </row>
    <row r="47">
      <c r="A47" s="51" t="s">
        <v>851</v>
      </c>
      <c r="B47" s="103" t="s">
        <v>276</v>
      </c>
      <c r="C47" s="54" t="s">
        <v>570</v>
      </c>
      <c r="D47" s="66" t="s">
        <v>387</v>
      </c>
      <c r="E47" s="66" t="s">
        <v>769</v>
      </c>
      <c r="F47" s="109"/>
      <c r="G47" s="109">
        <v>46027.0</v>
      </c>
      <c r="H47" s="58">
        <v>0.0</v>
      </c>
      <c r="I47" s="66" t="s">
        <v>302</v>
      </c>
      <c r="J47" s="66" t="s">
        <v>277</v>
      </c>
      <c r="K47" s="66" t="s">
        <v>314</v>
      </c>
      <c r="L47" s="104" t="s">
        <v>805</v>
      </c>
      <c r="M47" s="108" t="s">
        <v>852</v>
      </c>
      <c r="N47" s="100">
        <v>46049.0</v>
      </c>
      <c r="O47" s="55" t="str">
        <f t="shared" si="1"/>
        <v>CONCLUÍDO</v>
      </c>
      <c r="P47" s="105" t="s">
        <v>808</v>
      </c>
      <c r="Q47" s="100">
        <v>46049.0</v>
      </c>
      <c r="R47" s="96"/>
      <c r="S47" s="96"/>
      <c r="T47" s="96"/>
      <c r="U47" s="96"/>
      <c r="V47" s="96"/>
      <c r="W47" s="96"/>
      <c r="X47" s="96"/>
      <c r="Y47" s="96"/>
      <c r="Z47" s="96"/>
      <c r="AA47" s="96"/>
      <c r="AB47" s="96"/>
      <c r="AC47" s="96"/>
      <c r="AD47" s="96"/>
    </row>
    <row r="48">
      <c r="A48" s="51" t="s">
        <v>855</v>
      </c>
      <c r="B48" s="103" t="s">
        <v>276</v>
      </c>
      <c r="C48" s="54" t="s">
        <v>570</v>
      </c>
      <c r="D48" s="66" t="s">
        <v>784</v>
      </c>
      <c r="E48" s="66" t="s">
        <v>769</v>
      </c>
      <c r="F48" s="109"/>
      <c r="G48" s="109">
        <v>46027.0</v>
      </c>
      <c r="H48" s="58">
        <v>0.0</v>
      </c>
      <c r="I48" s="66" t="s">
        <v>302</v>
      </c>
      <c r="J48" s="66" t="s">
        <v>277</v>
      </c>
      <c r="K48" s="66" t="s">
        <v>314</v>
      </c>
      <c r="L48" s="104" t="s">
        <v>805</v>
      </c>
      <c r="M48" s="108" t="s">
        <v>856</v>
      </c>
      <c r="N48" s="100">
        <v>46051.0</v>
      </c>
      <c r="O48" s="55" t="str">
        <f t="shared" si="1"/>
        <v>CONCLUÍDO</v>
      </c>
      <c r="P48" s="105" t="s">
        <v>858</v>
      </c>
      <c r="Q48" s="100">
        <v>46051.0</v>
      </c>
      <c r="R48" s="96"/>
      <c r="S48" s="96"/>
      <c r="T48" s="96"/>
      <c r="U48" s="96"/>
      <c r="V48" s="96"/>
      <c r="W48" s="96"/>
      <c r="X48" s="96"/>
      <c r="Y48" s="96"/>
      <c r="Z48" s="96"/>
      <c r="AA48" s="96"/>
      <c r="AB48" s="96"/>
      <c r="AC48" s="96"/>
      <c r="AD48" s="96"/>
    </row>
    <row r="49">
      <c r="A49" s="51" t="s">
        <v>859</v>
      </c>
      <c r="B49" s="103" t="s">
        <v>276</v>
      </c>
      <c r="C49" s="54" t="s">
        <v>570</v>
      </c>
      <c r="D49" s="66" t="s">
        <v>230</v>
      </c>
      <c r="E49" s="66" t="s">
        <v>769</v>
      </c>
      <c r="F49" s="109"/>
      <c r="G49" s="109">
        <v>46028.0</v>
      </c>
      <c r="H49" s="58">
        <v>0.0</v>
      </c>
      <c r="I49" s="66" t="s">
        <v>302</v>
      </c>
      <c r="J49" s="66" t="s">
        <v>277</v>
      </c>
      <c r="K49" s="66" t="s">
        <v>314</v>
      </c>
      <c r="L49" s="104" t="s">
        <v>805</v>
      </c>
      <c r="M49" s="108" t="s">
        <v>860</v>
      </c>
      <c r="N49" s="100">
        <v>46049.0</v>
      </c>
      <c r="O49" s="55" t="str">
        <f t="shared" si="1"/>
        <v>CONCLUÍDO</v>
      </c>
      <c r="P49" s="105" t="s">
        <v>834</v>
      </c>
      <c r="Q49" s="100">
        <v>46049.0</v>
      </c>
      <c r="R49" s="96"/>
      <c r="S49" s="96"/>
      <c r="T49" s="96"/>
      <c r="U49" s="96"/>
      <c r="V49" s="96"/>
      <c r="W49" s="96"/>
      <c r="X49" s="96"/>
      <c r="Y49" s="96"/>
      <c r="Z49" s="96"/>
      <c r="AA49" s="96"/>
      <c r="AB49" s="96"/>
      <c r="AC49" s="96"/>
      <c r="AD49" s="96"/>
    </row>
    <row r="50">
      <c r="A50" s="51" t="s">
        <v>863</v>
      </c>
      <c r="B50" s="103" t="s">
        <v>276</v>
      </c>
      <c r="C50" s="54" t="s">
        <v>570</v>
      </c>
      <c r="D50" s="62" t="s">
        <v>387</v>
      </c>
      <c r="E50" s="66" t="s">
        <v>769</v>
      </c>
      <c r="F50" s="111"/>
      <c r="G50" s="111">
        <v>46016.0</v>
      </c>
      <c r="H50" s="58">
        <v>0.0</v>
      </c>
      <c r="I50" s="66" t="s">
        <v>302</v>
      </c>
      <c r="J50" s="66" t="s">
        <v>473</v>
      </c>
      <c r="K50" s="66" t="s">
        <v>474</v>
      </c>
      <c r="L50" s="104" t="s">
        <v>866</v>
      </c>
      <c r="M50" s="66"/>
      <c r="N50" s="100">
        <v>46042.0</v>
      </c>
      <c r="O50" s="55" t="str">
        <f t="shared" si="1"/>
        <v>CONCLUÍDO</v>
      </c>
      <c r="P50" s="105"/>
      <c r="Q50" s="100">
        <v>46042.0</v>
      </c>
      <c r="R50" s="96"/>
      <c r="S50" s="96"/>
      <c r="T50" s="96"/>
      <c r="U50" s="96"/>
      <c r="V50" s="96"/>
      <c r="W50" s="96"/>
      <c r="X50" s="96"/>
      <c r="Y50" s="96"/>
      <c r="Z50" s="96"/>
      <c r="AA50" s="96"/>
      <c r="AB50" s="96"/>
      <c r="AC50" s="96"/>
      <c r="AD50" s="96"/>
    </row>
    <row r="51">
      <c r="A51" s="51" t="s">
        <v>868</v>
      </c>
      <c r="B51" s="103" t="s">
        <v>276</v>
      </c>
      <c r="C51" s="54" t="s">
        <v>570</v>
      </c>
      <c r="D51" s="62" t="s">
        <v>387</v>
      </c>
      <c r="E51" s="66" t="s">
        <v>769</v>
      </c>
      <c r="F51" s="107"/>
      <c r="G51" s="107">
        <v>45986.0</v>
      </c>
      <c r="H51" s="58">
        <v>0.0</v>
      </c>
      <c r="I51" s="66" t="s">
        <v>302</v>
      </c>
      <c r="J51" s="66" t="s">
        <v>277</v>
      </c>
      <c r="K51" s="66" t="s">
        <v>314</v>
      </c>
      <c r="L51" s="104" t="s">
        <v>870</v>
      </c>
      <c r="M51" s="108" t="s">
        <v>871</v>
      </c>
      <c r="N51" s="100">
        <v>46084.0</v>
      </c>
      <c r="O51" s="55" t="str">
        <f t="shared" si="1"/>
        <v>CONCLUÍDO</v>
      </c>
      <c r="P51" s="105" t="s">
        <v>808</v>
      </c>
      <c r="Q51" s="100">
        <v>46083.0</v>
      </c>
      <c r="R51" s="96"/>
      <c r="S51" s="96"/>
      <c r="T51" s="96"/>
      <c r="U51" s="96"/>
      <c r="V51" s="96"/>
      <c r="W51" s="96"/>
      <c r="X51" s="96"/>
      <c r="Y51" s="96"/>
      <c r="Z51" s="96"/>
      <c r="AA51" s="96"/>
      <c r="AB51" s="96"/>
      <c r="AC51" s="96"/>
      <c r="AD51" s="96"/>
    </row>
    <row r="52">
      <c r="A52" s="51" t="s">
        <v>875</v>
      </c>
      <c r="B52" s="103" t="s">
        <v>276</v>
      </c>
      <c r="C52" s="54" t="s">
        <v>570</v>
      </c>
      <c r="D52" s="62" t="s">
        <v>387</v>
      </c>
      <c r="E52" s="66" t="s">
        <v>769</v>
      </c>
      <c r="F52" s="107"/>
      <c r="G52" s="107">
        <v>45986.0</v>
      </c>
      <c r="H52" s="58">
        <v>0.0</v>
      </c>
      <c r="I52" s="66" t="s">
        <v>302</v>
      </c>
      <c r="J52" s="66" t="s">
        <v>277</v>
      </c>
      <c r="K52" s="66" t="s">
        <v>314</v>
      </c>
      <c r="L52" s="104" t="s">
        <v>870</v>
      </c>
      <c r="M52" s="108" t="s">
        <v>877</v>
      </c>
      <c r="N52" s="100">
        <v>46084.0</v>
      </c>
      <c r="O52" s="55" t="str">
        <f t="shared" si="1"/>
        <v>CONCLUÍDO</v>
      </c>
      <c r="P52" s="105" t="s">
        <v>808</v>
      </c>
      <c r="Q52" s="100">
        <v>46084.0</v>
      </c>
      <c r="R52" s="96"/>
      <c r="S52" s="96"/>
      <c r="T52" s="96"/>
      <c r="U52" s="96"/>
      <c r="V52" s="96"/>
      <c r="W52" s="96"/>
      <c r="X52" s="96"/>
      <c r="Y52" s="96"/>
      <c r="Z52" s="96"/>
      <c r="AA52" s="96"/>
      <c r="AB52" s="96"/>
      <c r="AC52" s="96"/>
      <c r="AD52" s="96"/>
    </row>
    <row r="53">
      <c r="A53" s="51" t="s">
        <v>879</v>
      </c>
      <c r="B53" s="103" t="s">
        <v>276</v>
      </c>
      <c r="C53" s="54" t="s">
        <v>570</v>
      </c>
      <c r="D53" s="66" t="s">
        <v>664</v>
      </c>
      <c r="E53" s="66" t="s">
        <v>769</v>
      </c>
      <c r="F53" s="109"/>
      <c r="G53" s="109">
        <v>46002.0</v>
      </c>
      <c r="H53" s="58">
        <v>0.0</v>
      </c>
      <c r="I53" s="66" t="s">
        <v>302</v>
      </c>
      <c r="J53" s="66" t="s">
        <v>277</v>
      </c>
      <c r="K53" s="66" t="s">
        <v>314</v>
      </c>
      <c r="L53" s="104" t="s">
        <v>805</v>
      </c>
      <c r="M53" s="108" t="s">
        <v>882</v>
      </c>
      <c r="N53" s="100">
        <v>46083.0</v>
      </c>
      <c r="O53" s="55" t="str">
        <f t="shared" si="1"/>
        <v>CONCLUÍDO</v>
      </c>
      <c r="P53" s="105" t="s">
        <v>808</v>
      </c>
      <c r="Q53" s="100">
        <v>46084.0</v>
      </c>
      <c r="R53" s="96"/>
      <c r="S53" s="96"/>
      <c r="T53" s="96"/>
      <c r="U53" s="96"/>
      <c r="V53" s="96"/>
      <c r="W53" s="96"/>
      <c r="X53" s="96"/>
      <c r="Y53" s="96"/>
      <c r="Z53" s="96"/>
      <c r="AA53" s="96"/>
      <c r="AB53" s="96"/>
      <c r="AC53" s="96"/>
      <c r="AD53" s="96"/>
    </row>
    <row r="54">
      <c r="A54" s="51" t="s">
        <v>885</v>
      </c>
      <c r="B54" s="103" t="s">
        <v>765</v>
      </c>
      <c r="C54" s="54" t="s">
        <v>570</v>
      </c>
      <c r="D54" s="66" t="s">
        <v>387</v>
      </c>
      <c r="E54" s="66" t="s">
        <v>769</v>
      </c>
      <c r="F54" s="107"/>
      <c r="G54" s="107">
        <v>45986.0</v>
      </c>
      <c r="H54" s="58">
        <v>0.0</v>
      </c>
      <c r="I54" s="66" t="s">
        <v>889</v>
      </c>
      <c r="J54" s="66" t="s">
        <v>772</v>
      </c>
      <c r="K54" s="66" t="s">
        <v>776</v>
      </c>
      <c r="L54" s="117" t="s">
        <v>891</v>
      </c>
      <c r="M54" s="108" t="s">
        <v>893</v>
      </c>
      <c r="N54" s="100">
        <v>46083.0</v>
      </c>
      <c r="O54" s="55" t="str">
        <f t="shared" si="1"/>
        <v>VENCIDO</v>
      </c>
      <c r="P54" s="105"/>
      <c r="Q54" s="100"/>
      <c r="R54" s="96"/>
      <c r="S54" s="96"/>
      <c r="T54" s="96"/>
      <c r="U54" s="96"/>
      <c r="V54" s="96"/>
      <c r="W54" s="96"/>
      <c r="X54" s="96"/>
      <c r="Y54" s="96"/>
      <c r="Z54" s="96"/>
      <c r="AA54" s="96"/>
      <c r="AB54" s="96"/>
      <c r="AC54" s="96"/>
      <c r="AD54" s="96"/>
    </row>
    <row r="55">
      <c r="A55" s="51" t="s">
        <v>896</v>
      </c>
      <c r="B55" s="103" t="s">
        <v>765</v>
      </c>
      <c r="C55" s="54" t="s">
        <v>570</v>
      </c>
      <c r="D55" s="66" t="s">
        <v>664</v>
      </c>
      <c r="E55" s="66" t="s">
        <v>769</v>
      </c>
      <c r="F55" s="107"/>
      <c r="G55" s="107">
        <v>45986.0</v>
      </c>
      <c r="H55" s="58">
        <v>0.0</v>
      </c>
      <c r="I55" s="66" t="s">
        <v>771</v>
      </c>
      <c r="J55" s="66" t="s">
        <v>772</v>
      </c>
      <c r="K55" s="66" t="s">
        <v>776</v>
      </c>
      <c r="L55" s="117" t="s">
        <v>898</v>
      </c>
      <c r="M55" s="108" t="s">
        <v>899</v>
      </c>
      <c r="N55" s="100">
        <v>46083.0</v>
      </c>
      <c r="O55" s="55" t="str">
        <f t="shared" si="1"/>
        <v>VENCIDO</v>
      </c>
      <c r="P55" s="105"/>
      <c r="Q55" s="100"/>
      <c r="R55" s="96"/>
      <c r="S55" s="96"/>
      <c r="T55" s="96"/>
      <c r="U55" s="96"/>
      <c r="V55" s="96"/>
      <c r="W55" s="96"/>
      <c r="X55" s="96"/>
      <c r="Y55" s="96"/>
      <c r="Z55" s="96"/>
      <c r="AA55" s="96"/>
      <c r="AB55" s="96"/>
      <c r="AC55" s="96"/>
      <c r="AD55" s="96"/>
    </row>
    <row r="56">
      <c r="A56" s="51" t="s">
        <v>900</v>
      </c>
      <c r="B56" s="103" t="s">
        <v>765</v>
      </c>
      <c r="C56" s="54" t="s">
        <v>570</v>
      </c>
      <c r="D56" s="66" t="s">
        <v>664</v>
      </c>
      <c r="E56" s="66" t="s">
        <v>769</v>
      </c>
      <c r="F56" s="107"/>
      <c r="G56" s="107">
        <v>45986.0</v>
      </c>
      <c r="H56" s="58">
        <v>0.0</v>
      </c>
      <c r="I56" s="66" t="s">
        <v>771</v>
      </c>
      <c r="J56" s="66" t="s">
        <v>772</v>
      </c>
      <c r="K56" s="66" t="s">
        <v>776</v>
      </c>
      <c r="L56" s="117" t="s">
        <v>902</v>
      </c>
      <c r="M56" s="108" t="s">
        <v>903</v>
      </c>
      <c r="N56" s="100">
        <v>46083.0</v>
      </c>
      <c r="O56" s="55" t="str">
        <f t="shared" si="1"/>
        <v>VENCIDO</v>
      </c>
      <c r="P56" s="105"/>
      <c r="Q56" s="100"/>
      <c r="R56" s="96"/>
      <c r="S56" s="96"/>
      <c r="T56" s="96"/>
      <c r="U56" s="96"/>
      <c r="V56" s="96"/>
      <c r="W56" s="96"/>
      <c r="X56" s="96"/>
      <c r="Y56" s="96"/>
      <c r="Z56" s="96"/>
      <c r="AA56" s="96"/>
      <c r="AB56" s="96"/>
      <c r="AC56" s="96"/>
      <c r="AD56" s="96"/>
    </row>
    <row r="57">
      <c r="A57" s="51" t="s">
        <v>905</v>
      </c>
      <c r="B57" s="103" t="s">
        <v>765</v>
      </c>
      <c r="C57" s="54" t="s">
        <v>570</v>
      </c>
      <c r="D57" s="66" t="s">
        <v>664</v>
      </c>
      <c r="E57" s="66" t="s">
        <v>769</v>
      </c>
      <c r="F57" s="107"/>
      <c r="G57" s="107">
        <v>45986.0</v>
      </c>
      <c r="H57" s="58">
        <v>0.0</v>
      </c>
      <c r="I57" s="66" t="s">
        <v>771</v>
      </c>
      <c r="J57" s="66" t="s">
        <v>772</v>
      </c>
      <c r="K57" s="66" t="s">
        <v>776</v>
      </c>
      <c r="L57" s="117" t="s">
        <v>902</v>
      </c>
      <c r="M57" s="108" t="s">
        <v>907</v>
      </c>
      <c r="N57" s="100">
        <v>46083.0</v>
      </c>
      <c r="O57" s="55" t="str">
        <f t="shared" si="1"/>
        <v>VENCIDO</v>
      </c>
      <c r="P57" s="105"/>
      <c r="Q57" s="100"/>
      <c r="R57" s="96"/>
      <c r="S57" s="96"/>
      <c r="T57" s="96"/>
      <c r="U57" s="96"/>
      <c r="V57" s="96"/>
      <c r="W57" s="96"/>
      <c r="X57" s="96"/>
      <c r="Y57" s="96"/>
      <c r="Z57" s="96"/>
      <c r="AA57" s="96"/>
      <c r="AB57" s="96"/>
      <c r="AC57" s="96"/>
      <c r="AD57" s="96"/>
    </row>
    <row r="58">
      <c r="A58" s="51" t="s">
        <v>911</v>
      </c>
      <c r="B58" s="103" t="s">
        <v>276</v>
      </c>
      <c r="C58" s="54" t="s">
        <v>570</v>
      </c>
      <c r="D58" s="66" t="s">
        <v>230</v>
      </c>
      <c r="E58" s="66" t="s">
        <v>912</v>
      </c>
      <c r="F58" s="109"/>
      <c r="G58" s="109">
        <v>45993.0</v>
      </c>
      <c r="H58" s="58">
        <v>0.0</v>
      </c>
      <c r="I58" s="66" t="s">
        <v>302</v>
      </c>
      <c r="J58" s="66" t="s">
        <v>570</v>
      </c>
      <c r="K58" s="66" t="s">
        <v>407</v>
      </c>
      <c r="L58" s="117" t="s">
        <v>914</v>
      </c>
      <c r="M58" s="108" t="s">
        <v>915</v>
      </c>
      <c r="N58" s="100">
        <v>46059.0</v>
      </c>
      <c r="O58" s="55" t="str">
        <f t="shared" si="1"/>
        <v>CONCLUÍDO</v>
      </c>
      <c r="P58" s="105" t="s">
        <v>916</v>
      </c>
      <c r="Q58" s="100">
        <v>46049.0</v>
      </c>
      <c r="R58" s="96"/>
      <c r="S58" s="96"/>
      <c r="T58" s="96"/>
      <c r="U58" s="96"/>
      <c r="V58" s="96"/>
      <c r="W58" s="96"/>
      <c r="X58" s="96"/>
      <c r="Y58" s="96"/>
      <c r="Z58" s="96"/>
      <c r="AA58" s="96"/>
      <c r="AB58" s="96"/>
      <c r="AC58" s="96"/>
      <c r="AD58" s="96"/>
    </row>
    <row r="59">
      <c r="A59" s="51" t="s">
        <v>918</v>
      </c>
      <c r="B59" s="103" t="s">
        <v>765</v>
      </c>
      <c r="C59" s="54" t="s">
        <v>570</v>
      </c>
      <c r="D59" s="66" t="s">
        <v>328</v>
      </c>
      <c r="E59" s="66" t="s">
        <v>769</v>
      </c>
      <c r="F59" s="107"/>
      <c r="G59" s="107">
        <v>46016.0</v>
      </c>
      <c r="H59" s="58">
        <v>0.0</v>
      </c>
      <c r="I59" s="66" t="s">
        <v>889</v>
      </c>
      <c r="J59" s="66" t="s">
        <v>772</v>
      </c>
      <c r="K59" s="66" t="s">
        <v>776</v>
      </c>
      <c r="L59" s="117" t="s">
        <v>922</v>
      </c>
      <c r="M59" s="108" t="s">
        <v>923</v>
      </c>
      <c r="N59" s="100">
        <v>46083.0</v>
      </c>
      <c r="O59" s="55" t="str">
        <f t="shared" si="1"/>
        <v>VENCIDO</v>
      </c>
      <c r="P59" s="105"/>
      <c r="Q59" s="100"/>
      <c r="R59" s="96"/>
      <c r="S59" s="96"/>
      <c r="T59" s="96"/>
      <c r="U59" s="96"/>
      <c r="V59" s="96"/>
      <c r="W59" s="96"/>
      <c r="X59" s="96"/>
      <c r="Y59" s="96"/>
      <c r="Z59" s="96"/>
      <c r="AA59" s="96"/>
      <c r="AB59" s="96"/>
      <c r="AC59" s="96"/>
      <c r="AD59" s="96"/>
    </row>
    <row r="60">
      <c r="A60" s="51" t="s">
        <v>925</v>
      </c>
      <c r="B60" s="103" t="s">
        <v>765</v>
      </c>
      <c r="C60" s="54" t="s">
        <v>570</v>
      </c>
      <c r="D60" s="66" t="s">
        <v>328</v>
      </c>
      <c r="E60" s="66" t="s">
        <v>769</v>
      </c>
      <c r="F60" s="107"/>
      <c r="G60" s="107">
        <v>46016.0</v>
      </c>
      <c r="H60" s="58">
        <v>0.0</v>
      </c>
      <c r="I60" s="66" t="s">
        <v>889</v>
      </c>
      <c r="J60" s="66" t="s">
        <v>772</v>
      </c>
      <c r="K60" s="66" t="s">
        <v>776</v>
      </c>
      <c r="L60" s="117" t="s">
        <v>922</v>
      </c>
      <c r="M60" s="108" t="s">
        <v>929</v>
      </c>
      <c r="N60" s="100">
        <v>46083.0</v>
      </c>
      <c r="O60" s="55" t="str">
        <f t="shared" si="1"/>
        <v>VENCIDO</v>
      </c>
      <c r="P60" s="105"/>
      <c r="Q60" s="100"/>
      <c r="R60" s="96"/>
      <c r="S60" s="96"/>
      <c r="T60" s="96"/>
      <c r="U60" s="96"/>
      <c r="V60" s="96"/>
      <c r="W60" s="96"/>
      <c r="X60" s="96"/>
      <c r="Y60" s="96"/>
      <c r="Z60" s="96"/>
      <c r="AA60" s="96"/>
      <c r="AB60" s="96"/>
      <c r="AC60" s="96"/>
      <c r="AD60" s="96"/>
    </row>
    <row r="61">
      <c r="A61" s="51" t="s">
        <v>935</v>
      </c>
      <c r="B61" s="103" t="s">
        <v>276</v>
      </c>
      <c r="C61" s="54" t="s">
        <v>570</v>
      </c>
      <c r="D61" s="66" t="s">
        <v>378</v>
      </c>
      <c r="E61" s="66" t="s">
        <v>769</v>
      </c>
      <c r="F61" s="107"/>
      <c r="G61" s="107">
        <v>46016.0</v>
      </c>
      <c r="H61" s="58">
        <v>0.0</v>
      </c>
      <c r="I61" s="66" t="s">
        <v>302</v>
      </c>
      <c r="J61" s="66" t="s">
        <v>692</v>
      </c>
      <c r="K61" s="66" t="s">
        <v>407</v>
      </c>
      <c r="L61" s="117" t="s">
        <v>937</v>
      </c>
      <c r="M61" s="108" t="s">
        <v>938</v>
      </c>
      <c r="N61" s="100">
        <v>46059.0</v>
      </c>
      <c r="O61" s="55" t="str">
        <f t="shared" si="1"/>
        <v>CONCLUÍDO</v>
      </c>
      <c r="P61" s="105" t="s">
        <v>939</v>
      </c>
      <c r="Q61" s="100">
        <v>46084.0</v>
      </c>
      <c r="R61" s="96"/>
      <c r="S61" s="96"/>
      <c r="T61" s="96"/>
      <c r="U61" s="96"/>
      <c r="V61" s="96"/>
      <c r="W61" s="96"/>
      <c r="X61" s="96"/>
      <c r="Y61" s="96"/>
      <c r="Z61" s="96"/>
      <c r="AA61" s="96"/>
      <c r="AB61" s="96"/>
      <c r="AC61" s="96"/>
      <c r="AD61" s="96"/>
    </row>
    <row r="62">
      <c r="A62" s="51" t="s">
        <v>940</v>
      </c>
      <c r="B62" s="103" t="s">
        <v>276</v>
      </c>
      <c r="C62" s="54" t="s">
        <v>570</v>
      </c>
      <c r="D62" s="66" t="s">
        <v>328</v>
      </c>
      <c r="E62" s="66" t="s">
        <v>769</v>
      </c>
      <c r="F62" s="109"/>
      <c r="G62" s="109">
        <v>46002.0</v>
      </c>
      <c r="H62" s="58">
        <v>0.0</v>
      </c>
      <c r="I62" s="66" t="s">
        <v>302</v>
      </c>
      <c r="J62" s="66" t="s">
        <v>692</v>
      </c>
      <c r="K62" s="66" t="s">
        <v>407</v>
      </c>
      <c r="L62" s="117" t="s">
        <v>945</v>
      </c>
      <c r="M62" s="108" t="s">
        <v>946</v>
      </c>
      <c r="N62" s="100">
        <v>46059.0</v>
      </c>
      <c r="O62" s="55" t="str">
        <f t="shared" si="1"/>
        <v>CONCLUÍDO</v>
      </c>
      <c r="P62" s="98" t="s">
        <v>947</v>
      </c>
      <c r="Q62" s="100">
        <v>46059.0</v>
      </c>
      <c r="R62" s="96"/>
      <c r="S62" s="96"/>
      <c r="T62" s="96"/>
      <c r="U62" s="96"/>
      <c r="V62" s="96"/>
      <c r="W62" s="96"/>
      <c r="X62" s="96"/>
      <c r="Y62" s="96"/>
      <c r="Z62" s="96"/>
      <c r="AA62" s="96"/>
      <c r="AB62" s="96"/>
      <c r="AC62" s="96"/>
      <c r="AD62" s="96"/>
    </row>
    <row r="63">
      <c r="A63" s="51" t="s">
        <v>951</v>
      </c>
      <c r="B63" s="103" t="s">
        <v>765</v>
      </c>
      <c r="C63" s="54" t="s">
        <v>570</v>
      </c>
      <c r="D63" s="66" t="s">
        <v>328</v>
      </c>
      <c r="E63" s="66" t="s">
        <v>769</v>
      </c>
      <c r="F63" s="109"/>
      <c r="G63" s="109">
        <v>46002.0</v>
      </c>
      <c r="H63" s="58">
        <v>0.0</v>
      </c>
      <c r="I63" s="66" t="s">
        <v>889</v>
      </c>
      <c r="J63" s="66" t="s">
        <v>772</v>
      </c>
      <c r="K63" s="66" t="s">
        <v>776</v>
      </c>
      <c r="L63" s="117" t="s">
        <v>922</v>
      </c>
      <c r="M63" s="108" t="s">
        <v>929</v>
      </c>
      <c r="N63" s="100">
        <v>46083.0</v>
      </c>
      <c r="O63" s="55" t="str">
        <f t="shared" si="1"/>
        <v>VENCIDO</v>
      </c>
      <c r="P63" s="105"/>
      <c r="Q63" s="100"/>
      <c r="R63" s="96"/>
      <c r="S63" s="96"/>
      <c r="T63" s="96"/>
      <c r="U63" s="96"/>
      <c r="V63" s="96"/>
      <c r="W63" s="96"/>
      <c r="X63" s="96"/>
      <c r="Y63" s="96"/>
      <c r="Z63" s="96"/>
      <c r="AA63" s="96"/>
      <c r="AB63" s="96"/>
      <c r="AC63" s="96"/>
      <c r="AD63" s="96"/>
    </row>
    <row r="64">
      <c r="A64" s="51" t="s">
        <v>960</v>
      </c>
      <c r="B64" s="103" t="s">
        <v>765</v>
      </c>
      <c r="C64" s="54" t="s">
        <v>570</v>
      </c>
      <c r="D64" s="66" t="s">
        <v>328</v>
      </c>
      <c r="E64" s="66" t="s">
        <v>769</v>
      </c>
      <c r="F64" s="109"/>
      <c r="G64" s="109">
        <v>46002.0</v>
      </c>
      <c r="H64" s="58">
        <v>0.0</v>
      </c>
      <c r="I64" s="66" t="s">
        <v>889</v>
      </c>
      <c r="J64" s="66" t="s">
        <v>772</v>
      </c>
      <c r="K64" s="66" t="s">
        <v>776</v>
      </c>
      <c r="L64" s="117" t="s">
        <v>922</v>
      </c>
      <c r="M64" s="108" t="s">
        <v>965</v>
      </c>
      <c r="N64" s="100">
        <v>46083.0</v>
      </c>
      <c r="O64" s="55" t="str">
        <f t="shared" si="1"/>
        <v>VENCIDO</v>
      </c>
      <c r="P64" s="105"/>
      <c r="Q64" s="100"/>
      <c r="R64" s="96"/>
      <c r="S64" s="96"/>
      <c r="T64" s="96"/>
      <c r="U64" s="96"/>
      <c r="V64" s="96"/>
      <c r="W64" s="96"/>
      <c r="X64" s="96"/>
      <c r="Y64" s="96"/>
      <c r="Z64" s="96"/>
      <c r="AA64" s="96"/>
      <c r="AB64" s="96"/>
      <c r="AC64" s="96"/>
      <c r="AD64" s="96"/>
    </row>
    <row r="65">
      <c r="A65" s="51" t="s">
        <v>971</v>
      </c>
      <c r="B65" s="103" t="s">
        <v>765</v>
      </c>
      <c r="C65" s="54" t="s">
        <v>570</v>
      </c>
      <c r="D65" s="66" t="s">
        <v>328</v>
      </c>
      <c r="E65" s="66" t="s">
        <v>769</v>
      </c>
      <c r="F65" s="109"/>
      <c r="G65" s="109">
        <v>46002.0</v>
      </c>
      <c r="H65" s="58">
        <v>0.0</v>
      </c>
      <c r="I65" s="66" t="s">
        <v>889</v>
      </c>
      <c r="J65" s="66" t="s">
        <v>772</v>
      </c>
      <c r="K65" s="66" t="s">
        <v>776</v>
      </c>
      <c r="L65" s="117" t="s">
        <v>922</v>
      </c>
      <c r="M65" s="108" t="s">
        <v>976</v>
      </c>
      <c r="N65" s="100">
        <v>46083.0</v>
      </c>
      <c r="O65" s="55" t="str">
        <f t="shared" si="1"/>
        <v>VENCIDO</v>
      </c>
      <c r="P65" s="105"/>
      <c r="Q65" s="100"/>
      <c r="R65" s="96"/>
      <c r="S65" s="96"/>
      <c r="T65" s="96"/>
      <c r="U65" s="96"/>
      <c r="V65" s="96"/>
      <c r="W65" s="96"/>
      <c r="X65" s="96"/>
      <c r="Y65" s="96"/>
      <c r="Z65" s="96"/>
      <c r="AA65" s="96"/>
      <c r="AB65" s="96"/>
      <c r="AC65" s="96"/>
      <c r="AD65" s="96"/>
    </row>
    <row r="66">
      <c r="A66" s="51" t="s">
        <v>980</v>
      </c>
      <c r="B66" s="103" t="s">
        <v>765</v>
      </c>
      <c r="C66" s="54" t="s">
        <v>570</v>
      </c>
      <c r="D66" s="66" t="s">
        <v>328</v>
      </c>
      <c r="E66" s="66" t="s">
        <v>769</v>
      </c>
      <c r="F66" s="109"/>
      <c r="G66" s="109">
        <v>46002.0</v>
      </c>
      <c r="H66" s="58">
        <v>0.0</v>
      </c>
      <c r="I66" s="66" t="s">
        <v>889</v>
      </c>
      <c r="J66" s="66" t="s">
        <v>772</v>
      </c>
      <c r="K66" s="66" t="s">
        <v>776</v>
      </c>
      <c r="L66" s="117" t="s">
        <v>922</v>
      </c>
      <c r="M66" s="108" t="s">
        <v>923</v>
      </c>
      <c r="N66" s="100">
        <v>46083.0</v>
      </c>
      <c r="O66" s="55" t="str">
        <f t="shared" si="1"/>
        <v>VENCIDO</v>
      </c>
      <c r="P66" s="105"/>
      <c r="Q66" s="100"/>
      <c r="R66" s="96"/>
      <c r="S66" s="96"/>
      <c r="T66" s="96"/>
      <c r="U66" s="96"/>
      <c r="V66" s="96"/>
      <c r="W66" s="96"/>
      <c r="X66" s="96"/>
      <c r="Y66" s="96"/>
      <c r="Z66" s="96"/>
      <c r="AA66" s="96"/>
      <c r="AB66" s="96"/>
      <c r="AC66" s="96"/>
      <c r="AD66" s="96"/>
    </row>
    <row r="67">
      <c r="A67" s="51" t="s">
        <v>984</v>
      </c>
      <c r="B67" s="103" t="s">
        <v>276</v>
      </c>
      <c r="C67" s="54" t="s">
        <v>570</v>
      </c>
      <c r="D67" s="66" t="s">
        <v>378</v>
      </c>
      <c r="E67" s="66" t="s">
        <v>7</v>
      </c>
      <c r="F67" s="109"/>
      <c r="G67" s="109">
        <v>46003.0</v>
      </c>
      <c r="H67" s="58">
        <v>0.0</v>
      </c>
      <c r="I67" s="66" t="s">
        <v>302</v>
      </c>
      <c r="J67" s="66" t="s">
        <v>692</v>
      </c>
      <c r="K67" s="66" t="s">
        <v>407</v>
      </c>
      <c r="L67" s="117" t="s">
        <v>990</v>
      </c>
      <c r="M67" s="108" t="s">
        <v>938</v>
      </c>
      <c r="N67" s="100">
        <v>46059.0</v>
      </c>
      <c r="O67" s="55" t="str">
        <f t="shared" si="1"/>
        <v>CONCLUÍDO</v>
      </c>
      <c r="P67" s="105" t="s">
        <v>939</v>
      </c>
      <c r="Q67" s="100">
        <v>46084.0</v>
      </c>
      <c r="R67" s="96"/>
      <c r="S67" s="96"/>
      <c r="T67" s="96"/>
      <c r="U67" s="96"/>
      <c r="V67" s="96"/>
      <c r="W67" s="96"/>
      <c r="X67" s="96"/>
      <c r="Y67" s="96"/>
      <c r="Z67" s="96"/>
      <c r="AA67" s="96"/>
      <c r="AB67" s="96"/>
      <c r="AC67" s="96"/>
      <c r="AD67" s="96"/>
    </row>
    <row r="68">
      <c r="A68" s="51" t="s">
        <v>996</v>
      </c>
      <c r="B68" s="103" t="s">
        <v>765</v>
      </c>
      <c r="C68" s="54" t="s">
        <v>570</v>
      </c>
      <c r="D68" s="66" t="s">
        <v>642</v>
      </c>
      <c r="E68" s="66" t="s">
        <v>769</v>
      </c>
      <c r="F68" s="109"/>
      <c r="G68" s="109">
        <v>46006.0</v>
      </c>
      <c r="H68" s="58">
        <v>0.0</v>
      </c>
      <c r="I68" s="66" t="s">
        <v>889</v>
      </c>
      <c r="J68" s="66" t="s">
        <v>772</v>
      </c>
      <c r="K68" s="66" t="s">
        <v>776</v>
      </c>
      <c r="L68" s="117" t="s">
        <v>922</v>
      </c>
      <c r="M68" s="108" t="s">
        <v>1002</v>
      </c>
      <c r="N68" s="100">
        <v>46083.0</v>
      </c>
      <c r="O68" s="55" t="str">
        <f t="shared" si="1"/>
        <v>VENCIDO</v>
      </c>
      <c r="P68" s="105"/>
      <c r="Q68" s="100"/>
      <c r="R68" s="96"/>
      <c r="S68" s="96"/>
      <c r="T68" s="96"/>
      <c r="U68" s="96"/>
      <c r="V68" s="96"/>
      <c r="W68" s="96"/>
      <c r="X68" s="96"/>
      <c r="Y68" s="96"/>
      <c r="Z68" s="96"/>
      <c r="AA68" s="96"/>
      <c r="AB68" s="96"/>
      <c r="AC68" s="96"/>
      <c r="AD68" s="96"/>
    </row>
    <row r="69">
      <c r="A69" s="51" t="s">
        <v>1008</v>
      </c>
      <c r="B69" s="103" t="s">
        <v>765</v>
      </c>
      <c r="C69" s="54" t="s">
        <v>570</v>
      </c>
      <c r="D69" s="66" t="s">
        <v>328</v>
      </c>
      <c r="E69" s="66" t="s">
        <v>769</v>
      </c>
      <c r="F69" s="109"/>
      <c r="G69" s="109">
        <v>46007.0</v>
      </c>
      <c r="H69" s="58">
        <v>0.0</v>
      </c>
      <c r="I69" s="66" t="s">
        <v>889</v>
      </c>
      <c r="J69" s="66" t="s">
        <v>772</v>
      </c>
      <c r="K69" s="66" t="s">
        <v>776</v>
      </c>
      <c r="L69" s="117" t="s">
        <v>922</v>
      </c>
      <c r="M69" s="108" t="s">
        <v>1012</v>
      </c>
      <c r="N69" s="100">
        <v>46083.0</v>
      </c>
      <c r="O69" s="55" t="str">
        <f t="shared" si="1"/>
        <v>VENCIDO</v>
      </c>
      <c r="P69" s="105"/>
      <c r="Q69" s="100"/>
      <c r="R69" s="96"/>
      <c r="S69" s="96"/>
      <c r="T69" s="96"/>
      <c r="U69" s="96"/>
      <c r="V69" s="96"/>
      <c r="W69" s="96"/>
      <c r="X69" s="96"/>
      <c r="Y69" s="96"/>
      <c r="Z69" s="96"/>
      <c r="AA69" s="96"/>
      <c r="AB69" s="96"/>
      <c r="AC69" s="96"/>
      <c r="AD69" s="96"/>
    </row>
    <row r="70">
      <c r="A70" s="51" t="s">
        <v>1015</v>
      </c>
      <c r="B70" s="103" t="s">
        <v>765</v>
      </c>
      <c r="C70" s="54" t="s">
        <v>570</v>
      </c>
      <c r="D70" s="66" t="s">
        <v>425</v>
      </c>
      <c r="E70" s="66" t="s">
        <v>769</v>
      </c>
      <c r="F70" s="109"/>
      <c r="G70" s="109">
        <v>46007.0</v>
      </c>
      <c r="H70" s="58">
        <v>0.0</v>
      </c>
      <c r="I70" s="66" t="s">
        <v>889</v>
      </c>
      <c r="J70" s="66" t="s">
        <v>772</v>
      </c>
      <c r="K70" s="66" t="s">
        <v>776</v>
      </c>
      <c r="L70" s="117" t="s">
        <v>990</v>
      </c>
      <c r="M70" s="108" t="s">
        <v>1018</v>
      </c>
      <c r="N70" s="100">
        <v>46083.0</v>
      </c>
      <c r="O70" s="55" t="str">
        <f t="shared" si="1"/>
        <v>VENCIDO</v>
      </c>
      <c r="P70" s="105"/>
      <c r="Q70" s="100"/>
      <c r="R70" s="96"/>
      <c r="S70" s="96"/>
      <c r="T70" s="96"/>
      <c r="U70" s="96"/>
      <c r="V70" s="96"/>
      <c r="W70" s="96"/>
      <c r="X70" s="96"/>
      <c r="Y70" s="96"/>
      <c r="Z70" s="96"/>
      <c r="AA70" s="96"/>
      <c r="AB70" s="96"/>
      <c r="AC70" s="96"/>
      <c r="AD70" s="96"/>
    </row>
    <row r="71">
      <c r="A71" s="51" t="s">
        <v>1019</v>
      </c>
      <c r="B71" s="103" t="s">
        <v>765</v>
      </c>
      <c r="C71" s="54" t="s">
        <v>570</v>
      </c>
      <c r="D71" s="66" t="s">
        <v>571</v>
      </c>
      <c r="E71" s="66" t="s">
        <v>708</v>
      </c>
      <c r="F71" s="109"/>
      <c r="G71" s="109">
        <v>46007.0</v>
      </c>
      <c r="H71" s="58">
        <v>0.0</v>
      </c>
      <c r="I71" s="66" t="s">
        <v>771</v>
      </c>
      <c r="J71" s="66" t="s">
        <v>772</v>
      </c>
      <c r="K71" s="66" t="s">
        <v>776</v>
      </c>
      <c r="L71" s="117" t="s">
        <v>1023</v>
      </c>
      <c r="M71" s="108" t="s">
        <v>250</v>
      </c>
      <c r="N71" s="100">
        <v>46083.0</v>
      </c>
      <c r="O71" s="55" t="str">
        <f t="shared" si="1"/>
        <v>VENCIDO</v>
      </c>
      <c r="P71" s="105"/>
      <c r="Q71" s="100"/>
      <c r="R71" s="96"/>
      <c r="S71" s="96"/>
      <c r="T71" s="96"/>
      <c r="U71" s="96"/>
      <c r="V71" s="96"/>
      <c r="W71" s="96"/>
      <c r="X71" s="96"/>
      <c r="Y71" s="96"/>
      <c r="Z71" s="96"/>
      <c r="AA71" s="96"/>
      <c r="AB71" s="96"/>
      <c r="AC71" s="96"/>
      <c r="AD71" s="96"/>
    </row>
    <row r="72">
      <c r="A72" s="51" t="s">
        <v>1025</v>
      </c>
      <c r="B72" s="103" t="s">
        <v>765</v>
      </c>
      <c r="C72" s="54" t="s">
        <v>570</v>
      </c>
      <c r="D72" s="66" t="s">
        <v>328</v>
      </c>
      <c r="E72" s="66" t="s">
        <v>7</v>
      </c>
      <c r="F72" s="109"/>
      <c r="G72" s="109">
        <v>46010.0</v>
      </c>
      <c r="H72" s="58">
        <v>0.0</v>
      </c>
      <c r="I72" s="66" t="s">
        <v>771</v>
      </c>
      <c r="J72" s="66" t="s">
        <v>772</v>
      </c>
      <c r="K72" s="66" t="s">
        <v>776</v>
      </c>
      <c r="L72" s="117" t="s">
        <v>1027</v>
      </c>
      <c r="M72" s="108" t="s">
        <v>1028</v>
      </c>
      <c r="N72" s="100">
        <v>46083.0</v>
      </c>
      <c r="O72" s="55" t="str">
        <f t="shared" si="1"/>
        <v>VENCIDO</v>
      </c>
      <c r="P72" s="105"/>
      <c r="Q72" s="100"/>
      <c r="R72" s="96"/>
      <c r="S72" s="96"/>
      <c r="T72" s="96"/>
      <c r="U72" s="96"/>
      <c r="V72" s="96"/>
      <c r="W72" s="96"/>
      <c r="X72" s="96"/>
      <c r="Y72" s="96"/>
      <c r="Z72" s="96"/>
      <c r="AA72" s="96"/>
      <c r="AB72" s="96"/>
      <c r="AC72" s="96"/>
      <c r="AD72" s="96"/>
    </row>
    <row r="73">
      <c r="A73" s="51" t="s">
        <v>1030</v>
      </c>
      <c r="B73" s="103" t="s">
        <v>276</v>
      </c>
      <c r="C73" s="54" t="s">
        <v>570</v>
      </c>
      <c r="D73" s="66" t="s">
        <v>768</v>
      </c>
      <c r="E73" s="66" t="s">
        <v>7</v>
      </c>
      <c r="F73" s="109"/>
      <c r="G73" s="109">
        <v>46020.0</v>
      </c>
      <c r="H73" s="58">
        <v>0.0</v>
      </c>
      <c r="I73" s="66" t="s">
        <v>302</v>
      </c>
      <c r="J73" s="66" t="s">
        <v>692</v>
      </c>
      <c r="K73" s="66" t="s">
        <v>407</v>
      </c>
      <c r="L73" s="117" t="s">
        <v>1032</v>
      </c>
      <c r="M73" s="108" t="s">
        <v>1033</v>
      </c>
      <c r="N73" s="100">
        <v>46059.0</v>
      </c>
      <c r="O73" s="55" t="str">
        <f t="shared" si="1"/>
        <v>CONCLUÍDO</v>
      </c>
      <c r="P73" s="98" t="s">
        <v>947</v>
      </c>
      <c r="Q73" s="100">
        <v>46059.0</v>
      </c>
      <c r="R73" s="96"/>
      <c r="S73" s="96"/>
      <c r="T73" s="96"/>
      <c r="U73" s="96"/>
      <c r="V73" s="96"/>
      <c r="W73" s="96"/>
      <c r="X73" s="96"/>
      <c r="Y73" s="96"/>
      <c r="Z73" s="96"/>
      <c r="AA73" s="96"/>
      <c r="AB73" s="96"/>
      <c r="AC73" s="96"/>
      <c r="AD73" s="96"/>
    </row>
    <row r="74">
      <c r="A74" s="51" t="s">
        <v>1035</v>
      </c>
      <c r="B74" s="103" t="s">
        <v>276</v>
      </c>
      <c r="C74" s="54" t="s">
        <v>570</v>
      </c>
      <c r="D74" s="66" t="s">
        <v>664</v>
      </c>
      <c r="E74" s="66" t="s">
        <v>769</v>
      </c>
      <c r="F74" s="109"/>
      <c r="G74" s="109">
        <v>46024.0</v>
      </c>
      <c r="H74" s="58">
        <v>0.0</v>
      </c>
      <c r="I74" s="66" t="s">
        <v>302</v>
      </c>
      <c r="J74" s="66" t="s">
        <v>277</v>
      </c>
      <c r="K74" s="66" t="s">
        <v>314</v>
      </c>
      <c r="L74" s="104" t="s">
        <v>870</v>
      </c>
      <c r="M74" s="108" t="s">
        <v>1036</v>
      </c>
      <c r="N74" s="100">
        <v>46084.0</v>
      </c>
      <c r="O74" s="55" t="str">
        <f t="shared" si="1"/>
        <v>CONCLUÍDO</v>
      </c>
      <c r="P74" s="105" t="s">
        <v>1037</v>
      </c>
      <c r="Q74" s="100">
        <v>46084.0</v>
      </c>
      <c r="R74" s="96"/>
      <c r="S74" s="96"/>
      <c r="T74" s="96"/>
      <c r="U74" s="96"/>
      <c r="V74" s="96"/>
      <c r="W74" s="96"/>
      <c r="X74" s="96"/>
      <c r="Y74" s="96"/>
      <c r="Z74" s="96"/>
      <c r="AA74" s="96"/>
      <c r="AB74" s="96"/>
      <c r="AC74" s="96"/>
      <c r="AD74" s="96"/>
    </row>
    <row r="75">
      <c r="A75" s="51" t="s">
        <v>1040</v>
      </c>
      <c r="B75" s="103" t="s">
        <v>276</v>
      </c>
      <c r="C75" s="54" t="s">
        <v>570</v>
      </c>
      <c r="D75" s="66" t="s">
        <v>328</v>
      </c>
      <c r="E75" s="66" t="s">
        <v>7</v>
      </c>
      <c r="F75" s="109"/>
      <c r="G75" s="109">
        <v>46028.0</v>
      </c>
      <c r="H75" s="58">
        <v>0.0</v>
      </c>
      <c r="I75" s="66" t="s">
        <v>302</v>
      </c>
      <c r="J75" s="66" t="s">
        <v>692</v>
      </c>
      <c r="K75" s="66" t="s">
        <v>407</v>
      </c>
      <c r="L75" s="117" t="s">
        <v>1041</v>
      </c>
      <c r="M75" s="108" t="s">
        <v>1042</v>
      </c>
      <c r="N75" s="100">
        <v>46059.0</v>
      </c>
      <c r="O75" s="55" t="str">
        <f t="shared" si="1"/>
        <v>CONCLUÍDO</v>
      </c>
      <c r="P75" s="97" t="s">
        <v>695</v>
      </c>
      <c r="Q75" s="82">
        <v>46034.0</v>
      </c>
      <c r="R75" s="96"/>
      <c r="S75" s="96"/>
      <c r="T75" s="96"/>
      <c r="U75" s="96"/>
      <c r="V75" s="96"/>
      <c r="W75" s="96"/>
      <c r="X75" s="96"/>
      <c r="Y75" s="96"/>
      <c r="Z75" s="96"/>
      <c r="AA75" s="96"/>
      <c r="AB75" s="96"/>
      <c r="AC75" s="96"/>
      <c r="AD75" s="96"/>
    </row>
    <row r="76">
      <c r="A76" s="51" t="s">
        <v>1044</v>
      </c>
      <c r="B76" s="103" t="s">
        <v>276</v>
      </c>
      <c r="C76" s="54" t="s">
        <v>570</v>
      </c>
      <c r="D76" s="66" t="s">
        <v>328</v>
      </c>
      <c r="E76" s="66" t="s">
        <v>7</v>
      </c>
      <c r="F76" s="109"/>
      <c r="G76" s="109">
        <v>46029.0</v>
      </c>
      <c r="H76" s="58">
        <v>0.0</v>
      </c>
      <c r="I76" s="66" t="s">
        <v>302</v>
      </c>
      <c r="J76" s="66" t="s">
        <v>692</v>
      </c>
      <c r="K76" s="66" t="s">
        <v>407</v>
      </c>
      <c r="L76" s="117" t="s">
        <v>1045</v>
      </c>
      <c r="M76" s="108" t="s">
        <v>693</v>
      </c>
      <c r="N76" s="100">
        <v>46059.0</v>
      </c>
      <c r="O76" s="55" t="str">
        <f t="shared" si="1"/>
        <v>CONCLUÍDO</v>
      </c>
      <c r="P76" s="97" t="s">
        <v>695</v>
      </c>
      <c r="Q76" s="82">
        <v>46034.0</v>
      </c>
      <c r="R76" s="96"/>
      <c r="S76" s="96"/>
      <c r="T76" s="96"/>
      <c r="U76" s="96"/>
      <c r="V76" s="96"/>
      <c r="W76" s="96"/>
      <c r="X76" s="96"/>
      <c r="Y76" s="96"/>
      <c r="Z76" s="96"/>
      <c r="AA76" s="96"/>
      <c r="AB76" s="96"/>
      <c r="AC76" s="96"/>
      <c r="AD76" s="96"/>
    </row>
    <row r="77">
      <c r="A77" s="85" t="s">
        <v>1047</v>
      </c>
      <c r="B77" s="103" t="s">
        <v>276</v>
      </c>
      <c r="C77" s="86" t="s">
        <v>277</v>
      </c>
      <c r="D77" s="66" t="s">
        <v>387</v>
      </c>
      <c r="E77" s="156" t="s">
        <v>1049</v>
      </c>
      <c r="F77" s="158"/>
      <c r="G77" s="161">
        <v>46034.0</v>
      </c>
      <c r="H77" s="58">
        <v>0.0</v>
      </c>
      <c r="I77" s="66" t="s">
        <v>302</v>
      </c>
      <c r="J77" s="66" t="s">
        <v>700</v>
      </c>
      <c r="K77" s="66" t="s">
        <v>314</v>
      </c>
      <c r="L77" s="117" t="s">
        <v>1051</v>
      </c>
      <c r="M77" s="162" t="s">
        <v>1052</v>
      </c>
      <c r="N77" s="100">
        <v>46036.0</v>
      </c>
      <c r="O77" s="55" t="str">
        <f t="shared" si="1"/>
        <v>CONCLUÍDO</v>
      </c>
      <c r="P77" s="105" t="s">
        <v>1054</v>
      </c>
      <c r="Q77" s="100">
        <v>46036.0</v>
      </c>
      <c r="R77" s="96"/>
      <c r="S77" s="96"/>
      <c r="T77" s="96"/>
      <c r="U77" s="96"/>
      <c r="V77" s="96"/>
      <c r="W77" s="96"/>
      <c r="X77" s="96"/>
      <c r="Y77" s="96"/>
      <c r="Z77" s="96"/>
      <c r="AA77" s="96"/>
      <c r="AB77" s="96"/>
      <c r="AC77" s="96"/>
      <c r="AD77" s="96"/>
    </row>
    <row r="78">
      <c r="A78" s="91"/>
      <c r="B78" s="103" t="s">
        <v>276</v>
      </c>
      <c r="C78" s="91"/>
      <c r="D78" s="66" t="s">
        <v>387</v>
      </c>
      <c r="E78" s="91"/>
      <c r="F78" s="158"/>
      <c r="G78" s="91"/>
      <c r="H78" s="58">
        <v>0.0</v>
      </c>
      <c r="I78" s="66" t="s">
        <v>302</v>
      </c>
      <c r="J78" s="66" t="s">
        <v>700</v>
      </c>
      <c r="K78" s="66" t="s">
        <v>314</v>
      </c>
      <c r="L78" s="117" t="s">
        <v>1051</v>
      </c>
      <c r="M78" s="66" t="s">
        <v>1056</v>
      </c>
      <c r="N78" s="100">
        <v>46036.0</v>
      </c>
      <c r="O78" s="55" t="str">
        <f t="shared" si="1"/>
        <v>CONCLUÍDO</v>
      </c>
      <c r="P78" s="105" t="s">
        <v>1054</v>
      </c>
      <c r="Q78" s="100">
        <v>46036.0</v>
      </c>
      <c r="R78" s="96"/>
      <c r="S78" s="96"/>
      <c r="T78" s="96"/>
      <c r="U78" s="96"/>
      <c r="V78" s="96"/>
      <c r="W78" s="96"/>
      <c r="X78" s="96"/>
      <c r="Y78" s="96"/>
      <c r="Z78" s="96"/>
      <c r="AA78" s="96"/>
      <c r="AB78" s="96"/>
      <c r="AC78" s="96"/>
      <c r="AD78" s="96"/>
    </row>
    <row r="79">
      <c r="A79" s="91"/>
      <c r="B79" s="103" t="s">
        <v>276</v>
      </c>
      <c r="C79" s="91"/>
      <c r="D79" s="66" t="s">
        <v>387</v>
      </c>
      <c r="E79" s="91"/>
      <c r="F79" s="158"/>
      <c r="G79" s="91"/>
      <c r="H79" s="58">
        <v>0.0</v>
      </c>
      <c r="I79" s="66" t="s">
        <v>302</v>
      </c>
      <c r="J79" s="66" t="s">
        <v>700</v>
      </c>
      <c r="K79" s="66" t="s">
        <v>314</v>
      </c>
      <c r="L79" s="117" t="s">
        <v>1051</v>
      </c>
      <c r="M79" s="66" t="s">
        <v>1059</v>
      </c>
      <c r="N79" s="100">
        <v>46036.0</v>
      </c>
      <c r="O79" s="55" t="str">
        <f t="shared" si="1"/>
        <v>CONCLUÍDO</v>
      </c>
      <c r="P79" s="105" t="s">
        <v>1054</v>
      </c>
      <c r="Q79" s="100">
        <v>46036.0</v>
      </c>
      <c r="R79" s="96"/>
      <c r="S79" s="96"/>
      <c r="T79" s="96"/>
      <c r="U79" s="96"/>
      <c r="V79" s="96"/>
      <c r="W79" s="96"/>
      <c r="X79" s="96"/>
      <c r="Y79" s="96"/>
      <c r="Z79" s="96"/>
      <c r="AA79" s="96"/>
      <c r="AB79" s="96"/>
      <c r="AC79" s="96"/>
      <c r="AD79" s="96"/>
    </row>
    <row r="80">
      <c r="A80" s="91"/>
      <c r="B80" s="103" t="s">
        <v>276</v>
      </c>
      <c r="C80" s="91"/>
      <c r="D80" s="66" t="s">
        <v>387</v>
      </c>
      <c r="E80" s="91"/>
      <c r="F80" s="158"/>
      <c r="G80" s="91"/>
      <c r="H80" s="58">
        <v>0.0</v>
      </c>
      <c r="I80" s="66" t="s">
        <v>302</v>
      </c>
      <c r="J80" s="66" t="s">
        <v>700</v>
      </c>
      <c r="K80" s="66" t="s">
        <v>314</v>
      </c>
      <c r="L80" s="117" t="s">
        <v>1051</v>
      </c>
      <c r="M80" s="66" t="s">
        <v>1062</v>
      </c>
      <c r="N80" s="100">
        <v>46036.0</v>
      </c>
      <c r="O80" s="55" t="str">
        <f t="shared" si="1"/>
        <v>CONCLUÍDO</v>
      </c>
      <c r="P80" s="105" t="s">
        <v>1054</v>
      </c>
      <c r="Q80" s="100">
        <v>46036.0</v>
      </c>
      <c r="R80" s="96"/>
      <c r="S80" s="96"/>
      <c r="T80" s="96"/>
      <c r="U80" s="96"/>
      <c r="V80" s="96"/>
      <c r="W80" s="96"/>
      <c r="X80" s="96"/>
      <c r="Y80" s="96"/>
      <c r="Z80" s="96"/>
      <c r="AA80" s="96"/>
      <c r="AB80" s="96"/>
      <c r="AC80" s="96"/>
      <c r="AD80" s="96"/>
    </row>
    <row r="81">
      <c r="A81" s="91"/>
      <c r="B81" s="103" t="s">
        <v>276</v>
      </c>
      <c r="C81" s="91"/>
      <c r="D81" s="66" t="s">
        <v>387</v>
      </c>
      <c r="E81" s="91"/>
      <c r="F81" s="158"/>
      <c r="G81" s="91"/>
      <c r="H81" s="58">
        <v>0.0</v>
      </c>
      <c r="I81" s="66" t="s">
        <v>302</v>
      </c>
      <c r="J81" s="66" t="s">
        <v>700</v>
      </c>
      <c r="K81" s="66" t="s">
        <v>314</v>
      </c>
      <c r="L81" s="117" t="s">
        <v>1051</v>
      </c>
      <c r="M81" s="66" t="s">
        <v>1064</v>
      </c>
      <c r="N81" s="100">
        <v>46036.0</v>
      </c>
      <c r="O81" s="55" t="str">
        <f t="shared" si="1"/>
        <v>CONCLUÍDO</v>
      </c>
      <c r="P81" s="105" t="s">
        <v>1054</v>
      </c>
      <c r="Q81" s="100">
        <v>46036.0</v>
      </c>
      <c r="R81" s="96"/>
      <c r="S81" s="96"/>
      <c r="T81" s="96"/>
      <c r="U81" s="96"/>
      <c r="V81" s="96"/>
      <c r="W81" s="96"/>
      <c r="X81" s="96"/>
      <c r="Y81" s="96"/>
      <c r="Z81" s="96"/>
      <c r="AA81" s="96"/>
      <c r="AB81" s="96"/>
      <c r="AC81" s="96"/>
      <c r="AD81" s="96"/>
    </row>
    <row r="82">
      <c r="A82" s="91"/>
      <c r="B82" s="103" t="s">
        <v>276</v>
      </c>
      <c r="C82" s="91"/>
      <c r="D82" s="66" t="s">
        <v>387</v>
      </c>
      <c r="E82" s="91"/>
      <c r="F82" s="158"/>
      <c r="G82" s="91"/>
      <c r="H82" s="58">
        <v>0.0</v>
      </c>
      <c r="I82" s="66" t="s">
        <v>302</v>
      </c>
      <c r="J82" s="66" t="s">
        <v>700</v>
      </c>
      <c r="K82" s="66" t="s">
        <v>314</v>
      </c>
      <c r="L82" s="117" t="s">
        <v>1051</v>
      </c>
      <c r="M82" s="66" t="s">
        <v>1067</v>
      </c>
      <c r="N82" s="100">
        <v>46036.0</v>
      </c>
      <c r="O82" s="55" t="str">
        <f t="shared" si="1"/>
        <v>CONCLUÍDO</v>
      </c>
      <c r="P82" s="105" t="s">
        <v>1054</v>
      </c>
      <c r="Q82" s="100">
        <v>46036.0</v>
      </c>
      <c r="R82" s="96"/>
      <c r="S82" s="96"/>
      <c r="T82" s="96"/>
      <c r="U82" s="96"/>
      <c r="V82" s="96"/>
      <c r="W82" s="96"/>
      <c r="X82" s="96"/>
      <c r="Y82" s="96"/>
      <c r="Z82" s="96"/>
      <c r="AA82" s="96"/>
      <c r="AB82" s="96"/>
      <c r="AC82" s="96"/>
      <c r="AD82" s="96"/>
    </row>
    <row r="83">
      <c r="A83" s="93"/>
      <c r="B83" s="103" t="s">
        <v>276</v>
      </c>
      <c r="C83" s="93"/>
      <c r="D83" s="66" t="s">
        <v>387</v>
      </c>
      <c r="E83" s="93"/>
      <c r="F83" s="158"/>
      <c r="G83" s="93"/>
      <c r="H83" s="58">
        <v>0.0</v>
      </c>
      <c r="I83" s="66" t="s">
        <v>302</v>
      </c>
      <c r="J83" s="66" t="s">
        <v>700</v>
      </c>
      <c r="K83" s="66" t="s">
        <v>314</v>
      </c>
      <c r="L83" s="117" t="s">
        <v>1051</v>
      </c>
      <c r="M83" s="66" t="s">
        <v>1071</v>
      </c>
      <c r="N83" s="100">
        <v>46036.0</v>
      </c>
      <c r="O83" s="55" t="str">
        <f t="shared" si="1"/>
        <v>CONCLUÍDO</v>
      </c>
      <c r="P83" s="105" t="s">
        <v>1054</v>
      </c>
      <c r="Q83" s="100">
        <v>46059.0</v>
      </c>
      <c r="R83" s="96"/>
      <c r="S83" s="96"/>
      <c r="T83" s="96"/>
      <c r="U83" s="96"/>
      <c r="V83" s="96"/>
      <c r="W83" s="96"/>
      <c r="X83" s="96"/>
      <c r="Y83" s="96"/>
      <c r="Z83" s="96"/>
      <c r="AA83" s="96"/>
      <c r="AB83" s="96"/>
      <c r="AC83" s="96"/>
      <c r="AD83" s="96"/>
    </row>
    <row r="84">
      <c r="A84" s="51" t="s">
        <v>1072</v>
      </c>
      <c r="B84" s="103" t="s">
        <v>276</v>
      </c>
      <c r="C84" s="54" t="s">
        <v>570</v>
      </c>
      <c r="D84" s="66" t="s">
        <v>328</v>
      </c>
      <c r="E84" s="66" t="s">
        <v>7</v>
      </c>
      <c r="F84" s="109"/>
      <c r="G84" s="109">
        <v>46029.0</v>
      </c>
      <c r="H84" s="58">
        <v>0.0</v>
      </c>
      <c r="I84" s="66" t="s">
        <v>302</v>
      </c>
      <c r="J84" s="66" t="s">
        <v>692</v>
      </c>
      <c r="K84" s="66" t="s">
        <v>407</v>
      </c>
      <c r="L84" s="117" t="s">
        <v>1076</v>
      </c>
      <c r="M84" s="108" t="s">
        <v>1077</v>
      </c>
      <c r="N84" s="100">
        <v>46059.0</v>
      </c>
      <c r="O84" s="55" t="str">
        <f t="shared" si="1"/>
        <v>CONCLUÍDO</v>
      </c>
      <c r="P84" s="105" t="s">
        <v>1078</v>
      </c>
      <c r="Q84" s="100">
        <v>46049.0</v>
      </c>
      <c r="R84" s="96"/>
      <c r="S84" s="96"/>
      <c r="T84" s="96"/>
      <c r="U84" s="96"/>
      <c r="V84" s="96"/>
      <c r="W84" s="96"/>
      <c r="X84" s="96"/>
      <c r="Y84" s="96"/>
      <c r="Z84" s="96"/>
      <c r="AA84" s="96"/>
      <c r="AB84" s="96"/>
      <c r="AC84" s="96"/>
      <c r="AD84" s="96"/>
    </row>
    <row r="85">
      <c r="A85" s="51" t="s">
        <v>1080</v>
      </c>
      <c r="B85" s="103" t="s">
        <v>276</v>
      </c>
      <c r="C85" s="54" t="s">
        <v>570</v>
      </c>
      <c r="D85" s="66" t="s">
        <v>230</v>
      </c>
      <c r="E85" s="66" t="s">
        <v>769</v>
      </c>
      <c r="F85" s="100"/>
      <c r="G85" s="100">
        <v>46031.0</v>
      </c>
      <c r="H85" s="58">
        <v>0.0</v>
      </c>
      <c r="I85" s="66" t="s">
        <v>302</v>
      </c>
      <c r="J85" s="66" t="s">
        <v>570</v>
      </c>
      <c r="K85" s="66" t="s">
        <v>407</v>
      </c>
      <c r="L85" s="104" t="s">
        <v>1082</v>
      </c>
      <c r="M85" s="66"/>
      <c r="N85" s="100">
        <v>46038.0</v>
      </c>
      <c r="O85" s="55" t="str">
        <f t="shared" si="1"/>
        <v>CONCLUÍDO</v>
      </c>
      <c r="P85" s="105" t="s">
        <v>1083</v>
      </c>
      <c r="Q85" s="100">
        <v>46036.0</v>
      </c>
      <c r="R85" s="96"/>
      <c r="S85" s="96"/>
      <c r="T85" s="96"/>
      <c r="U85" s="96"/>
      <c r="V85" s="96"/>
      <c r="W85" s="96"/>
      <c r="X85" s="96"/>
      <c r="Y85" s="96"/>
      <c r="Z85" s="96"/>
      <c r="AA85" s="96"/>
      <c r="AB85" s="96"/>
      <c r="AC85" s="96"/>
      <c r="AD85" s="96"/>
    </row>
    <row r="86">
      <c r="A86" s="51" t="s">
        <v>1084</v>
      </c>
      <c r="B86" s="103" t="s">
        <v>276</v>
      </c>
      <c r="C86" s="54" t="s">
        <v>570</v>
      </c>
      <c r="D86" s="66" t="s">
        <v>230</v>
      </c>
      <c r="E86" s="66" t="s">
        <v>769</v>
      </c>
      <c r="F86" s="100"/>
      <c r="G86" s="100">
        <v>46031.0</v>
      </c>
      <c r="H86" s="58">
        <v>0.0</v>
      </c>
      <c r="I86" s="66" t="s">
        <v>302</v>
      </c>
      <c r="J86" s="66" t="s">
        <v>570</v>
      </c>
      <c r="K86" s="66" t="s">
        <v>407</v>
      </c>
      <c r="L86" s="104" t="s">
        <v>1086</v>
      </c>
      <c r="M86" s="66"/>
      <c r="N86" s="100">
        <v>46038.0</v>
      </c>
      <c r="O86" s="55" t="str">
        <f t="shared" si="1"/>
        <v>CONCLUÍDO</v>
      </c>
      <c r="P86" s="105" t="s">
        <v>1088</v>
      </c>
      <c r="Q86" s="100">
        <v>46038.0</v>
      </c>
      <c r="R86" s="96"/>
      <c r="S86" s="96"/>
      <c r="T86" s="96"/>
      <c r="U86" s="96"/>
      <c r="V86" s="96"/>
      <c r="W86" s="96"/>
      <c r="X86" s="96"/>
      <c r="Y86" s="96"/>
      <c r="Z86" s="96"/>
      <c r="AA86" s="96"/>
      <c r="AB86" s="96"/>
      <c r="AC86" s="96"/>
      <c r="AD86" s="96"/>
    </row>
    <row r="87">
      <c r="A87" s="51" t="s">
        <v>1090</v>
      </c>
      <c r="B87" s="103" t="s">
        <v>276</v>
      </c>
      <c r="C87" s="54" t="s">
        <v>277</v>
      </c>
      <c r="D87" s="66" t="s">
        <v>230</v>
      </c>
      <c r="E87" s="66" t="s">
        <v>1092</v>
      </c>
      <c r="F87" s="100"/>
      <c r="G87" s="100">
        <v>46031.0</v>
      </c>
      <c r="H87" s="58">
        <v>0.0</v>
      </c>
      <c r="I87" s="66" t="s">
        <v>302</v>
      </c>
      <c r="J87" s="66" t="s">
        <v>277</v>
      </c>
      <c r="K87" s="66" t="s">
        <v>314</v>
      </c>
      <c r="L87" s="104" t="s">
        <v>1093</v>
      </c>
      <c r="M87" s="66"/>
      <c r="N87" s="100">
        <v>46038.0</v>
      </c>
      <c r="O87" s="55" t="str">
        <f t="shared" si="1"/>
        <v>CONCLUÍDO</v>
      </c>
      <c r="P87" s="105" t="s">
        <v>1095</v>
      </c>
      <c r="Q87" s="100">
        <v>46038.0</v>
      </c>
      <c r="R87" s="96"/>
      <c r="S87" s="96"/>
      <c r="T87" s="96"/>
      <c r="U87" s="96"/>
      <c r="V87" s="96"/>
      <c r="W87" s="96"/>
      <c r="X87" s="96"/>
      <c r="Y87" s="96"/>
      <c r="Z87" s="96"/>
      <c r="AA87" s="96"/>
      <c r="AB87" s="96"/>
      <c r="AC87" s="96"/>
      <c r="AD87" s="96"/>
    </row>
    <row r="88">
      <c r="A88" s="51" t="s">
        <v>1096</v>
      </c>
      <c r="B88" s="103" t="s">
        <v>276</v>
      </c>
      <c r="C88" s="54" t="s">
        <v>277</v>
      </c>
      <c r="D88" s="66" t="s">
        <v>230</v>
      </c>
      <c r="E88" s="66" t="s">
        <v>1092</v>
      </c>
      <c r="F88" s="100"/>
      <c r="G88" s="100">
        <v>46031.0</v>
      </c>
      <c r="H88" s="58">
        <v>0.0</v>
      </c>
      <c r="I88" s="66" t="s">
        <v>302</v>
      </c>
      <c r="J88" s="66" t="s">
        <v>772</v>
      </c>
      <c r="K88" s="66" t="s">
        <v>776</v>
      </c>
      <c r="L88" s="104" t="s">
        <v>1098</v>
      </c>
      <c r="M88" s="178"/>
      <c r="N88" s="178">
        <v>46081.0</v>
      </c>
      <c r="O88" s="55" t="str">
        <f t="shared" si="1"/>
        <v>CONCLUÍDO</v>
      </c>
      <c r="P88" s="105" t="s">
        <v>1100</v>
      </c>
      <c r="Q88" s="100">
        <v>46037.0</v>
      </c>
      <c r="R88" s="96"/>
      <c r="S88" s="96"/>
      <c r="T88" s="96"/>
      <c r="U88" s="96"/>
      <c r="V88" s="96"/>
      <c r="W88" s="96"/>
      <c r="X88" s="96"/>
      <c r="Y88" s="96"/>
      <c r="Z88" s="96"/>
      <c r="AA88" s="96"/>
      <c r="AB88" s="96"/>
      <c r="AC88" s="96"/>
      <c r="AD88" s="96"/>
    </row>
    <row r="89">
      <c r="A89" s="51" t="s">
        <v>1102</v>
      </c>
      <c r="B89" s="103" t="s">
        <v>276</v>
      </c>
      <c r="C89" s="54" t="s">
        <v>570</v>
      </c>
      <c r="D89" s="66" t="s">
        <v>328</v>
      </c>
      <c r="E89" s="66" t="s">
        <v>1103</v>
      </c>
      <c r="F89" s="100"/>
      <c r="G89" s="100">
        <v>46035.0</v>
      </c>
      <c r="H89" s="58">
        <v>0.0</v>
      </c>
      <c r="I89" s="66" t="s">
        <v>302</v>
      </c>
      <c r="J89" s="66" t="s">
        <v>570</v>
      </c>
      <c r="K89" s="66" t="s">
        <v>407</v>
      </c>
      <c r="L89" s="104" t="s">
        <v>1105</v>
      </c>
      <c r="M89" s="66" t="s">
        <v>1106</v>
      </c>
      <c r="N89" s="100">
        <v>46038.0</v>
      </c>
      <c r="O89" s="55" t="str">
        <f t="shared" si="1"/>
        <v>CONCLUÍDO</v>
      </c>
      <c r="P89" s="105" t="s">
        <v>1107</v>
      </c>
      <c r="Q89" s="100">
        <v>46035.0</v>
      </c>
      <c r="R89" s="96"/>
      <c r="S89" s="96"/>
      <c r="T89" s="96"/>
      <c r="U89" s="96"/>
      <c r="V89" s="96"/>
      <c r="W89" s="96"/>
      <c r="X89" s="96"/>
      <c r="Y89" s="96"/>
      <c r="Z89" s="96"/>
      <c r="AA89" s="96"/>
      <c r="AB89" s="96"/>
      <c r="AC89" s="96"/>
      <c r="AD89" s="96"/>
    </row>
    <row r="90">
      <c r="A90" s="51" t="s">
        <v>1109</v>
      </c>
      <c r="B90" s="103" t="s">
        <v>276</v>
      </c>
      <c r="C90" s="54" t="s">
        <v>570</v>
      </c>
      <c r="D90" s="66" t="s">
        <v>328</v>
      </c>
      <c r="E90" s="66" t="s">
        <v>7</v>
      </c>
      <c r="F90" s="100"/>
      <c r="G90" s="100">
        <v>46035.0</v>
      </c>
      <c r="H90" s="58">
        <v>0.0</v>
      </c>
      <c r="I90" s="66" t="s">
        <v>302</v>
      </c>
      <c r="J90" s="66" t="s">
        <v>692</v>
      </c>
      <c r="K90" s="66" t="s">
        <v>407</v>
      </c>
      <c r="L90" s="104" t="s">
        <v>1105</v>
      </c>
      <c r="M90" s="66" t="s">
        <v>693</v>
      </c>
      <c r="N90" s="100">
        <v>46038.0</v>
      </c>
      <c r="O90" s="55" t="str">
        <f t="shared" si="1"/>
        <v>CONCLUÍDO</v>
      </c>
      <c r="P90" s="105" t="s">
        <v>1113</v>
      </c>
      <c r="Q90" s="100">
        <v>46036.0</v>
      </c>
      <c r="R90" s="96"/>
      <c r="S90" s="96"/>
      <c r="T90" s="96"/>
      <c r="U90" s="96"/>
      <c r="V90" s="96"/>
      <c r="W90" s="96"/>
      <c r="X90" s="96"/>
      <c r="Y90" s="96"/>
      <c r="Z90" s="96"/>
      <c r="AA90" s="96"/>
      <c r="AB90" s="96"/>
      <c r="AC90" s="96"/>
      <c r="AD90" s="96"/>
    </row>
    <row r="91">
      <c r="A91" s="51" t="s">
        <v>1115</v>
      </c>
      <c r="B91" s="103" t="s">
        <v>276</v>
      </c>
      <c r="C91" s="54" t="s">
        <v>570</v>
      </c>
      <c r="D91" s="66" t="s">
        <v>328</v>
      </c>
      <c r="E91" s="66" t="s">
        <v>7</v>
      </c>
      <c r="F91" s="100"/>
      <c r="G91" s="100">
        <v>46035.0</v>
      </c>
      <c r="H91" s="58">
        <v>0.0</v>
      </c>
      <c r="I91" s="66" t="s">
        <v>302</v>
      </c>
      <c r="J91" s="66" t="s">
        <v>692</v>
      </c>
      <c r="K91" s="66" t="s">
        <v>407</v>
      </c>
      <c r="L91" s="104" t="s">
        <v>1105</v>
      </c>
      <c r="M91" s="66" t="s">
        <v>1118</v>
      </c>
      <c r="N91" s="100">
        <v>46038.0</v>
      </c>
      <c r="O91" s="55" t="str">
        <f t="shared" si="1"/>
        <v>CONCLUÍDO</v>
      </c>
      <c r="P91" s="105" t="s">
        <v>1113</v>
      </c>
      <c r="Q91" s="100">
        <v>46036.0</v>
      </c>
      <c r="R91" s="96"/>
      <c r="S91" s="96"/>
      <c r="T91" s="96"/>
      <c r="U91" s="96"/>
      <c r="V91" s="96"/>
      <c r="W91" s="96"/>
      <c r="X91" s="96"/>
      <c r="Y91" s="96"/>
      <c r="Z91" s="96"/>
      <c r="AA91" s="96"/>
      <c r="AB91" s="96"/>
      <c r="AC91" s="96"/>
      <c r="AD91" s="96"/>
    </row>
    <row r="92">
      <c r="A92" s="51" t="s">
        <v>1124</v>
      </c>
      <c r="B92" s="103" t="s">
        <v>276</v>
      </c>
      <c r="C92" s="54" t="s">
        <v>277</v>
      </c>
      <c r="D92" s="66" t="s">
        <v>328</v>
      </c>
      <c r="E92" s="66" t="s">
        <v>708</v>
      </c>
      <c r="F92" s="100"/>
      <c r="G92" s="100">
        <v>46035.0</v>
      </c>
      <c r="H92" s="58">
        <v>0.0</v>
      </c>
      <c r="I92" s="66" t="s">
        <v>302</v>
      </c>
      <c r="J92" s="66" t="s">
        <v>570</v>
      </c>
      <c r="K92" s="66" t="s">
        <v>407</v>
      </c>
      <c r="L92" s="104" t="s">
        <v>1105</v>
      </c>
      <c r="M92" s="66" t="s">
        <v>566</v>
      </c>
      <c r="N92" s="100">
        <v>46038.0</v>
      </c>
      <c r="O92" s="55" t="str">
        <f t="shared" si="1"/>
        <v>CONCLUÍDO</v>
      </c>
      <c r="P92" s="105" t="s">
        <v>1126</v>
      </c>
      <c r="Q92" s="100">
        <v>46035.0</v>
      </c>
      <c r="R92" s="96"/>
      <c r="S92" s="96"/>
      <c r="T92" s="96"/>
      <c r="U92" s="96"/>
      <c r="V92" s="96"/>
      <c r="W92" s="96"/>
      <c r="X92" s="96"/>
      <c r="Y92" s="96"/>
      <c r="Z92" s="96"/>
      <c r="AA92" s="96"/>
      <c r="AB92" s="96"/>
      <c r="AC92" s="96"/>
      <c r="AD92" s="96"/>
    </row>
    <row r="93">
      <c r="A93" s="51" t="s">
        <v>1129</v>
      </c>
      <c r="B93" s="103" t="s">
        <v>276</v>
      </c>
      <c r="C93" s="54" t="s">
        <v>570</v>
      </c>
      <c r="D93" s="66" t="s">
        <v>571</v>
      </c>
      <c r="E93" s="66" t="s">
        <v>769</v>
      </c>
      <c r="F93" s="100"/>
      <c r="G93" s="100">
        <v>46035.0</v>
      </c>
      <c r="H93" s="58">
        <v>0.0</v>
      </c>
      <c r="I93" s="66" t="s">
        <v>302</v>
      </c>
      <c r="J93" s="104" t="s">
        <v>473</v>
      </c>
      <c r="K93" s="66" t="s">
        <v>474</v>
      </c>
      <c r="L93" s="104" t="s">
        <v>1131</v>
      </c>
      <c r="M93" s="66"/>
      <c r="N93" s="100">
        <v>46059.0</v>
      </c>
      <c r="O93" s="55" t="str">
        <f t="shared" si="1"/>
        <v>CONCLUÍDO</v>
      </c>
      <c r="P93" s="105"/>
      <c r="Q93" s="100">
        <v>46057.0</v>
      </c>
      <c r="R93" s="96"/>
      <c r="S93" s="96"/>
      <c r="T93" s="96"/>
      <c r="U93" s="96"/>
      <c r="V93" s="96"/>
      <c r="W93" s="96"/>
      <c r="X93" s="96"/>
      <c r="Y93" s="96"/>
      <c r="Z93" s="96"/>
      <c r="AA93" s="96"/>
      <c r="AB93" s="96"/>
      <c r="AC93" s="96"/>
      <c r="AD93" s="96"/>
    </row>
    <row r="94">
      <c r="A94" s="51" t="s">
        <v>1132</v>
      </c>
      <c r="B94" s="103" t="s">
        <v>276</v>
      </c>
      <c r="C94" s="54" t="s">
        <v>277</v>
      </c>
      <c r="D94" s="66" t="s">
        <v>328</v>
      </c>
      <c r="E94" s="66" t="s">
        <v>487</v>
      </c>
      <c r="F94" s="100"/>
      <c r="G94" s="100">
        <v>46035.0</v>
      </c>
      <c r="H94" s="58">
        <v>0.0</v>
      </c>
      <c r="I94" s="66" t="s">
        <v>302</v>
      </c>
      <c r="J94" s="66" t="s">
        <v>277</v>
      </c>
      <c r="K94" s="66" t="s">
        <v>314</v>
      </c>
      <c r="L94" s="104" t="s">
        <v>1134</v>
      </c>
      <c r="M94" s="66" t="s">
        <v>490</v>
      </c>
      <c r="N94" s="100">
        <v>46035.0</v>
      </c>
      <c r="O94" s="55" t="str">
        <f t="shared" si="1"/>
        <v>CONCLUÍDO</v>
      </c>
      <c r="P94" s="105" t="s">
        <v>1136</v>
      </c>
      <c r="Q94" s="100">
        <v>46035.0</v>
      </c>
      <c r="R94" s="96"/>
      <c r="S94" s="96"/>
      <c r="T94" s="96"/>
      <c r="U94" s="96"/>
      <c r="V94" s="96"/>
      <c r="W94" s="96"/>
      <c r="X94" s="96"/>
      <c r="Y94" s="96"/>
      <c r="Z94" s="96"/>
      <c r="AA94" s="96"/>
      <c r="AB94" s="96"/>
      <c r="AC94" s="96"/>
      <c r="AD94" s="96"/>
    </row>
    <row r="95">
      <c r="A95" s="51" t="s">
        <v>1137</v>
      </c>
      <c r="B95" s="103" t="s">
        <v>276</v>
      </c>
      <c r="C95" s="54" t="s">
        <v>277</v>
      </c>
      <c r="D95" s="66" t="s">
        <v>328</v>
      </c>
      <c r="E95" s="66" t="s">
        <v>730</v>
      </c>
      <c r="F95" s="100"/>
      <c r="G95" s="100">
        <v>46035.0</v>
      </c>
      <c r="H95" s="58">
        <v>0.0</v>
      </c>
      <c r="I95" s="66" t="s">
        <v>302</v>
      </c>
      <c r="J95" s="66" t="s">
        <v>277</v>
      </c>
      <c r="K95" s="66" t="s">
        <v>314</v>
      </c>
      <c r="L95" s="104" t="s">
        <v>1139</v>
      </c>
      <c r="M95" s="66"/>
      <c r="N95" s="100">
        <v>46035.0</v>
      </c>
      <c r="O95" s="55" t="str">
        <f t="shared" si="1"/>
        <v>CONCLUÍDO</v>
      </c>
      <c r="P95" s="105" t="s">
        <v>1141</v>
      </c>
      <c r="Q95" s="100">
        <v>46035.0</v>
      </c>
      <c r="R95" s="96"/>
      <c r="S95" s="96"/>
      <c r="T95" s="96"/>
      <c r="U95" s="96"/>
      <c r="V95" s="96"/>
      <c r="W95" s="96"/>
      <c r="X95" s="96"/>
      <c r="Y95" s="96"/>
      <c r="Z95" s="96"/>
      <c r="AA95" s="96"/>
      <c r="AB95" s="96"/>
      <c r="AC95" s="96"/>
      <c r="AD95" s="96"/>
    </row>
    <row r="96">
      <c r="A96" s="51" t="s">
        <v>1142</v>
      </c>
      <c r="B96" s="103" t="s">
        <v>276</v>
      </c>
      <c r="C96" s="54" t="s">
        <v>570</v>
      </c>
      <c r="D96" s="66" t="s">
        <v>498</v>
      </c>
      <c r="E96" s="66" t="s">
        <v>769</v>
      </c>
      <c r="F96" s="100"/>
      <c r="G96" s="100">
        <v>46035.0</v>
      </c>
      <c r="H96" s="58">
        <v>0.0</v>
      </c>
      <c r="I96" s="66" t="s">
        <v>302</v>
      </c>
      <c r="J96" s="66" t="s">
        <v>811</v>
      </c>
      <c r="K96" s="66" t="s">
        <v>314</v>
      </c>
      <c r="L96" s="104" t="s">
        <v>1144</v>
      </c>
      <c r="M96" s="66" t="s">
        <v>1145</v>
      </c>
      <c r="N96" s="100"/>
      <c r="O96" s="55" t="str">
        <f t="shared" si="1"/>
        <v>SEM DATA APONTADA</v>
      </c>
      <c r="P96" s="105" t="s">
        <v>1147</v>
      </c>
      <c r="Q96" s="100">
        <v>46048.0</v>
      </c>
      <c r="R96" s="96"/>
      <c r="S96" s="96"/>
      <c r="T96" s="96"/>
      <c r="U96" s="96"/>
      <c r="V96" s="96"/>
      <c r="W96" s="96"/>
      <c r="X96" s="96"/>
      <c r="Y96" s="96"/>
      <c r="Z96" s="96"/>
      <c r="AA96" s="96"/>
      <c r="AB96" s="96"/>
      <c r="AC96" s="96"/>
      <c r="AD96" s="96"/>
    </row>
    <row r="97">
      <c r="A97" s="51" t="s">
        <v>1148</v>
      </c>
      <c r="B97" s="103" t="s">
        <v>276</v>
      </c>
      <c r="C97" s="54" t="s">
        <v>570</v>
      </c>
      <c r="D97" s="66" t="s">
        <v>498</v>
      </c>
      <c r="E97" s="66" t="s">
        <v>769</v>
      </c>
      <c r="F97" s="100"/>
      <c r="G97" s="100">
        <v>46035.0</v>
      </c>
      <c r="H97" s="58">
        <v>0.0</v>
      </c>
      <c r="I97" s="66" t="s">
        <v>302</v>
      </c>
      <c r="J97" s="66" t="s">
        <v>811</v>
      </c>
      <c r="K97" s="66" t="s">
        <v>314</v>
      </c>
      <c r="L97" s="104" t="s">
        <v>1144</v>
      </c>
      <c r="M97" s="66" t="s">
        <v>827</v>
      </c>
      <c r="N97" s="100"/>
      <c r="O97" s="55" t="str">
        <f t="shared" si="1"/>
        <v>SEM DATA APONTADA</v>
      </c>
      <c r="P97" s="105" t="s">
        <v>1147</v>
      </c>
      <c r="Q97" s="100">
        <v>46048.0</v>
      </c>
      <c r="R97" s="96"/>
      <c r="S97" s="96"/>
      <c r="T97" s="96"/>
      <c r="U97" s="96"/>
      <c r="V97" s="96"/>
      <c r="W97" s="96"/>
      <c r="X97" s="96"/>
      <c r="Y97" s="96"/>
      <c r="Z97" s="96"/>
      <c r="AA97" s="96"/>
      <c r="AB97" s="96"/>
      <c r="AC97" s="96"/>
      <c r="AD97" s="96"/>
    </row>
    <row r="98">
      <c r="A98" s="51" t="s">
        <v>1153</v>
      </c>
      <c r="B98" s="103" t="s">
        <v>276</v>
      </c>
      <c r="C98" s="54" t="s">
        <v>570</v>
      </c>
      <c r="D98" s="66" t="s">
        <v>498</v>
      </c>
      <c r="E98" s="66" t="s">
        <v>769</v>
      </c>
      <c r="F98" s="100"/>
      <c r="G98" s="100">
        <v>46035.0</v>
      </c>
      <c r="H98" s="58">
        <v>0.0</v>
      </c>
      <c r="I98" s="66" t="s">
        <v>302</v>
      </c>
      <c r="J98" s="66" t="s">
        <v>811</v>
      </c>
      <c r="K98" s="66" t="s">
        <v>314</v>
      </c>
      <c r="L98" s="104" t="s">
        <v>1144</v>
      </c>
      <c r="M98" s="66" t="s">
        <v>1155</v>
      </c>
      <c r="N98" s="100"/>
      <c r="O98" s="55" t="str">
        <f t="shared" si="1"/>
        <v>SEM DATA APONTADA</v>
      </c>
      <c r="P98" s="187" t="s">
        <v>1147</v>
      </c>
      <c r="Q98" s="100">
        <v>46048.0</v>
      </c>
      <c r="R98" s="96"/>
      <c r="S98" s="96"/>
      <c r="T98" s="96"/>
      <c r="U98" s="96"/>
      <c r="V98" s="96"/>
      <c r="W98" s="96"/>
      <c r="X98" s="96"/>
      <c r="Y98" s="96"/>
      <c r="Z98" s="96"/>
      <c r="AA98" s="96"/>
      <c r="AB98" s="96"/>
      <c r="AC98" s="96"/>
      <c r="AD98" s="96"/>
    </row>
    <row r="99">
      <c r="A99" s="51" t="s">
        <v>1158</v>
      </c>
      <c r="B99" s="103" t="s">
        <v>276</v>
      </c>
      <c r="C99" s="54" t="s">
        <v>570</v>
      </c>
      <c r="D99" s="66" t="s">
        <v>498</v>
      </c>
      <c r="E99" s="66" t="s">
        <v>769</v>
      </c>
      <c r="F99" s="100"/>
      <c r="G99" s="100">
        <v>46035.0</v>
      </c>
      <c r="H99" s="58">
        <v>0.0</v>
      </c>
      <c r="I99" s="66" t="s">
        <v>302</v>
      </c>
      <c r="J99" s="66" t="s">
        <v>811</v>
      </c>
      <c r="K99" s="66" t="s">
        <v>314</v>
      </c>
      <c r="L99" s="104" t="s">
        <v>1144</v>
      </c>
      <c r="M99" s="66" t="s">
        <v>1159</v>
      </c>
      <c r="N99" s="100"/>
      <c r="O99" s="55" t="str">
        <f t="shared" si="1"/>
        <v>SEM DATA APONTADA</v>
      </c>
      <c r="P99" s="105" t="s">
        <v>1147</v>
      </c>
      <c r="Q99" s="100">
        <v>46048.0</v>
      </c>
      <c r="R99" s="96"/>
      <c r="S99" s="96"/>
      <c r="T99" s="96"/>
      <c r="U99" s="96"/>
      <c r="V99" s="96"/>
      <c r="W99" s="96"/>
      <c r="X99" s="96"/>
      <c r="Y99" s="96"/>
      <c r="Z99" s="96"/>
      <c r="AA99" s="96"/>
      <c r="AB99" s="96"/>
      <c r="AC99" s="96"/>
      <c r="AD99" s="96"/>
    </row>
    <row r="100">
      <c r="A100" s="51" t="s">
        <v>1161</v>
      </c>
      <c r="B100" s="103" t="s">
        <v>276</v>
      </c>
      <c r="C100" s="54" t="s">
        <v>570</v>
      </c>
      <c r="D100" s="66" t="s">
        <v>498</v>
      </c>
      <c r="E100" s="66" t="s">
        <v>769</v>
      </c>
      <c r="F100" s="100"/>
      <c r="G100" s="100">
        <v>46035.0</v>
      </c>
      <c r="H100" s="58">
        <v>0.0</v>
      </c>
      <c r="I100" s="66" t="s">
        <v>302</v>
      </c>
      <c r="J100" s="66" t="s">
        <v>811</v>
      </c>
      <c r="K100" s="66" t="s">
        <v>314</v>
      </c>
      <c r="L100" s="104" t="s">
        <v>1144</v>
      </c>
      <c r="M100" s="66" t="s">
        <v>1163</v>
      </c>
      <c r="N100" s="100"/>
      <c r="O100" s="55" t="str">
        <f t="shared" si="1"/>
        <v>SEM DATA APONTADA</v>
      </c>
      <c r="P100" s="105" t="s">
        <v>1147</v>
      </c>
      <c r="Q100" s="100">
        <v>46048.0</v>
      </c>
      <c r="R100" s="96"/>
      <c r="S100" s="96"/>
      <c r="T100" s="96"/>
      <c r="U100" s="96"/>
      <c r="V100" s="96"/>
      <c r="W100" s="96"/>
      <c r="X100" s="96"/>
      <c r="Y100" s="96"/>
      <c r="Z100" s="96"/>
      <c r="AA100" s="96"/>
      <c r="AB100" s="96"/>
      <c r="AC100" s="96"/>
      <c r="AD100" s="96"/>
    </row>
    <row r="101">
      <c r="A101" s="188" t="s">
        <v>1165</v>
      </c>
      <c r="B101" s="103" t="s">
        <v>276</v>
      </c>
      <c r="C101" s="86" t="s">
        <v>277</v>
      </c>
      <c r="D101" s="66" t="s">
        <v>328</v>
      </c>
      <c r="E101" s="66" t="s">
        <v>769</v>
      </c>
      <c r="F101" s="100"/>
      <c r="G101" s="100">
        <v>46035.0</v>
      </c>
      <c r="H101" s="58">
        <v>0.0</v>
      </c>
      <c r="I101" s="66" t="s">
        <v>302</v>
      </c>
      <c r="J101" s="66" t="s">
        <v>570</v>
      </c>
      <c r="K101" s="66" t="s">
        <v>407</v>
      </c>
      <c r="L101" s="104" t="s">
        <v>1168</v>
      </c>
      <c r="M101" s="189" t="s">
        <v>1170</v>
      </c>
      <c r="N101" s="100">
        <v>46038.0</v>
      </c>
      <c r="O101" s="55" t="str">
        <f t="shared" si="1"/>
        <v>CONCLUÍDO</v>
      </c>
      <c r="P101" s="105" t="s">
        <v>1171</v>
      </c>
      <c r="Q101" s="100">
        <v>46038.0</v>
      </c>
      <c r="R101" s="96"/>
      <c r="S101" s="96"/>
      <c r="T101" s="96"/>
      <c r="U101" s="96"/>
      <c r="V101" s="96"/>
      <c r="W101" s="96"/>
      <c r="X101" s="96"/>
      <c r="Y101" s="96"/>
      <c r="Z101" s="96"/>
      <c r="AA101" s="96"/>
      <c r="AB101" s="96"/>
      <c r="AC101" s="96"/>
      <c r="AD101" s="96"/>
    </row>
    <row r="102">
      <c r="A102" s="91"/>
      <c r="B102" s="103" t="s">
        <v>276</v>
      </c>
      <c r="C102" s="91"/>
      <c r="D102" s="66" t="s">
        <v>328</v>
      </c>
      <c r="E102" s="66" t="s">
        <v>769</v>
      </c>
      <c r="F102" s="100"/>
      <c r="G102" s="100">
        <v>46035.0</v>
      </c>
      <c r="H102" s="58">
        <v>0.0</v>
      </c>
      <c r="I102" s="66" t="s">
        <v>302</v>
      </c>
      <c r="J102" s="66" t="s">
        <v>570</v>
      </c>
      <c r="K102" s="66" t="s">
        <v>407</v>
      </c>
      <c r="L102" s="104" t="s">
        <v>1168</v>
      </c>
      <c r="M102" s="189" t="s">
        <v>1173</v>
      </c>
      <c r="N102" s="100">
        <v>46038.0</v>
      </c>
      <c r="O102" s="55" t="str">
        <f t="shared" si="1"/>
        <v>CONCLUÍDO</v>
      </c>
      <c r="P102" s="105" t="s">
        <v>1171</v>
      </c>
      <c r="Q102" s="100">
        <v>46038.0</v>
      </c>
      <c r="R102" s="96"/>
      <c r="S102" s="96"/>
      <c r="T102" s="96"/>
      <c r="U102" s="96"/>
      <c r="V102" s="96"/>
      <c r="W102" s="96"/>
      <c r="X102" s="96"/>
      <c r="Y102" s="96"/>
      <c r="Z102" s="96"/>
      <c r="AA102" s="96"/>
      <c r="AB102" s="96"/>
      <c r="AC102" s="96"/>
      <c r="AD102" s="96"/>
    </row>
    <row r="103">
      <c r="A103" s="91"/>
      <c r="B103" s="103" t="s">
        <v>276</v>
      </c>
      <c r="C103" s="91"/>
      <c r="D103" s="66" t="s">
        <v>328</v>
      </c>
      <c r="E103" s="66" t="s">
        <v>769</v>
      </c>
      <c r="F103" s="100"/>
      <c r="G103" s="100">
        <v>46035.0</v>
      </c>
      <c r="H103" s="58">
        <v>0.0</v>
      </c>
      <c r="I103" s="66" t="s">
        <v>302</v>
      </c>
      <c r="J103" s="66" t="s">
        <v>570</v>
      </c>
      <c r="K103" s="66" t="s">
        <v>407</v>
      </c>
      <c r="L103" s="104" t="s">
        <v>1168</v>
      </c>
      <c r="M103" s="189" t="s">
        <v>1177</v>
      </c>
      <c r="N103" s="100">
        <v>46038.0</v>
      </c>
      <c r="O103" s="55" t="str">
        <f t="shared" si="1"/>
        <v>CONCLUÍDO</v>
      </c>
      <c r="P103" s="105" t="s">
        <v>1171</v>
      </c>
      <c r="Q103" s="100">
        <v>46038.0</v>
      </c>
      <c r="R103" s="96"/>
      <c r="S103" s="96"/>
      <c r="T103" s="96"/>
      <c r="U103" s="96"/>
      <c r="V103" s="96"/>
      <c r="W103" s="96"/>
      <c r="X103" s="96"/>
      <c r="Y103" s="96"/>
      <c r="Z103" s="96"/>
      <c r="AA103" s="96"/>
      <c r="AB103" s="96"/>
      <c r="AC103" s="96"/>
      <c r="AD103" s="96"/>
    </row>
    <row r="104">
      <c r="A104" s="91"/>
      <c r="B104" s="103" t="s">
        <v>276</v>
      </c>
      <c r="C104" s="91"/>
      <c r="D104" s="66" t="s">
        <v>328</v>
      </c>
      <c r="E104" s="66" t="s">
        <v>769</v>
      </c>
      <c r="F104" s="100"/>
      <c r="G104" s="100">
        <v>46035.0</v>
      </c>
      <c r="H104" s="58">
        <v>0.0</v>
      </c>
      <c r="I104" s="66" t="s">
        <v>302</v>
      </c>
      <c r="J104" s="66" t="s">
        <v>570</v>
      </c>
      <c r="K104" s="66" t="s">
        <v>407</v>
      </c>
      <c r="L104" s="104" t="s">
        <v>1168</v>
      </c>
      <c r="M104" s="189" t="s">
        <v>1180</v>
      </c>
      <c r="N104" s="100">
        <v>46038.0</v>
      </c>
      <c r="O104" s="55" t="str">
        <f t="shared" si="1"/>
        <v>CONCLUÍDO</v>
      </c>
      <c r="P104" s="105" t="s">
        <v>1171</v>
      </c>
      <c r="Q104" s="100">
        <v>46038.0</v>
      </c>
      <c r="R104" s="96"/>
      <c r="S104" s="96"/>
      <c r="T104" s="96"/>
      <c r="U104" s="96"/>
      <c r="V104" s="96"/>
      <c r="W104" s="96"/>
      <c r="X104" s="96"/>
      <c r="Y104" s="96"/>
      <c r="Z104" s="96"/>
      <c r="AA104" s="96"/>
      <c r="AB104" s="96"/>
      <c r="AC104" s="96"/>
      <c r="AD104" s="96"/>
    </row>
    <row r="105">
      <c r="A105" s="91"/>
      <c r="B105" s="103" t="s">
        <v>276</v>
      </c>
      <c r="C105" s="91"/>
      <c r="D105" s="66" t="s">
        <v>328</v>
      </c>
      <c r="E105" s="66" t="s">
        <v>769</v>
      </c>
      <c r="F105" s="100"/>
      <c r="G105" s="100">
        <v>46035.0</v>
      </c>
      <c r="H105" s="58">
        <v>0.0</v>
      </c>
      <c r="I105" s="66" t="s">
        <v>302</v>
      </c>
      <c r="J105" s="66" t="s">
        <v>570</v>
      </c>
      <c r="K105" s="66" t="s">
        <v>407</v>
      </c>
      <c r="L105" s="104" t="s">
        <v>1168</v>
      </c>
      <c r="M105" s="189" t="s">
        <v>1184</v>
      </c>
      <c r="N105" s="100">
        <v>46038.0</v>
      </c>
      <c r="O105" s="55" t="str">
        <f t="shared" si="1"/>
        <v>CONCLUÍDO</v>
      </c>
      <c r="P105" s="105" t="s">
        <v>1171</v>
      </c>
      <c r="Q105" s="100">
        <v>46038.0</v>
      </c>
      <c r="R105" s="96"/>
      <c r="S105" s="96"/>
      <c r="T105" s="96"/>
      <c r="U105" s="96"/>
      <c r="V105" s="96"/>
      <c r="W105" s="96"/>
      <c r="X105" s="96"/>
      <c r="Y105" s="96"/>
      <c r="Z105" s="96"/>
      <c r="AA105" s="96"/>
      <c r="AB105" s="96"/>
      <c r="AC105" s="96"/>
      <c r="AD105" s="96"/>
    </row>
    <row r="106">
      <c r="A106" s="91"/>
      <c r="B106" s="103" t="s">
        <v>276</v>
      </c>
      <c r="C106" s="91"/>
      <c r="D106" s="66" t="s">
        <v>328</v>
      </c>
      <c r="E106" s="66" t="s">
        <v>769</v>
      </c>
      <c r="F106" s="100"/>
      <c r="G106" s="100">
        <v>46035.0</v>
      </c>
      <c r="H106" s="58">
        <v>0.0</v>
      </c>
      <c r="I106" s="66" t="s">
        <v>302</v>
      </c>
      <c r="J106" s="66" t="s">
        <v>570</v>
      </c>
      <c r="K106" s="66" t="s">
        <v>407</v>
      </c>
      <c r="L106" s="104" t="s">
        <v>1189</v>
      </c>
      <c r="M106" s="66" t="s">
        <v>1190</v>
      </c>
      <c r="N106" s="100">
        <v>46038.0</v>
      </c>
      <c r="O106" s="55" t="str">
        <f t="shared" si="1"/>
        <v>CONCLUÍDO</v>
      </c>
      <c r="P106" s="105" t="s">
        <v>1192</v>
      </c>
      <c r="Q106" s="100">
        <v>46038.0</v>
      </c>
      <c r="R106" s="96"/>
      <c r="S106" s="96"/>
      <c r="T106" s="96"/>
      <c r="U106" s="96"/>
      <c r="V106" s="96"/>
      <c r="W106" s="96"/>
      <c r="X106" s="96"/>
      <c r="Y106" s="96"/>
      <c r="Z106" s="96"/>
      <c r="AA106" s="96"/>
      <c r="AB106" s="96"/>
      <c r="AC106" s="96"/>
      <c r="AD106" s="96"/>
    </row>
    <row r="107">
      <c r="A107" s="91"/>
      <c r="B107" s="103" t="s">
        <v>276</v>
      </c>
      <c r="C107" s="91"/>
      <c r="D107" s="66" t="s">
        <v>328</v>
      </c>
      <c r="E107" s="66" t="s">
        <v>769</v>
      </c>
      <c r="F107" s="100"/>
      <c r="G107" s="100">
        <v>46035.0</v>
      </c>
      <c r="H107" s="58">
        <v>0.0</v>
      </c>
      <c r="I107" s="66" t="s">
        <v>302</v>
      </c>
      <c r="J107" s="66" t="s">
        <v>570</v>
      </c>
      <c r="K107" s="66" t="s">
        <v>407</v>
      </c>
      <c r="L107" s="104" t="s">
        <v>1168</v>
      </c>
      <c r="M107" s="66" t="s">
        <v>1197</v>
      </c>
      <c r="N107" s="100">
        <v>46038.0</v>
      </c>
      <c r="O107" s="55" t="str">
        <f t="shared" si="1"/>
        <v>CONCLUÍDO</v>
      </c>
      <c r="P107" s="105" t="s">
        <v>1171</v>
      </c>
      <c r="Q107" s="100">
        <v>46038.0</v>
      </c>
      <c r="R107" s="96"/>
      <c r="S107" s="96"/>
      <c r="T107" s="96"/>
      <c r="U107" s="96"/>
      <c r="V107" s="96"/>
      <c r="W107" s="96"/>
      <c r="X107" s="96"/>
      <c r="Y107" s="96"/>
      <c r="Z107" s="96"/>
      <c r="AA107" s="96"/>
      <c r="AB107" s="96"/>
      <c r="AC107" s="96"/>
      <c r="AD107" s="96"/>
    </row>
    <row r="108">
      <c r="A108" s="91"/>
      <c r="B108" s="103" t="s">
        <v>276</v>
      </c>
      <c r="C108" s="91"/>
      <c r="D108" s="66" t="s">
        <v>328</v>
      </c>
      <c r="E108" s="66" t="s">
        <v>769</v>
      </c>
      <c r="F108" s="100"/>
      <c r="G108" s="100">
        <v>46035.0</v>
      </c>
      <c r="H108" s="58">
        <v>0.0</v>
      </c>
      <c r="I108" s="66" t="s">
        <v>302</v>
      </c>
      <c r="J108" s="66" t="s">
        <v>570</v>
      </c>
      <c r="K108" s="66" t="s">
        <v>407</v>
      </c>
      <c r="L108" s="104" t="s">
        <v>1168</v>
      </c>
      <c r="M108" s="66" t="s">
        <v>1201</v>
      </c>
      <c r="N108" s="100">
        <v>46038.0</v>
      </c>
      <c r="O108" s="55" t="str">
        <f t="shared" si="1"/>
        <v>CONCLUÍDO</v>
      </c>
      <c r="P108" s="105" t="s">
        <v>1171</v>
      </c>
      <c r="Q108" s="100">
        <v>46038.0</v>
      </c>
      <c r="R108" s="96"/>
      <c r="S108" s="96"/>
      <c r="T108" s="96"/>
      <c r="U108" s="96"/>
      <c r="V108" s="96"/>
      <c r="W108" s="96"/>
      <c r="X108" s="96"/>
      <c r="Y108" s="96"/>
      <c r="Z108" s="96"/>
      <c r="AA108" s="96"/>
      <c r="AB108" s="96"/>
      <c r="AC108" s="96"/>
      <c r="AD108" s="96"/>
    </row>
    <row r="109">
      <c r="A109" s="91"/>
      <c r="B109" s="103" t="s">
        <v>276</v>
      </c>
      <c r="C109" s="91"/>
      <c r="D109" s="66" t="s">
        <v>328</v>
      </c>
      <c r="E109" s="66" t="s">
        <v>769</v>
      </c>
      <c r="F109" s="100"/>
      <c r="G109" s="100">
        <v>46035.0</v>
      </c>
      <c r="H109" s="58">
        <v>0.0</v>
      </c>
      <c r="I109" s="66" t="s">
        <v>302</v>
      </c>
      <c r="J109" s="66" t="s">
        <v>570</v>
      </c>
      <c r="K109" s="66" t="s">
        <v>407</v>
      </c>
      <c r="L109" s="104" t="s">
        <v>1168</v>
      </c>
      <c r="M109" s="189" t="s">
        <v>1204</v>
      </c>
      <c r="N109" s="100">
        <v>46038.0</v>
      </c>
      <c r="O109" s="55" t="str">
        <f t="shared" si="1"/>
        <v>CONCLUÍDO</v>
      </c>
      <c r="P109" s="105" t="s">
        <v>1171</v>
      </c>
      <c r="Q109" s="100">
        <v>46038.0</v>
      </c>
      <c r="R109" s="96"/>
      <c r="S109" s="96"/>
      <c r="T109" s="96"/>
      <c r="U109" s="96"/>
      <c r="V109" s="96"/>
      <c r="W109" s="96"/>
      <c r="X109" s="96"/>
      <c r="Y109" s="96"/>
      <c r="Z109" s="96"/>
      <c r="AA109" s="96"/>
      <c r="AB109" s="96"/>
      <c r="AC109" s="96"/>
      <c r="AD109" s="96"/>
    </row>
    <row r="110">
      <c r="A110" s="91"/>
      <c r="B110" s="103" t="s">
        <v>276</v>
      </c>
      <c r="C110" s="91"/>
      <c r="D110" s="66" t="s">
        <v>328</v>
      </c>
      <c r="E110" s="66" t="s">
        <v>769</v>
      </c>
      <c r="F110" s="100"/>
      <c r="G110" s="100">
        <v>46035.0</v>
      </c>
      <c r="H110" s="58">
        <v>0.0</v>
      </c>
      <c r="I110" s="66" t="s">
        <v>302</v>
      </c>
      <c r="J110" s="66" t="s">
        <v>570</v>
      </c>
      <c r="K110" s="66" t="s">
        <v>407</v>
      </c>
      <c r="L110" s="104" t="s">
        <v>1168</v>
      </c>
      <c r="M110" s="189" t="s">
        <v>1208</v>
      </c>
      <c r="N110" s="100">
        <v>46038.0</v>
      </c>
      <c r="O110" s="55" t="str">
        <f t="shared" si="1"/>
        <v>CONCLUÍDO</v>
      </c>
      <c r="P110" s="105" t="s">
        <v>1171</v>
      </c>
      <c r="Q110" s="100">
        <v>46038.0</v>
      </c>
      <c r="R110" s="96"/>
      <c r="S110" s="96"/>
      <c r="T110" s="96"/>
      <c r="U110" s="96"/>
      <c r="V110" s="96"/>
      <c r="W110" s="96"/>
      <c r="X110" s="96"/>
      <c r="Y110" s="96"/>
      <c r="Z110" s="96"/>
      <c r="AA110" s="96"/>
      <c r="AB110" s="96"/>
      <c r="AC110" s="96"/>
      <c r="AD110" s="96"/>
    </row>
    <row r="111">
      <c r="A111" s="93"/>
      <c r="B111" s="103" t="s">
        <v>276</v>
      </c>
      <c r="C111" s="93"/>
      <c r="D111" s="66" t="s">
        <v>328</v>
      </c>
      <c r="E111" s="66" t="s">
        <v>769</v>
      </c>
      <c r="F111" s="100"/>
      <c r="G111" s="100">
        <v>46035.0</v>
      </c>
      <c r="H111" s="58">
        <v>0.0</v>
      </c>
      <c r="I111" s="66" t="s">
        <v>302</v>
      </c>
      <c r="J111" s="66" t="s">
        <v>570</v>
      </c>
      <c r="K111" s="66" t="s">
        <v>407</v>
      </c>
      <c r="L111" s="104" t="s">
        <v>1168</v>
      </c>
      <c r="M111" s="189" t="s">
        <v>1106</v>
      </c>
      <c r="N111" s="100">
        <v>46038.0</v>
      </c>
      <c r="O111" s="55" t="str">
        <f t="shared" si="1"/>
        <v>CONCLUÍDO</v>
      </c>
      <c r="P111" s="105" t="s">
        <v>1171</v>
      </c>
      <c r="Q111" s="100">
        <v>46038.0</v>
      </c>
      <c r="R111" s="96"/>
      <c r="S111" s="96"/>
      <c r="T111" s="96"/>
      <c r="U111" s="96"/>
      <c r="V111" s="96"/>
      <c r="W111" s="96"/>
      <c r="X111" s="96"/>
      <c r="Y111" s="96"/>
      <c r="Z111" s="96"/>
      <c r="AA111" s="96"/>
      <c r="AB111" s="96"/>
      <c r="AC111" s="96"/>
      <c r="AD111" s="96"/>
    </row>
    <row r="112">
      <c r="A112" s="190" t="s">
        <v>1213</v>
      </c>
      <c r="B112" s="103" t="s">
        <v>276</v>
      </c>
      <c r="C112" s="54" t="s">
        <v>277</v>
      </c>
      <c r="D112" s="66" t="s">
        <v>328</v>
      </c>
      <c r="E112" s="66" t="s">
        <v>1216</v>
      </c>
      <c r="F112" s="100"/>
      <c r="G112" s="100">
        <v>46036.0</v>
      </c>
      <c r="H112" s="58">
        <v>0.0</v>
      </c>
      <c r="I112" s="66" t="s">
        <v>302</v>
      </c>
      <c r="J112" s="66" t="s">
        <v>277</v>
      </c>
      <c r="K112" s="66" t="s">
        <v>314</v>
      </c>
      <c r="L112" s="104" t="s">
        <v>1105</v>
      </c>
      <c r="M112" s="66" t="s">
        <v>1218</v>
      </c>
      <c r="N112" s="100">
        <v>46036.0</v>
      </c>
      <c r="O112" s="55" t="str">
        <f t="shared" si="1"/>
        <v>CONCLUÍDO</v>
      </c>
      <c r="P112" s="105" t="s">
        <v>418</v>
      </c>
      <c r="Q112" s="100">
        <v>46036.0</v>
      </c>
      <c r="R112" s="96"/>
      <c r="S112" s="96"/>
      <c r="T112" s="96"/>
      <c r="U112" s="96"/>
      <c r="V112" s="96"/>
      <c r="W112" s="96"/>
      <c r="X112" s="96"/>
      <c r="Y112" s="96"/>
      <c r="Z112" s="96"/>
      <c r="AA112" s="96"/>
      <c r="AB112" s="96"/>
      <c r="AC112" s="96"/>
      <c r="AD112" s="96"/>
    </row>
    <row r="113">
      <c r="A113" s="190" t="s">
        <v>1220</v>
      </c>
      <c r="B113" s="103" t="s">
        <v>276</v>
      </c>
      <c r="C113" s="54" t="s">
        <v>277</v>
      </c>
      <c r="D113" s="66" t="s">
        <v>328</v>
      </c>
      <c r="E113" s="66" t="s">
        <v>1103</v>
      </c>
      <c r="F113" s="100"/>
      <c r="G113" s="100">
        <v>46036.0</v>
      </c>
      <c r="H113" s="58">
        <v>0.0</v>
      </c>
      <c r="I113" s="66" t="s">
        <v>302</v>
      </c>
      <c r="J113" s="66" t="s">
        <v>277</v>
      </c>
      <c r="K113" s="66" t="s">
        <v>314</v>
      </c>
      <c r="L113" s="104" t="s">
        <v>1105</v>
      </c>
      <c r="M113" s="66" t="s">
        <v>1222</v>
      </c>
      <c r="N113" s="100">
        <v>46036.0</v>
      </c>
      <c r="O113" s="55" t="str">
        <f t="shared" si="1"/>
        <v>CONCLUÍDO</v>
      </c>
      <c r="P113" s="105" t="s">
        <v>418</v>
      </c>
      <c r="Q113" s="100">
        <v>46036.0</v>
      </c>
      <c r="R113" s="96"/>
      <c r="S113" s="96"/>
      <c r="T113" s="96"/>
      <c r="U113" s="96"/>
      <c r="V113" s="96"/>
      <c r="W113" s="96"/>
      <c r="X113" s="96"/>
      <c r="Y113" s="96"/>
      <c r="Z113" s="96"/>
      <c r="AA113" s="96"/>
      <c r="AB113" s="96"/>
      <c r="AC113" s="96"/>
      <c r="AD113" s="96"/>
    </row>
    <row r="114">
      <c r="A114" s="190" t="s">
        <v>1223</v>
      </c>
      <c r="B114" s="103" t="s">
        <v>276</v>
      </c>
      <c r="C114" s="54" t="s">
        <v>277</v>
      </c>
      <c r="D114" s="66" t="s">
        <v>471</v>
      </c>
      <c r="E114" s="66" t="s">
        <v>1225</v>
      </c>
      <c r="F114" s="100"/>
      <c r="G114" s="100">
        <v>46036.0</v>
      </c>
      <c r="H114" s="58">
        <v>0.0</v>
      </c>
      <c r="I114" s="66" t="s">
        <v>302</v>
      </c>
      <c r="J114" s="66" t="s">
        <v>277</v>
      </c>
      <c r="K114" s="66" t="s">
        <v>314</v>
      </c>
      <c r="L114" s="104" t="s">
        <v>1226</v>
      </c>
      <c r="M114" s="66"/>
      <c r="N114" s="100">
        <v>46036.0</v>
      </c>
      <c r="O114" s="55" t="str">
        <f t="shared" si="1"/>
        <v>CONCLUÍDO</v>
      </c>
      <c r="P114" s="105" t="s">
        <v>1228</v>
      </c>
      <c r="Q114" s="100">
        <v>46036.0</v>
      </c>
      <c r="R114" s="96"/>
      <c r="S114" s="96"/>
      <c r="T114" s="96"/>
      <c r="U114" s="96"/>
      <c r="V114" s="96"/>
      <c r="W114" s="96"/>
      <c r="X114" s="96"/>
      <c r="Y114" s="96"/>
      <c r="Z114" s="96"/>
      <c r="AA114" s="96"/>
      <c r="AB114" s="96"/>
      <c r="AC114" s="96"/>
      <c r="AD114" s="96"/>
    </row>
    <row r="115">
      <c r="A115" s="188" t="s">
        <v>1229</v>
      </c>
      <c r="B115" s="103" t="s">
        <v>276</v>
      </c>
      <c r="C115" s="54" t="s">
        <v>570</v>
      </c>
      <c r="D115" s="66" t="s">
        <v>328</v>
      </c>
      <c r="E115" s="66" t="s">
        <v>769</v>
      </c>
      <c r="F115" s="100"/>
      <c r="G115" s="100">
        <v>46035.0</v>
      </c>
      <c r="H115" s="58">
        <v>0.0</v>
      </c>
      <c r="I115" s="66" t="s">
        <v>302</v>
      </c>
      <c r="J115" s="66" t="s">
        <v>277</v>
      </c>
      <c r="K115" s="66" t="s">
        <v>314</v>
      </c>
      <c r="L115" s="104" t="s">
        <v>1233</v>
      </c>
      <c r="M115" s="191" t="s">
        <v>1170</v>
      </c>
      <c r="N115" s="100">
        <v>46038.0</v>
      </c>
      <c r="O115" s="55" t="str">
        <f t="shared" si="1"/>
        <v>CONCLUÍDO</v>
      </c>
      <c r="P115" s="105" t="s">
        <v>418</v>
      </c>
      <c r="Q115" s="100">
        <v>46037.0</v>
      </c>
      <c r="R115" s="96"/>
      <c r="S115" s="96"/>
      <c r="T115" s="96"/>
      <c r="U115" s="96"/>
      <c r="V115" s="96"/>
      <c r="W115" s="96"/>
      <c r="X115" s="96"/>
      <c r="Y115" s="96"/>
      <c r="Z115" s="96"/>
      <c r="AA115" s="96"/>
      <c r="AB115" s="96"/>
      <c r="AC115" s="96"/>
      <c r="AD115" s="96"/>
    </row>
    <row r="116">
      <c r="A116" s="91"/>
      <c r="B116" s="103" t="s">
        <v>276</v>
      </c>
      <c r="C116" s="54" t="s">
        <v>570</v>
      </c>
      <c r="D116" s="66" t="s">
        <v>328</v>
      </c>
      <c r="E116" s="66" t="s">
        <v>769</v>
      </c>
      <c r="F116" s="100"/>
      <c r="G116" s="100">
        <v>46035.0</v>
      </c>
      <c r="H116" s="58">
        <v>0.0</v>
      </c>
      <c r="I116" s="66" t="s">
        <v>302</v>
      </c>
      <c r="J116" s="66" t="s">
        <v>277</v>
      </c>
      <c r="K116" s="66" t="s">
        <v>314</v>
      </c>
      <c r="L116" s="104" t="s">
        <v>1233</v>
      </c>
      <c r="M116" s="191" t="s">
        <v>1173</v>
      </c>
      <c r="N116" s="100">
        <v>46038.0</v>
      </c>
      <c r="O116" s="55" t="str">
        <f t="shared" si="1"/>
        <v>CONCLUÍDO</v>
      </c>
      <c r="P116" s="105" t="s">
        <v>418</v>
      </c>
      <c r="Q116" s="100">
        <v>46037.0</v>
      </c>
      <c r="R116" s="96"/>
      <c r="S116" s="96"/>
      <c r="T116" s="96"/>
      <c r="U116" s="96"/>
      <c r="V116" s="96"/>
      <c r="W116" s="96"/>
      <c r="X116" s="96"/>
      <c r="Y116" s="96"/>
      <c r="Z116" s="96"/>
      <c r="AA116" s="96"/>
      <c r="AB116" s="96"/>
      <c r="AC116" s="96"/>
      <c r="AD116" s="96"/>
    </row>
    <row r="117">
      <c r="A117" s="91"/>
      <c r="B117" s="103" t="s">
        <v>276</v>
      </c>
      <c r="C117" s="54" t="s">
        <v>570</v>
      </c>
      <c r="D117" s="66" t="s">
        <v>328</v>
      </c>
      <c r="E117" s="66" t="s">
        <v>769</v>
      </c>
      <c r="F117" s="100"/>
      <c r="G117" s="100">
        <v>46035.0</v>
      </c>
      <c r="H117" s="58">
        <v>0.0</v>
      </c>
      <c r="I117" s="66" t="s">
        <v>302</v>
      </c>
      <c r="J117" s="66" t="s">
        <v>277</v>
      </c>
      <c r="K117" s="66" t="s">
        <v>314</v>
      </c>
      <c r="L117" s="104" t="s">
        <v>1233</v>
      </c>
      <c r="M117" s="191" t="s">
        <v>1177</v>
      </c>
      <c r="N117" s="100">
        <v>46038.0</v>
      </c>
      <c r="O117" s="55" t="str">
        <f t="shared" si="1"/>
        <v>CONCLUÍDO</v>
      </c>
      <c r="P117" s="105" t="s">
        <v>418</v>
      </c>
      <c r="Q117" s="100">
        <v>46037.0</v>
      </c>
      <c r="R117" s="96"/>
      <c r="S117" s="96"/>
      <c r="T117" s="96"/>
      <c r="U117" s="96"/>
      <c r="V117" s="96"/>
      <c r="W117" s="96"/>
      <c r="X117" s="96"/>
      <c r="Y117" s="96"/>
      <c r="Z117" s="96"/>
      <c r="AA117" s="96"/>
      <c r="AB117" s="96"/>
      <c r="AC117" s="96"/>
      <c r="AD117" s="96"/>
    </row>
    <row r="118">
      <c r="A118" s="91"/>
      <c r="B118" s="103" t="s">
        <v>276</v>
      </c>
      <c r="C118" s="54" t="s">
        <v>570</v>
      </c>
      <c r="D118" s="66" t="s">
        <v>328</v>
      </c>
      <c r="E118" s="66" t="s">
        <v>769</v>
      </c>
      <c r="F118" s="100"/>
      <c r="G118" s="100">
        <v>46035.0</v>
      </c>
      <c r="H118" s="58">
        <v>0.0</v>
      </c>
      <c r="I118" s="66" t="s">
        <v>302</v>
      </c>
      <c r="J118" s="66" t="s">
        <v>277</v>
      </c>
      <c r="K118" s="66" t="s">
        <v>314</v>
      </c>
      <c r="L118" s="104" t="s">
        <v>1233</v>
      </c>
      <c r="M118" s="191" t="s">
        <v>1180</v>
      </c>
      <c r="N118" s="100">
        <v>46038.0</v>
      </c>
      <c r="O118" s="55" t="str">
        <f t="shared" si="1"/>
        <v>CONCLUÍDO</v>
      </c>
      <c r="P118" s="105" t="s">
        <v>418</v>
      </c>
      <c r="Q118" s="100">
        <v>46037.0</v>
      </c>
      <c r="R118" s="96"/>
      <c r="S118" s="96"/>
      <c r="T118" s="96"/>
      <c r="U118" s="96"/>
      <c r="V118" s="96"/>
      <c r="W118" s="96"/>
      <c r="X118" s="96"/>
      <c r="Y118" s="96"/>
      <c r="Z118" s="96"/>
      <c r="AA118" s="96"/>
      <c r="AB118" s="96"/>
      <c r="AC118" s="96"/>
      <c r="AD118" s="96"/>
    </row>
    <row r="119">
      <c r="A119" s="91"/>
      <c r="B119" s="103" t="s">
        <v>276</v>
      </c>
      <c r="C119" s="54" t="s">
        <v>570</v>
      </c>
      <c r="D119" s="66" t="s">
        <v>328</v>
      </c>
      <c r="E119" s="66" t="s">
        <v>769</v>
      </c>
      <c r="F119" s="100"/>
      <c r="G119" s="100">
        <v>46035.0</v>
      </c>
      <c r="H119" s="58">
        <v>0.0</v>
      </c>
      <c r="I119" s="66" t="s">
        <v>302</v>
      </c>
      <c r="J119" s="66" t="s">
        <v>277</v>
      </c>
      <c r="K119" s="66" t="s">
        <v>314</v>
      </c>
      <c r="L119" s="104" t="s">
        <v>1233</v>
      </c>
      <c r="M119" s="191" t="s">
        <v>1184</v>
      </c>
      <c r="N119" s="100">
        <v>46038.0</v>
      </c>
      <c r="O119" s="55" t="str">
        <f t="shared" si="1"/>
        <v>CONCLUÍDO</v>
      </c>
      <c r="P119" s="105" t="s">
        <v>418</v>
      </c>
      <c r="Q119" s="100">
        <v>46037.0</v>
      </c>
      <c r="R119" s="96"/>
      <c r="S119" s="96"/>
      <c r="T119" s="96"/>
      <c r="U119" s="96"/>
      <c r="V119" s="96"/>
      <c r="W119" s="96"/>
      <c r="X119" s="96"/>
      <c r="Y119" s="96"/>
      <c r="Z119" s="96"/>
      <c r="AA119" s="96"/>
      <c r="AB119" s="96"/>
      <c r="AC119" s="96"/>
      <c r="AD119" s="96"/>
    </row>
    <row r="120">
      <c r="A120" s="91"/>
      <c r="B120" s="103" t="s">
        <v>276</v>
      </c>
      <c r="C120" s="54" t="s">
        <v>570</v>
      </c>
      <c r="D120" s="66" t="s">
        <v>328</v>
      </c>
      <c r="E120" s="66" t="s">
        <v>769</v>
      </c>
      <c r="F120" s="100"/>
      <c r="G120" s="100">
        <v>46035.0</v>
      </c>
      <c r="H120" s="58">
        <v>0.0</v>
      </c>
      <c r="I120" s="66" t="s">
        <v>302</v>
      </c>
      <c r="J120" s="66" t="s">
        <v>277</v>
      </c>
      <c r="K120" s="66" t="s">
        <v>314</v>
      </c>
      <c r="L120" s="104" t="s">
        <v>1233</v>
      </c>
      <c r="M120" s="191" t="s">
        <v>1204</v>
      </c>
      <c r="N120" s="100">
        <v>46038.0</v>
      </c>
      <c r="O120" s="55" t="str">
        <f t="shared" si="1"/>
        <v>CONCLUÍDO</v>
      </c>
      <c r="P120" s="105" t="s">
        <v>418</v>
      </c>
      <c r="Q120" s="100">
        <v>46037.0</v>
      </c>
      <c r="R120" s="96"/>
      <c r="S120" s="96"/>
      <c r="T120" s="96"/>
      <c r="U120" s="96"/>
      <c r="V120" s="96"/>
      <c r="W120" s="96"/>
      <c r="X120" s="96"/>
      <c r="Y120" s="96"/>
      <c r="Z120" s="96"/>
      <c r="AA120" s="96"/>
      <c r="AB120" s="96"/>
      <c r="AC120" s="96"/>
      <c r="AD120" s="96"/>
    </row>
    <row r="121">
      <c r="A121" s="93"/>
      <c r="B121" s="103" t="s">
        <v>276</v>
      </c>
      <c r="C121" s="54" t="s">
        <v>570</v>
      </c>
      <c r="D121" s="66" t="s">
        <v>328</v>
      </c>
      <c r="E121" s="66" t="s">
        <v>769</v>
      </c>
      <c r="F121" s="100"/>
      <c r="G121" s="100">
        <v>46035.0</v>
      </c>
      <c r="H121" s="58">
        <v>0.0</v>
      </c>
      <c r="I121" s="66" t="s">
        <v>302</v>
      </c>
      <c r="J121" s="66" t="s">
        <v>277</v>
      </c>
      <c r="K121" s="66" t="s">
        <v>314</v>
      </c>
      <c r="L121" s="104" t="s">
        <v>1233</v>
      </c>
      <c r="M121" s="191" t="s">
        <v>1208</v>
      </c>
      <c r="N121" s="100">
        <v>46038.0</v>
      </c>
      <c r="O121" s="55" t="str">
        <f t="shared" si="1"/>
        <v>CONCLUÍDO</v>
      </c>
      <c r="P121" s="105" t="s">
        <v>418</v>
      </c>
      <c r="Q121" s="100">
        <v>46037.0</v>
      </c>
      <c r="R121" s="96"/>
      <c r="S121" s="96"/>
      <c r="T121" s="96"/>
      <c r="U121" s="96"/>
      <c r="V121" s="96"/>
      <c r="W121" s="96"/>
      <c r="X121" s="96"/>
      <c r="Y121" s="96"/>
      <c r="Z121" s="96"/>
      <c r="AA121" s="96"/>
      <c r="AB121" s="96"/>
      <c r="AC121" s="96"/>
      <c r="AD121" s="96"/>
    </row>
    <row r="122">
      <c r="A122" s="190" t="s">
        <v>1254</v>
      </c>
      <c r="B122" s="103" t="s">
        <v>276</v>
      </c>
      <c r="C122" s="54" t="s">
        <v>277</v>
      </c>
      <c r="D122" s="66" t="s">
        <v>328</v>
      </c>
      <c r="E122" s="66" t="s">
        <v>1256</v>
      </c>
      <c r="F122" s="100"/>
      <c r="G122" s="100">
        <v>46036.0</v>
      </c>
      <c r="H122" s="58">
        <v>0.0</v>
      </c>
      <c r="I122" s="66" t="s">
        <v>302</v>
      </c>
      <c r="J122" s="66" t="s">
        <v>277</v>
      </c>
      <c r="K122" s="66" t="s">
        <v>314</v>
      </c>
      <c r="L122" s="104" t="s">
        <v>1257</v>
      </c>
      <c r="M122" s="66">
        <v>3.51813975426603E14</v>
      </c>
      <c r="N122" s="100">
        <v>46036.0</v>
      </c>
      <c r="O122" s="55" t="str">
        <f t="shared" si="1"/>
        <v>CONCLUÍDO</v>
      </c>
      <c r="P122" s="105" t="s">
        <v>1259</v>
      </c>
      <c r="Q122" s="100">
        <v>46036.0</v>
      </c>
      <c r="R122" s="96"/>
      <c r="S122" s="96"/>
      <c r="T122" s="96"/>
      <c r="U122" s="96"/>
      <c r="V122" s="96"/>
      <c r="W122" s="96"/>
      <c r="X122" s="96"/>
      <c r="Y122" s="96"/>
      <c r="Z122" s="96"/>
      <c r="AA122" s="96"/>
      <c r="AB122" s="96"/>
      <c r="AC122" s="96"/>
      <c r="AD122" s="96"/>
    </row>
    <row r="123">
      <c r="A123" s="190" t="s">
        <v>1261</v>
      </c>
      <c r="B123" s="103" t="s">
        <v>276</v>
      </c>
      <c r="C123" s="54" t="s">
        <v>277</v>
      </c>
      <c r="D123" s="66" t="s">
        <v>328</v>
      </c>
      <c r="E123" s="66" t="s">
        <v>515</v>
      </c>
      <c r="F123" s="100"/>
      <c r="G123" s="100">
        <v>46037.0</v>
      </c>
      <c r="H123" s="58">
        <v>0.0</v>
      </c>
      <c r="I123" s="66" t="s">
        <v>302</v>
      </c>
      <c r="J123" s="66" t="s">
        <v>277</v>
      </c>
      <c r="K123" s="66" t="s">
        <v>314</v>
      </c>
      <c r="L123" s="104" t="s">
        <v>1263</v>
      </c>
      <c r="M123" s="66"/>
      <c r="N123" s="100">
        <v>46037.0</v>
      </c>
      <c r="O123" s="55" t="str">
        <f t="shared" si="1"/>
        <v>CONCLUÍDO</v>
      </c>
      <c r="P123" s="105" t="s">
        <v>1265</v>
      </c>
      <c r="Q123" s="100">
        <v>46037.0</v>
      </c>
      <c r="R123" s="96"/>
      <c r="S123" s="96"/>
      <c r="T123" s="96"/>
      <c r="U123" s="96"/>
      <c r="V123" s="96"/>
      <c r="W123" s="96"/>
      <c r="X123" s="96"/>
      <c r="Y123" s="96"/>
      <c r="Z123" s="96"/>
      <c r="AA123" s="96"/>
      <c r="AB123" s="96"/>
      <c r="AC123" s="96"/>
      <c r="AD123" s="96"/>
    </row>
    <row r="124">
      <c r="A124" s="190" t="s">
        <v>1266</v>
      </c>
      <c r="B124" s="103" t="s">
        <v>276</v>
      </c>
      <c r="C124" s="54" t="s">
        <v>277</v>
      </c>
      <c r="D124" s="66" t="s">
        <v>328</v>
      </c>
      <c r="E124" s="66" t="s">
        <v>1268</v>
      </c>
      <c r="F124" s="100"/>
      <c r="G124" s="100">
        <v>46037.0</v>
      </c>
      <c r="H124" s="58">
        <v>0.0</v>
      </c>
      <c r="I124" s="66" t="s">
        <v>302</v>
      </c>
      <c r="J124" s="66" t="s">
        <v>473</v>
      </c>
      <c r="K124" s="66" t="s">
        <v>474</v>
      </c>
      <c r="L124" s="104" t="s">
        <v>1270</v>
      </c>
      <c r="M124" s="66"/>
      <c r="N124" s="100">
        <v>46037.0</v>
      </c>
      <c r="O124" s="55" t="str">
        <f t="shared" si="1"/>
        <v>CONCLUÍDO</v>
      </c>
      <c r="P124" s="105" t="s">
        <v>1271</v>
      </c>
      <c r="Q124" s="100">
        <v>46037.0</v>
      </c>
      <c r="R124" s="96"/>
      <c r="S124" s="96"/>
      <c r="T124" s="96"/>
      <c r="U124" s="96"/>
      <c r="V124" s="96"/>
      <c r="W124" s="96"/>
      <c r="X124" s="96"/>
      <c r="Y124" s="96"/>
      <c r="Z124" s="96"/>
      <c r="AA124" s="96"/>
      <c r="AB124" s="96"/>
      <c r="AC124" s="96"/>
      <c r="AD124" s="96"/>
    </row>
    <row r="125">
      <c r="A125" s="190" t="s">
        <v>1272</v>
      </c>
      <c r="B125" s="103" t="s">
        <v>276</v>
      </c>
      <c r="C125" s="54" t="s">
        <v>277</v>
      </c>
      <c r="D125" s="66" t="s">
        <v>328</v>
      </c>
      <c r="E125" s="66" t="s">
        <v>1275</v>
      </c>
      <c r="F125" s="100"/>
      <c r="G125" s="100">
        <v>46037.0</v>
      </c>
      <c r="H125" s="58">
        <v>0.0</v>
      </c>
      <c r="I125" s="66" t="s">
        <v>302</v>
      </c>
      <c r="J125" s="66" t="s">
        <v>473</v>
      </c>
      <c r="K125" s="66" t="s">
        <v>474</v>
      </c>
      <c r="L125" s="104" t="s">
        <v>1276</v>
      </c>
      <c r="M125" s="66" t="s">
        <v>1277</v>
      </c>
      <c r="N125" s="100">
        <v>46059.0</v>
      </c>
      <c r="O125" s="55" t="str">
        <f t="shared" si="1"/>
        <v>CONCLUÍDO</v>
      </c>
      <c r="P125" s="105" t="s">
        <v>1279</v>
      </c>
      <c r="Q125" s="100">
        <v>46056.0</v>
      </c>
      <c r="R125" s="96"/>
      <c r="S125" s="96"/>
      <c r="T125" s="96"/>
      <c r="U125" s="96"/>
      <c r="V125" s="96"/>
      <c r="W125" s="96"/>
      <c r="X125" s="96"/>
      <c r="Y125" s="96"/>
      <c r="Z125" s="96"/>
      <c r="AA125" s="96"/>
      <c r="AB125" s="96"/>
      <c r="AC125" s="96"/>
      <c r="AD125" s="96"/>
    </row>
    <row r="126">
      <c r="A126" s="188" t="s">
        <v>1281</v>
      </c>
      <c r="B126" s="103" t="s">
        <v>276</v>
      </c>
      <c r="C126" s="54" t="s">
        <v>277</v>
      </c>
      <c r="D126" s="66" t="s">
        <v>1248</v>
      </c>
      <c r="E126" s="66" t="s">
        <v>1283</v>
      </c>
      <c r="F126" s="100"/>
      <c r="G126" s="100">
        <v>46038.0</v>
      </c>
      <c r="H126" s="58">
        <v>0.0</v>
      </c>
      <c r="I126" s="66" t="s">
        <v>302</v>
      </c>
      <c r="J126" s="66" t="s">
        <v>277</v>
      </c>
      <c r="K126" s="66" t="s">
        <v>314</v>
      </c>
      <c r="L126" s="104" t="s">
        <v>1284</v>
      </c>
      <c r="M126" s="66"/>
      <c r="N126" s="100">
        <v>46038.0</v>
      </c>
      <c r="O126" s="55" t="str">
        <f t="shared" si="1"/>
        <v>CONCLUÍDO</v>
      </c>
      <c r="P126" s="105" t="s">
        <v>1285</v>
      </c>
      <c r="Q126" s="100">
        <v>46038.0</v>
      </c>
      <c r="R126" s="96"/>
      <c r="S126" s="96"/>
      <c r="T126" s="96"/>
      <c r="U126" s="96"/>
      <c r="V126" s="96"/>
      <c r="W126" s="96"/>
      <c r="X126" s="96"/>
      <c r="Y126" s="96"/>
      <c r="Z126" s="96"/>
      <c r="AA126" s="96"/>
      <c r="AB126" s="96"/>
      <c r="AC126" s="96"/>
      <c r="AD126" s="96"/>
    </row>
    <row r="127">
      <c r="A127" s="91"/>
      <c r="B127" s="103" t="s">
        <v>276</v>
      </c>
      <c r="C127" s="54" t="s">
        <v>277</v>
      </c>
      <c r="D127" s="66" t="s">
        <v>1248</v>
      </c>
      <c r="E127" s="66" t="s">
        <v>1283</v>
      </c>
      <c r="F127" s="100"/>
      <c r="G127" s="100">
        <v>46038.0</v>
      </c>
      <c r="H127" s="58">
        <v>0.0</v>
      </c>
      <c r="I127" s="66" t="s">
        <v>302</v>
      </c>
      <c r="J127" s="66" t="s">
        <v>277</v>
      </c>
      <c r="K127" s="66" t="s">
        <v>314</v>
      </c>
      <c r="L127" s="104" t="s">
        <v>1284</v>
      </c>
      <c r="M127" s="66"/>
      <c r="N127" s="100">
        <v>46038.0</v>
      </c>
      <c r="O127" s="55" t="str">
        <f t="shared" si="1"/>
        <v>CONCLUÍDO</v>
      </c>
      <c r="P127" s="105" t="s">
        <v>1285</v>
      </c>
      <c r="Q127" s="100">
        <v>46038.0</v>
      </c>
      <c r="R127" s="96"/>
      <c r="S127" s="96"/>
      <c r="T127" s="96"/>
      <c r="U127" s="96"/>
      <c r="V127" s="96"/>
      <c r="W127" s="96"/>
      <c r="X127" s="96"/>
      <c r="Y127" s="96"/>
      <c r="Z127" s="96"/>
      <c r="AA127" s="96"/>
      <c r="AB127" s="96"/>
      <c r="AC127" s="96"/>
      <c r="AD127" s="96"/>
    </row>
    <row r="128">
      <c r="A128" s="91"/>
      <c r="B128" s="103" t="s">
        <v>276</v>
      </c>
      <c r="C128" s="54" t="s">
        <v>277</v>
      </c>
      <c r="D128" s="66" t="s">
        <v>1248</v>
      </c>
      <c r="E128" s="66" t="s">
        <v>1283</v>
      </c>
      <c r="F128" s="100"/>
      <c r="G128" s="100">
        <v>46038.0</v>
      </c>
      <c r="H128" s="58">
        <v>0.0</v>
      </c>
      <c r="I128" s="66" t="s">
        <v>302</v>
      </c>
      <c r="J128" s="66" t="s">
        <v>277</v>
      </c>
      <c r="K128" s="66" t="s">
        <v>314</v>
      </c>
      <c r="L128" s="104" t="s">
        <v>1284</v>
      </c>
      <c r="M128" s="66"/>
      <c r="N128" s="100">
        <v>46038.0</v>
      </c>
      <c r="O128" s="55" t="str">
        <f t="shared" si="1"/>
        <v>CONCLUÍDO</v>
      </c>
      <c r="P128" s="105" t="s">
        <v>1285</v>
      </c>
      <c r="Q128" s="100">
        <v>46038.0</v>
      </c>
      <c r="R128" s="96"/>
      <c r="S128" s="96"/>
      <c r="T128" s="96"/>
      <c r="U128" s="96"/>
      <c r="V128" s="96"/>
      <c r="W128" s="96"/>
      <c r="X128" s="96"/>
      <c r="Y128" s="96"/>
      <c r="Z128" s="96"/>
      <c r="AA128" s="96"/>
      <c r="AB128" s="96"/>
      <c r="AC128" s="96"/>
      <c r="AD128" s="96"/>
    </row>
    <row r="129">
      <c r="A129" s="91"/>
      <c r="B129" s="103" t="s">
        <v>276</v>
      </c>
      <c r="C129" s="54" t="s">
        <v>277</v>
      </c>
      <c r="D129" s="66" t="s">
        <v>1248</v>
      </c>
      <c r="E129" s="66" t="s">
        <v>1283</v>
      </c>
      <c r="F129" s="100"/>
      <c r="G129" s="100">
        <v>46038.0</v>
      </c>
      <c r="H129" s="58">
        <v>0.0</v>
      </c>
      <c r="I129" s="66" t="s">
        <v>302</v>
      </c>
      <c r="J129" s="66" t="s">
        <v>277</v>
      </c>
      <c r="K129" s="66" t="s">
        <v>314</v>
      </c>
      <c r="L129" s="104" t="s">
        <v>1284</v>
      </c>
      <c r="M129" s="66"/>
      <c r="N129" s="100">
        <v>46038.0</v>
      </c>
      <c r="O129" s="55" t="str">
        <f t="shared" si="1"/>
        <v>CONCLUÍDO</v>
      </c>
      <c r="P129" s="105" t="s">
        <v>1285</v>
      </c>
      <c r="Q129" s="100">
        <v>46038.0</v>
      </c>
      <c r="R129" s="96"/>
      <c r="S129" s="96"/>
      <c r="T129" s="96"/>
      <c r="U129" s="96"/>
      <c r="V129" s="96"/>
      <c r="W129" s="96"/>
      <c r="X129" s="96"/>
      <c r="Y129" s="96"/>
      <c r="Z129" s="96"/>
      <c r="AA129" s="96"/>
      <c r="AB129" s="96"/>
      <c r="AC129" s="96"/>
      <c r="AD129" s="96"/>
    </row>
    <row r="130">
      <c r="A130" s="91"/>
      <c r="B130" s="103" t="s">
        <v>276</v>
      </c>
      <c r="C130" s="54" t="s">
        <v>277</v>
      </c>
      <c r="D130" s="66" t="s">
        <v>1248</v>
      </c>
      <c r="E130" s="66" t="s">
        <v>1283</v>
      </c>
      <c r="F130" s="100"/>
      <c r="G130" s="100">
        <v>46038.0</v>
      </c>
      <c r="H130" s="58">
        <v>0.0</v>
      </c>
      <c r="I130" s="66" t="s">
        <v>302</v>
      </c>
      <c r="J130" s="66" t="s">
        <v>277</v>
      </c>
      <c r="K130" s="66" t="s">
        <v>314</v>
      </c>
      <c r="L130" s="104" t="s">
        <v>1284</v>
      </c>
      <c r="M130" s="66"/>
      <c r="N130" s="100">
        <v>46038.0</v>
      </c>
      <c r="O130" s="55" t="str">
        <f t="shared" si="1"/>
        <v>CONCLUÍDO</v>
      </c>
      <c r="P130" s="105" t="s">
        <v>1285</v>
      </c>
      <c r="Q130" s="100">
        <v>46038.0</v>
      </c>
      <c r="R130" s="96"/>
      <c r="S130" s="96"/>
      <c r="T130" s="96"/>
      <c r="U130" s="96"/>
      <c r="V130" s="96"/>
      <c r="W130" s="96"/>
      <c r="X130" s="96"/>
      <c r="Y130" s="96"/>
      <c r="Z130" s="96"/>
      <c r="AA130" s="96"/>
      <c r="AB130" s="96"/>
      <c r="AC130" s="96"/>
      <c r="AD130" s="96"/>
    </row>
    <row r="131">
      <c r="A131" s="91"/>
      <c r="B131" s="103" t="s">
        <v>276</v>
      </c>
      <c r="C131" s="54" t="s">
        <v>277</v>
      </c>
      <c r="D131" s="66" t="s">
        <v>1248</v>
      </c>
      <c r="E131" s="66" t="s">
        <v>1283</v>
      </c>
      <c r="F131" s="100"/>
      <c r="G131" s="100">
        <v>46038.0</v>
      </c>
      <c r="H131" s="58">
        <v>0.0</v>
      </c>
      <c r="I131" s="66" t="s">
        <v>302</v>
      </c>
      <c r="J131" s="66" t="s">
        <v>277</v>
      </c>
      <c r="K131" s="66" t="s">
        <v>314</v>
      </c>
      <c r="L131" s="104" t="s">
        <v>1284</v>
      </c>
      <c r="M131" s="66"/>
      <c r="N131" s="100">
        <v>46038.0</v>
      </c>
      <c r="O131" s="55" t="str">
        <f t="shared" si="1"/>
        <v>CONCLUÍDO</v>
      </c>
      <c r="P131" s="105" t="s">
        <v>1285</v>
      </c>
      <c r="Q131" s="100">
        <v>46038.0</v>
      </c>
      <c r="R131" s="96"/>
      <c r="S131" s="96"/>
      <c r="T131" s="96"/>
      <c r="U131" s="96"/>
      <c r="V131" s="96"/>
      <c r="W131" s="96"/>
      <c r="X131" s="96"/>
      <c r="Y131" s="96"/>
      <c r="Z131" s="96"/>
      <c r="AA131" s="96"/>
      <c r="AB131" s="96"/>
      <c r="AC131" s="96"/>
      <c r="AD131" s="96"/>
    </row>
    <row r="132">
      <c r="A132" s="91"/>
      <c r="B132" s="103" t="s">
        <v>276</v>
      </c>
      <c r="C132" s="54" t="s">
        <v>277</v>
      </c>
      <c r="D132" s="66" t="s">
        <v>1248</v>
      </c>
      <c r="E132" s="66" t="s">
        <v>1283</v>
      </c>
      <c r="F132" s="100"/>
      <c r="G132" s="100">
        <v>46038.0</v>
      </c>
      <c r="H132" s="58">
        <v>0.0</v>
      </c>
      <c r="I132" s="66" t="s">
        <v>302</v>
      </c>
      <c r="J132" s="66" t="s">
        <v>277</v>
      </c>
      <c r="K132" s="66" t="s">
        <v>314</v>
      </c>
      <c r="L132" s="104" t="s">
        <v>1284</v>
      </c>
      <c r="M132" s="66"/>
      <c r="N132" s="100">
        <v>46038.0</v>
      </c>
      <c r="O132" s="55" t="str">
        <f t="shared" si="1"/>
        <v>CONCLUÍDO</v>
      </c>
      <c r="P132" s="105" t="s">
        <v>1285</v>
      </c>
      <c r="Q132" s="100">
        <v>46038.0</v>
      </c>
      <c r="R132" s="96"/>
      <c r="S132" s="96"/>
      <c r="T132" s="96"/>
      <c r="U132" s="96"/>
      <c r="V132" s="96"/>
      <c r="W132" s="96"/>
      <c r="X132" s="96"/>
      <c r="Y132" s="96"/>
      <c r="Z132" s="96"/>
      <c r="AA132" s="96"/>
      <c r="AB132" s="96"/>
      <c r="AC132" s="96"/>
      <c r="AD132" s="96"/>
    </row>
    <row r="133">
      <c r="A133" s="93"/>
      <c r="B133" s="103" t="s">
        <v>276</v>
      </c>
      <c r="C133" s="54" t="s">
        <v>277</v>
      </c>
      <c r="D133" s="66" t="s">
        <v>1248</v>
      </c>
      <c r="E133" s="66" t="s">
        <v>1283</v>
      </c>
      <c r="F133" s="100"/>
      <c r="G133" s="100">
        <v>46038.0</v>
      </c>
      <c r="H133" s="58">
        <v>0.0</v>
      </c>
      <c r="I133" s="66" t="s">
        <v>302</v>
      </c>
      <c r="J133" s="66" t="s">
        <v>277</v>
      </c>
      <c r="K133" s="66" t="s">
        <v>314</v>
      </c>
      <c r="L133" s="104" t="s">
        <v>1284</v>
      </c>
      <c r="M133" s="66"/>
      <c r="N133" s="100">
        <v>46038.0</v>
      </c>
      <c r="O133" s="55" t="str">
        <f t="shared" si="1"/>
        <v>CONCLUÍDO</v>
      </c>
      <c r="P133" s="105" t="s">
        <v>1285</v>
      </c>
      <c r="Q133" s="100">
        <v>46038.0</v>
      </c>
      <c r="R133" s="96"/>
      <c r="S133" s="96"/>
      <c r="T133" s="96"/>
      <c r="U133" s="96"/>
      <c r="V133" s="96"/>
      <c r="W133" s="96"/>
      <c r="X133" s="96"/>
      <c r="Y133" s="96"/>
      <c r="Z133" s="96"/>
      <c r="AA133" s="96"/>
      <c r="AB133" s="96"/>
      <c r="AC133" s="96"/>
      <c r="AD133" s="96"/>
    </row>
    <row r="134">
      <c r="A134" s="190" t="s">
        <v>1309</v>
      </c>
      <c r="B134" s="103" t="s">
        <v>276</v>
      </c>
      <c r="C134" s="54" t="s">
        <v>277</v>
      </c>
      <c r="D134" s="66" t="s">
        <v>328</v>
      </c>
      <c r="E134" s="66" t="s">
        <v>641</v>
      </c>
      <c r="F134" s="100"/>
      <c r="G134" s="100">
        <v>46038.0</v>
      </c>
      <c r="H134" s="58">
        <v>0.0</v>
      </c>
      <c r="I134" s="66" t="s">
        <v>302</v>
      </c>
      <c r="J134" s="66" t="s">
        <v>277</v>
      </c>
      <c r="K134" s="66" t="s">
        <v>314</v>
      </c>
      <c r="L134" s="104" t="s">
        <v>1311</v>
      </c>
      <c r="M134" s="66"/>
      <c r="N134" s="100">
        <v>46038.0</v>
      </c>
      <c r="O134" s="55" t="str">
        <f t="shared" si="1"/>
        <v>CONCLUÍDO</v>
      </c>
      <c r="P134" s="105" t="s">
        <v>1285</v>
      </c>
      <c r="Q134" s="100">
        <v>46038.0</v>
      </c>
      <c r="R134" s="96"/>
      <c r="S134" s="96"/>
      <c r="T134" s="96"/>
      <c r="U134" s="96"/>
      <c r="V134" s="96"/>
      <c r="W134" s="96"/>
      <c r="X134" s="96"/>
      <c r="Y134" s="96"/>
      <c r="Z134" s="96"/>
      <c r="AA134" s="96"/>
      <c r="AB134" s="96"/>
      <c r="AC134" s="96"/>
      <c r="AD134" s="96"/>
    </row>
    <row r="135">
      <c r="A135" s="190" t="s">
        <v>1313</v>
      </c>
      <c r="B135" s="103" t="s">
        <v>276</v>
      </c>
      <c r="C135" s="54" t="s">
        <v>277</v>
      </c>
      <c r="D135" s="66" t="s">
        <v>328</v>
      </c>
      <c r="E135" s="66" t="s">
        <v>1315</v>
      </c>
      <c r="F135" s="100"/>
      <c r="G135" s="100">
        <v>46038.0</v>
      </c>
      <c r="H135" s="58">
        <v>0.0</v>
      </c>
      <c r="I135" s="66" t="s">
        <v>302</v>
      </c>
      <c r="J135" s="66" t="s">
        <v>473</v>
      </c>
      <c r="K135" s="66" t="s">
        <v>474</v>
      </c>
      <c r="L135" s="77" t="s">
        <v>635</v>
      </c>
      <c r="M135" s="66" t="s">
        <v>662</v>
      </c>
      <c r="N135" s="100">
        <v>46042.0</v>
      </c>
      <c r="O135" s="55" t="str">
        <f t="shared" si="1"/>
        <v>CONCLUÍDO</v>
      </c>
      <c r="P135" s="105" t="s">
        <v>662</v>
      </c>
      <c r="Q135" s="100">
        <v>46042.0</v>
      </c>
      <c r="R135" s="96"/>
      <c r="S135" s="96"/>
      <c r="T135" s="96"/>
      <c r="U135" s="96"/>
      <c r="V135" s="96"/>
      <c r="W135" s="96"/>
      <c r="X135" s="96"/>
      <c r="Y135" s="96"/>
      <c r="Z135" s="96"/>
      <c r="AA135" s="96"/>
      <c r="AB135" s="96"/>
      <c r="AC135" s="96"/>
      <c r="AD135" s="96"/>
    </row>
    <row r="136">
      <c r="A136" s="190" t="s">
        <v>1317</v>
      </c>
      <c r="B136" s="103" t="s">
        <v>276</v>
      </c>
      <c r="C136" s="54" t="s">
        <v>277</v>
      </c>
      <c r="D136" s="66" t="s">
        <v>1248</v>
      </c>
      <c r="E136" s="66" t="s">
        <v>1283</v>
      </c>
      <c r="F136" s="100"/>
      <c r="G136" s="100">
        <v>46041.0</v>
      </c>
      <c r="H136" s="58">
        <v>0.0</v>
      </c>
      <c r="I136" s="66" t="s">
        <v>302</v>
      </c>
      <c r="J136" s="66" t="s">
        <v>700</v>
      </c>
      <c r="K136" s="66" t="s">
        <v>314</v>
      </c>
      <c r="L136" s="104" t="s">
        <v>1320</v>
      </c>
      <c r="M136" s="66" t="s">
        <v>1321</v>
      </c>
      <c r="N136" s="100">
        <v>46041.0</v>
      </c>
      <c r="O136" s="55" t="str">
        <f t="shared" si="1"/>
        <v>CONCLUÍDO</v>
      </c>
      <c r="P136" s="105" t="s">
        <v>1322</v>
      </c>
      <c r="Q136" s="100">
        <v>46041.0</v>
      </c>
      <c r="R136" s="96"/>
      <c r="S136" s="96"/>
      <c r="T136" s="96"/>
      <c r="U136" s="96"/>
      <c r="V136" s="96"/>
      <c r="W136" s="96"/>
      <c r="X136" s="96"/>
      <c r="Y136" s="96"/>
      <c r="Z136" s="96"/>
      <c r="AA136" s="96"/>
      <c r="AB136" s="96"/>
      <c r="AC136" s="96"/>
      <c r="AD136" s="96"/>
    </row>
    <row r="137">
      <c r="A137" s="190" t="s">
        <v>1324</v>
      </c>
      <c r="B137" s="103" t="s">
        <v>276</v>
      </c>
      <c r="C137" s="54" t="s">
        <v>277</v>
      </c>
      <c r="D137" s="66" t="s">
        <v>328</v>
      </c>
      <c r="E137" s="66" t="s">
        <v>1315</v>
      </c>
      <c r="F137" s="100"/>
      <c r="G137" s="100">
        <v>46041.0</v>
      </c>
      <c r="H137" s="58">
        <v>0.0</v>
      </c>
      <c r="I137" s="66" t="s">
        <v>302</v>
      </c>
      <c r="J137" s="66" t="s">
        <v>473</v>
      </c>
      <c r="K137" s="66" t="s">
        <v>474</v>
      </c>
      <c r="L137" s="77" t="s">
        <v>635</v>
      </c>
      <c r="M137" s="66" t="s">
        <v>1118</v>
      </c>
      <c r="N137" s="100">
        <v>46042.0</v>
      </c>
      <c r="O137" s="55" t="str">
        <f t="shared" si="1"/>
        <v>CONCLUÍDO</v>
      </c>
      <c r="P137" s="105" t="s">
        <v>1326</v>
      </c>
      <c r="Q137" s="100">
        <v>46041.0</v>
      </c>
      <c r="R137" s="96"/>
      <c r="S137" s="96"/>
      <c r="T137" s="96"/>
      <c r="U137" s="96"/>
      <c r="V137" s="96"/>
      <c r="W137" s="96"/>
      <c r="X137" s="96"/>
      <c r="Y137" s="96"/>
      <c r="Z137" s="96"/>
      <c r="AA137" s="96"/>
      <c r="AB137" s="96"/>
      <c r="AC137" s="96"/>
      <c r="AD137" s="96"/>
    </row>
    <row r="138">
      <c r="A138" s="190" t="s">
        <v>1328</v>
      </c>
      <c r="B138" s="103" t="s">
        <v>276</v>
      </c>
      <c r="C138" s="54" t="s">
        <v>570</v>
      </c>
      <c r="D138" s="66" t="s">
        <v>362</v>
      </c>
      <c r="E138" s="66" t="s">
        <v>769</v>
      </c>
      <c r="F138" s="202"/>
      <c r="G138" s="202">
        <v>46041.0</v>
      </c>
      <c r="H138" s="58">
        <v>0.0</v>
      </c>
      <c r="I138" s="66" t="s">
        <v>302</v>
      </c>
      <c r="J138" s="66" t="s">
        <v>277</v>
      </c>
      <c r="K138" s="66" t="s">
        <v>314</v>
      </c>
      <c r="L138" s="104" t="s">
        <v>1332</v>
      </c>
      <c r="M138" s="66" t="s">
        <v>1334</v>
      </c>
      <c r="N138" s="100">
        <v>6693454.0</v>
      </c>
      <c r="O138" s="55" t="str">
        <f t="shared" si="1"/>
        <v>CONCLUÍDO</v>
      </c>
      <c r="P138" s="105" t="s">
        <v>1335</v>
      </c>
      <c r="Q138" s="100">
        <v>46041.0</v>
      </c>
      <c r="R138" s="96"/>
      <c r="S138" s="96"/>
      <c r="T138" s="96"/>
      <c r="U138" s="96"/>
      <c r="V138" s="96"/>
      <c r="W138" s="96"/>
      <c r="X138" s="96"/>
      <c r="Y138" s="96"/>
      <c r="Z138" s="96"/>
      <c r="AA138" s="96"/>
      <c r="AB138" s="96"/>
      <c r="AC138" s="96"/>
      <c r="AD138" s="96"/>
    </row>
    <row r="139">
      <c r="A139" s="190" t="s">
        <v>1337</v>
      </c>
      <c r="B139" s="103" t="s">
        <v>276</v>
      </c>
      <c r="C139" s="54" t="s">
        <v>570</v>
      </c>
      <c r="D139" s="66" t="s">
        <v>285</v>
      </c>
      <c r="E139" s="66" t="s">
        <v>769</v>
      </c>
      <c r="F139" s="202"/>
      <c r="G139" s="202">
        <v>46041.0</v>
      </c>
      <c r="H139" s="58">
        <v>0.0</v>
      </c>
      <c r="I139" s="66" t="s">
        <v>302</v>
      </c>
      <c r="J139" s="66" t="s">
        <v>277</v>
      </c>
      <c r="K139" s="66" t="s">
        <v>314</v>
      </c>
      <c r="L139" s="104" t="s">
        <v>1332</v>
      </c>
      <c r="M139" s="66" t="s">
        <v>1339</v>
      </c>
      <c r="N139" s="100">
        <v>46041.0</v>
      </c>
      <c r="O139" s="55" t="str">
        <f t="shared" si="1"/>
        <v>CONCLUÍDO</v>
      </c>
      <c r="P139" s="105" t="s">
        <v>1335</v>
      </c>
      <c r="Q139" s="100">
        <v>46041.0</v>
      </c>
      <c r="R139" s="96"/>
      <c r="S139" s="96"/>
      <c r="T139" s="96"/>
      <c r="U139" s="96"/>
      <c r="V139" s="96"/>
      <c r="W139" s="96"/>
      <c r="X139" s="96"/>
      <c r="Y139" s="96"/>
      <c r="Z139" s="96"/>
      <c r="AA139" s="96"/>
      <c r="AB139" s="96"/>
      <c r="AC139" s="96"/>
      <c r="AD139" s="96"/>
    </row>
    <row r="140">
      <c r="A140" s="190" t="s">
        <v>1341</v>
      </c>
      <c r="B140" s="103" t="s">
        <v>276</v>
      </c>
      <c r="C140" s="54" t="s">
        <v>277</v>
      </c>
      <c r="D140" s="66" t="s">
        <v>1248</v>
      </c>
      <c r="E140" s="66" t="s">
        <v>1283</v>
      </c>
      <c r="F140" s="100"/>
      <c r="G140" s="100">
        <v>46041.0</v>
      </c>
      <c r="H140" s="58">
        <v>0.0</v>
      </c>
      <c r="I140" s="66" t="s">
        <v>302</v>
      </c>
      <c r="J140" s="66" t="s">
        <v>700</v>
      </c>
      <c r="K140" s="66" t="s">
        <v>314</v>
      </c>
      <c r="L140" s="104" t="s">
        <v>1343</v>
      </c>
      <c r="M140" s="178"/>
      <c r="N140" s="100">
        <v>46042.0</v>
      </c>
      <c r="O140" s="55" t="str">
        <f t="shared" si="1"/>
        <v>CONCLUÍDO</v>
      </c>
      <c r="P140" s="105" t="s">
        <v>1344</v>
      </c>
      <c r="Q140" s="100">
        <v>46041.0</v>
      </c>
      <c r="R140" s="96"/>
      <c r="S140" s="96"/>
      <c r="T140" s="96"/>
      <c r="U140" s="96"/>
      <c r="V140" s="96"/>
      <c r="W140" s="96"/>
      <c r="X140" s="96"/>
      <c r="Y140" s="96"/>
      <c r="Z140" s="96"/>
      <c r="AA140" s="96"/>
      <c r="AB140" s="96"/>
      <c r="AC140" s="96"/>
      <c r="AD140" s="96"/>
    </row>
    <row r="141">
      <c r="A141" s="190" t="s">
        <v>1347</v>
      </c>
      <c r="B141" s="103" t="s">
        <v>276</v>
      </c>
      <c r="C141" s="54" t="s">
        <v>570</v>
      </c>
      <c r="D141" s="66" t="s">
        <v>664</v>
      </c>
      <c r="E141" s="66" t="s">
        <v>769</v>
      </c>
      <c r="F141" s="100"/>
      <c r="G141" s="100">
        <v>46041.0</v>
      </c>
      <c r="H141" s="58">
        <v>0.0</v>
      </c>
      <c r="I141" s="66" t="s">
        <v>302</v>
      </c>
      <c r="J141" s="66" t="s">
        <v>277</v>
      </c>
      <c r="K141" s="66" t="s">
        <v>314</v>
      </c>
      <c r="L141" s="104" t="s">
        <v>1233</v>
      </c>
      <c r="M141" s="66" t="s">
        <v>1036</v>
      </c>
      <c r="N141" s="100">
        <v>46041.0</v>
      </c>
      <c r="O141" s="55" t="str">
        <f t="shared" si="1"/>
        <v>CONCLUÍDO</v>
      </c>
      <c r="P141" s="105" t="s">
        <v>1349</v>
      </c>
      <c r="Q141" s="100">
        <v>46041.0</v>
      </c>
      <c r="R141" s="96"/>
      <c r="S141" s="96"/>
      <c r="T141" s="96"/>
      <c r="U141" s="96"/>
      <c r="V141" s="96"/>
      <c r="W141" s="96"/>
      <c r="X141" s="96"/>
      <c r="Y141" s="96"/>
      <c r="Z141" s="96"/>
      <c r="AA141" s="96"/>
      <c r="AB141" s="96"/>
      <c r="AC141" s="96"/>
      <c r="AD141" s="96"/>
    </row>
    <row r="142">
      <c r="A142" s="190" t="s">
        <v>1350</v>
      </c>
      <c r="B142" s="103" t="s">
        <v>276</v>
      </c>
      <c r="C142" s="54" t="s">
        <v>570</v>
      </c>
      <c r="D142" s="66" t="s">
        <v>642</v>
      </c>
      <c r="E142" s="66" t="s">
        <v>769</v>
      </c>
      <c r="F142" s="100"/>
      <c r="G142" s="100">
        <v>46041.0</v>
      </c>
      <c r="H142" s="58">
        <v>0.0</v>
      </c>
      <c r="I142" s="66" t="s">
        <v>302</v>
      </c>
      <c r="J142" s="66" t="s">
        <v>277</v>
      </c>
      <c r="K142" s="66" t="s">
        <v>314</v>
      </c>
      <c r="L142" s="104" t="s">
        <v>1233</v>
      </c>
      <c r="M142" s="66" t="s">
        <v>1352</v>
      </c>
      <c r="N142" s="100">
        <v>46041.0</v>
      </c>
      <c r="O142" s="55" t="str">
        <f t="shared" si="1"/>
        <v>CONCLUÍDO</v>
      </c>
      <c r="P142" s="105" t="s">
        <v>1349</v>
      </c>
      <c r="Q142" s="100">
        <v>46041.0</v>
      </c>
      <c r="R142" s="96"/>
      <c r="S142" s="96"/>
      <c r="T142" s="96"/>
      <c r="U142" s="96"/>
      <c r="V142" s="96"/>
      <c r="W142" s="96"/>
      <c r="X142" s="96"/>
      <c r="Y142" s="96"/>
      <c r="Z142" s="96"/>
      <c r="AA142" s="96"/>
      <c r="AB142" s="96"/>
      <c r="AC142" s="96"/>
      <c r="AD142" s="96"/>
    </row>
    <row r="143">
      <c r="A143" s="190" t="s">
        <v>1354</v>
      </c>
      <c r="B143" s="103" t="s">
        <v>276</v>
      </c>
      <c r="C143" s="54" t="s">
        <v>570</v>
      </c>
      <c r="D143" s="66" t="s">
        <v>642</v>
      </c>
      <c r="E143" s="66" t="s">
        <v>769</v>
      </c>
      <c r="F143" s="100"/>
      <c r="G143" s="100">
        <v>46041.0</v>
      </c>
      <c r="H143" s="58">
        <v>0.0</v>
      </c>
      <c r="I143" s="66" t="s">
        <v>302</v>
      </c>
      <c r="J143" s="66" t="s">
        <v>277</v>
      </c>
      <c r="K143" s="66" t="s">
        <v>314</v>
      </c>
      <c r="L143" s="104" t="s">
        <v>1233</v>
      </c>
      <c r="M143" s="66" t="s">
        <v>1356</v>
      </c>
      <c r="N143" s="100">
        <v>46041.0</v>
      </c>
      <c r="O143" s="55" t="str">
        <f t="shared" si="1"/>
        <v>CONCLUÍDO</v>
      </c>
      <c r="P143" s="105" t="s">
        <v>1349</v>
      </c>
      <c r="Q143" s="100">
        <v>46041.0</v>
      </c>
      <c r="R143" s="96"/>
      <c r="S143" s="96"/>
      <c r="T143" s="96"/>
      <c r="U143" s="96"/>
      <c r="V143" s="96"/>
      <c r="W143" s="96"/>
      <c r="X143" s="96"/>
      <c r="Y143" s="96"/>
      <c r="Z143" s="96"/>
      <c r="AA143" s="96"/>
      <c r="AB143" s="96"/>
      <c r="AC143" s="96"/>
      <c r="AD143" s="96"/>
    </row>
    <row r="144">
      <c r="A144" s="190" t="s">
        <v>1358</v>
      </c>
      <c r="B144" s="103" t="s">
        <v>276</v>
      </c>
      <c r="C144" s="54" t="s">
        <v>570</v>
      </c>
      <c r="D144" s="66" t="s">
        <v>471</v>
      </c>
      <c r="E144" s="66" t="s">
        <v>769</v>
      </c>
      <c r="F144" s="100"/>
      <c r="G144" s="100">
        <v>46041.0</v>
      </c>
      <c r="H144" s="58">
        <v>0.0</v>
      </c>
      <c r="I144" s="66" t="s">
        <v>302</v>
      </c>
      <c r="J144" s="66" t="s">
        <v>277</v>
      </c>
      <c r="K144" s="66" t="s">
        <v>314</v>
      </c>
      <c r="L144" s="104" t="s">
        <v>1233</v>
      </c>
      <c r="M144" s="66" t="s">
        <v>1360</v>
      </c>
      <c r="N144" s="100">
        <v>46041.0</v>
      </c>
      <c r="O144" s="55" t="str">
        <f t="shared" si="1"/>
        <v>CONCLUÍDO</v>
      </c>
      <c r="P144" s="105"/>
      <c r="Q144" s="100">
        <v>46041.0</v>
      </c>
      <c r="R144" s="96"/>
      <c r="S144" s="96"/>
      <c r="T144" s="96"/>
      <c r="U144" s="96"/>
      <c r="V144" s="96"/>
      <c r="W144" s="96"/>
      <c r="X144" s="96"/>
      <c r="Y144" s="96"/>
      <c r="Z144" s="96"/>
      <c r="AA144" s="96"/>
      <c r="AB144" s="96"/>
      <c r="AC144" s="96"/>
      <c r="AD144" s="96"/>
    </row>
    <row r="145">
      <c r="A145" s="190" t="s">
        <v>1363</v>
      </c>
      <c r="B145" s="103" t="s">
        <v>276</v>
      </c>
      <c r="C145" s="54" t="s">
        <v>570</v>
      </c>
      <c r="D145" s="66" t="s">
        <v>404</v>
      </c>
      <c r="E145" s="66" t="s">
        <v>769</v>
      </c>
      <c r="F145" s="100"/>
      <c r="G145" s="100">
        <v>46041.0</v>
      </c>
      <c r="H145" s="58">
        <v>0.0</v>
      </c>
      <c r="I145" s="66" t="s">
        <v>302</v>
      </c>
      <c r="J145" s="66" t="s">
        <v>277</v>
      </c>
      <c r="K145" s="66" t="s">
        <v>314</v>
      </c>
      <c r="L145" s="104" t="s">
        <v>1233</v>
      </c>
      <c r="M145" s="66" t="s">
        <v>1365</v>
      </c>
      <c r="N145" s="100">
        <v>46041.0</v>
      </c>
      <c r="O145" s="55" t="str">
        <f t="shared" si="1"/>
        <v>CONCLUÍDO</v>
      </c>
      <c r="P145" s="105" t="s">
        <v>1349</v>
      </c>
      <c r="Q145" s="100">
        <v>46041.0</v>
      </c>
      <c r="R145" s="96"/>
      <c r="S145" s="96"/>
      <c r="T145" s="96"/>
      <c r="U145" s="96"/>
      <c r="V145" s="96"/>
      <c r="W145" s="96"/>
      <c r="X145" s="96"/>
      <c r="Y145" s="96"/>
      <c r="Z145" s="96"/>
      <c r="AA145" s="96"/>
      <c r="AB145" s="96"/>
      <c r="AC145" s="96"/>
      <c r="AD145" s="96"/>
    </row>
    <row r="146">
      <c r="A146" s="190" t="s">
        <v>1367</v>
      </c>
      <c r="B146" s="103" t="s">
        <v>276</v>
      </c>
      <c r="C146" s="54" t="s">
        <v>570</v>
      </c>
      <c r="D146" s="66" t="s">
        <v>784</v>
      </c>
      <c r="E146" s="66" t="s">
        <v>769</v>
      </c>
      <c r="F146" s="100"/>
      <c r="G146" s="100">
        <v>46041.0</v>
      </c>
      <c r="H146" s="58">
        <v>0.0</v>
      </c>
      <c r="I146" s="66" t="s">
        <v>302</v>
      </c>
      <c r="J146" s="66" t="s">
        <v>277</v>
      </c>
      <c r="K146" s="66" t="s">
        <v>314</v>
      </c>
      <c r="L146" s="104" t="s">
        <v>1369</v>
      </c>
      <c r="M146" s="66" t="s">
        <v>1370</v>
      </c>
      <c r="N146" s="100">
        <v>46048.0</v>
      </c>
      <c r="O146" s="55" t="str">
        <f t="shared" si="1"/>
        <v>CONCLUÍDO</v>
      </c>
      <c r="P146" s="105" t="s">
        <v>858</v>
      </c>
      <c r="Q146" s="100">
        <v>46051.0</v>
      </c>
      <c r="R146" s="96"/>
      <c r="S146" s="96"/>
      <c r="T146" s="96"/>
      <c r="U146" s="96"/>
      <c r="V146" s="96"/>
      <c r="W146" s="96"/>
      <c r="X146" s="96"/>
      <c r="Y146" s="96"/>
      <c r="Z146" s="96"/>
      <c r="AA146" s="96"/>
      <c r="AB146" s="96"/>
      <c r="AC146" s="96"/>
      <c r="AD146" s="96"/>
    </row>
    <row r="147">
      <c r="A147" s="190" t="s">
        <v>1373</v>
      </c>
      <c r="B147" s="103" t="s">
        <v>276</v>
      </c>
      <c r="C147" s="54" t="s">
        <v>570</v>
      </c>
      <c r="D147" s="66" t="s">
        <v>328</v>
      </c>
      <c r="E147" s="66" t="s">
        <v>769</v>
      </c>
      <c r="F147" s="100"/>
      <c r="G147" s="100">
        <v>46041.0</v>
      </c>
      <c r="H147" s="58">
        <v>0.0</v>
      </c>
      <c r="I147" s="66" t="s">
        <v>302</v>
      </c>
      <c r="J147" s="66" t="s">
        <v>692</v>
      </c>
      <c r="K147" s="66" t="s">
        <v>407</v>
      </c>
      <c r="L147" s="104" t="s">
        <v>1375</v>
      </c>
      <c r="M147" s="66" t="s">
        <v>719</v>
      </c>
      <c r="N147" s="100">
        <v>46059.0</v>
      </c>
      <c r="O147" s="55" t="str">
        <f t="shared" si="1"/>
        <v>CONCLUÍDO</v>
      </c>
      <c r="P147" s="105" t="s">
        <v>1078</v>
      </c>
      <c r="Q147" s="100">
        <v>46049.0</v>
      </c>
      <c r="R147" s="96"/>
      <c r="S147" s="96"/>
      <c r="T147" s="96"/>
      <c r="U147" s="96"/>
      <c r="V147" s="96"/>
      <c r="W147" s="96"/>
      <c r="X147" s="96"/>
      <c r="Y147" s="96"/>
      <c r="Z147" s="96"/>
      <c r="AA147" s="96"/>
      <c r="AB147" s="96"/>
      <c r="AC147" s="96"/>
      <c r="AD147" s="96"/>
    </row>
    <row r="148">
      <c r="A148" s="190" t="s">
        <v>1377</v>
      </c>
      <c r="B148" s="103" t="s">
        <v>276</v>
      </c>
      <c r="C148" s="54" t="s">
        <v>277</v>
      </c>
      <c r="D148" s="66" t="s">
        <v>328</v>
      </c>
      <c r="E148" s="66" t="s">
        <v>515</v>
      </c>
      <c r="F148" s="100"/>
      <c r="G148" s="100">
        <v>46041.0</v>
      </c>
      <c r="H148" s="58">
        <v>0.0</v>
      </c>
      <c r="I148" s="66" t="s">
        <v>302</v>
      </c>
      <c r="J148" s="66" t="s">
        <v>277</v>
      </c>
      <c r="K148" s="66" t="s">
        <v>314</v>
      </c>
      <c r="L148" s="104" t="s">
        <v>1379</v>
      </c>
      <c r="M148" s="66"/>
      <c r="N148" s="100">
        <v>46041.0</v>
      </c>
      <c r="O148" s="55" t="str">
        <f t="shared" si="1"/>
        <v>CONCLUÍDO</v>
      </c>
      <c r="P148" s="105" t="s">
        <v>1380</v>
      </c>
      <c r="Q148" s="100">
        <v>46041.0</v>
      </c>
      <c r="R148" s="96"/>
      <c r="S148" s="96"/>
      <c r="T148" s="96"/>
      <c r="U148" s="96"/>
      <c r="V148" s="96"/>
      <c r="W148" s="96"/>
      <c r="X148" s="96"/>
      <c r="Y148" s="96"/>
      <c r="Z148" s="96"/>
      <c r="AA148" s="96"/>
      <c r="AB148" s="96"/>
      <c r="AC148" s="96"/>
      <c r="AD148" s="96"/>
    </row>
    <row r="149">
      <c r="A149" s="190" t="s">
        <v>1383</v>
      </c>
      <c r="B149" s="103" t="s">
        <v>276</v>
      </c>
      <c r="C149" s="54" t="s">
        <v>277</v>
      </c>
      <c r="D149" s="66" t="s">
        <v>328</v>
      </c>
      <c r="E149" s="66" t="s">
        <v>1384</v>
      </c>
      <c r="F149" s="100"/>
      <c r="G149" s="100">
        <v>46042.0</v>
      </c>
      <c r="H149" s="58">
        <v>0.0</v>
      </c>
      <c r="I149" s="66" t="s">
        <v>302</v>
      </c>
      <c r="J149" s="66" t="s">
        <v>277</v>
      </c>
      <c r="K149" s="66" t="s">
        <v>314</v>
      </c>
      <c r="L149" s="104" t="s">
        <v>1385</v>
      </c>
      <c r="M149" s="66" t="s">
        <v>1118</v>
      </c>
      <c r="N149" s="100">
        <v>46042.0</v>
      </c>
      <c r="O149" s="55" t="str">
        <f t="shared" si="1"/>
        <v>CONCLUÍDO</v>
      </c>
      <c r="P149" s="105" t="s">
        <v>1387</v>
      </c>
      <c r="Q149" s="100">
        <v>46042.0</v>
      </c>
      <c r="R149" s="96"/>
      <c r="S149" s="96"/>
      <c r="T149" s="96"/>
      <c r="U149" s="96"/>
      <c r="V149" s="96"/>
      <c r="W149" s="96"/>
      <c r="X149" s="96"/>
      <c r="Y149" s="96"/>
      <c r="Z149" s="96"/>
      <c r="AA149" s="96"/>
      <c r="AB149" s="96"/>
      <c r="AC149" s="96"/>
      <c r="AD149" s="96"/>
    </row>
    <row r="150">
      <c r="A150" s="190" t="s">
        <v>1388</v>
      </c>
      <c r="B150" s="103" t="s">
        <v>276</v>
      </c>
      <c r="C150" s="54" t="s">
        <v>277</v>
      </c>
      <c r="D150" s="66" t="s">
        <v>328</v>
      </c>
      <c r="E150" s="66" t="s">
        <v>392</v>
      </c>
      <c r="F150" s="100"/>
      <c r="G150" s="100">
        <v>46041.0</v>
      </c>
      <c r="H150" s="58">
        <v>0.0</v>
      </c>
      <c r="I150" s="66" t="s">
        <v>302</v>
      </c>
      <c r="J150" s="66" t="s">
        <v>277</v>
      </c>
      <c r="K150" s="66" t="s">
        <v>314</v>
      </c>
      <c r="L150" s="104" t="s">
        <v>1390</v>
      </c>
      <c r="M150" s="66"/>
      <c r="N150" s="100">
        <v>46042.0</v>
      </c>
      <c r="O150" s="55" t="str">
        <f t="shared" si="1"/>
        <v>CONCLUÍDO</v>
      </c>
      <c r="P150" s="105" t="s">
        <v>1392</v>
      </c>
      <c r="Q150" s="100">
        <v>46042.0</v>
      </c>
      <c r="R150" s="96"/>
      <c r="S150" s="96"/>
      <c r="T150" s="96"/>
      <c r="U150" s="96"/>
      <c r="V150" s="96"/>
      <c r="W150" s="96"/>
      <c r="X150" s="96"/>
      <c r="Y150" s="96"/>
      <c r="Z150" s="96"/>
      <c r="AA150" s="96"/>
      <c r="AB150" s="96"/>
      <c r="AC150" s="96"/>
      <c r="AD150" s="96"/>
    </row>
    <row r="151">
      <c r="A151" s="190" t="s">
        <v>1393</v>
      </c>
      <c r="B151" s="103" t="s">
        <v>276</v>
      </c>
      <c r="C151" s="54" t="s">
        <v>277</v>
      </c>
      <c r="D151" s="66" t="s">
        <v>328</v>
      </c>
      <c r="E151" s="66" t="s">
        <v>392</v>
      </c>
      <c r="F151" s="100"/>
      <c r="G151" s="100">
        <v>46042.0</v>
      </c>
      <c r="H151" s="58">
        <v>0.0</v>
      </c>
      <c r="I151" s="66" t="s">
        <v>302</v>
      </c>
      <c r="J151" s="66" t="s">
        <v>277</v>
      </c>
      <c r="K151" s="66" t="s">
        <v>314</v>
      </c>
      <c r="L151" s="104" t="s">
        <v>1396</v>
      </c>
      <c r="M151" s="66" t="s">
        <v>1397</v>
      </c>
      <c r="N151" s="100">
        <v>46042.0</v>
      </c>
      <c r="O151" s="55" t="str">
        <f t="shared" si="1"/>
        <v>CONCLUÍDO</v>
      </c>
      <c r="P151" s="105" t="s">
        <v>1399</v>
      </c>
      <c r="Q151" s="100">
        <v>46042.0</v>
      </c>
      <c r="R151" s="96"/>
      <c r="S151" s="96"/>
      <c r="T151" s="96"/>
      <c r="U151" s="96"/>
      <c r="V151" s="96"/>
      <c r="W151" s="96"/>
      <c r="X151" s="96"/>
      <c r="Y151" s="96"/>
      <c r="Z151" s="96"/>
      <c r="AA151" s="96"/>
      <c r="AB151" s="96"/>
      <c r="AC151" s="96"/>
      <c r="AD151" s="96"/>
    </row>
    <row r="152">
      <c r="A152" s="190" t="s">
        <v>1400</v>
      </c>
      <c r="B152" s="103" t="s">
        <v>276</v>
      </c>
      <c r="C152" s="54" t="s">
        <v>277</v>
      </c>
      <c r="D152" s="66" t="s">
        <v>328</v>
      </c>
      <c r="E152" s="66" t="s">
        <v>641</v>
      </c>
      <c r="F152" s="100"/>
      <c r="G152" s="100">
        <v>46042.0</v>
      </c>
      <c r="H152" s="58">
        <v>0.0</v>
      </c>
      <c r="I152" s="66" t="s">
        <v>302</v>
      </c>
      <c r="J152" s="66" t="s">
        <v>277</v>
      </c>
      <c r="K152" s="66" t="s">
        <v>314</v>
      </c>
      <c r="L152" s="104" t="s">
        <v>1226</v>
      </c>
      <c r="M152" s="66"/>
      <c r="N152" s="100">
        <v>46042.0</v>
      </c>
      <c r="O152" s="55" t="str">
        <f t="shared" si="1"/>
        <v>CONCLUÍDO</v>
      </c>
      <c r="P152" s="105" t="s">
        <v>1403</v>
      </c>
      <c r="Q152" s="178">
        <v>46042.0</v>
      </c>
      <c r="R152" s="96"/>
      <c r="S152" s="96"/>
      <c r="T152" s="96"/>
      <c r="U152" s="96"/>
      <c r="V152" s="96"/>
      <c r="W152" s="96"/>
      <c r="X152" s="96"/>
      <c r="Y152" s="96"/>
      <c r="Z152" s="96"/>
      <c r="AA152" s="96"/>
      <c r="AB152" s="96"/>
      <c r="AC152" s="96"/>
      <c r="AD152" s="96"/>
    </row>
    <row r="153">
      <c r="A153" s="190" t="s">
        <v>1405</v>
      </c>
      <c r="B153" s="103" t="s">
        <v>276</v>
      </c>
      <c r="C153" s="54" t="s">
        <v>277</v>
      </c>
      <c r="D153" s="66" t="s">
        <v>328</v>
      </c>
      <c r="E153" s="66" t="s">
        <v>1384</v>
      </c>
      <c r="F153" s="100"/>
      <c r="G153" s="100">
        <v>46043.0</v>
      </c>
      <c r="H153" s="58">
        <v>0.0</v>
      </c>
      <c r="I153" s="66" t="s">
        <v>302</v>
      </c>
      <c r="J153" s="66" t="s">
        <v>277</v>
      </c>
      <c r="K153" s="66" t="s">
        <v>314</v>
      </c>
      <c r="L153" s="104" t="s">
        <v>1385</v>
      </c>
      <c r="M153" s="66" t="s">
        <v>1407</v>
      </c>
      <c r="N153" s="100">
        <v>46043.0</v>
      </c>
      <c r="O153" s="55" t="str">
        <f t="shared" si="1"/>
        <v>CONCLUÍDO</v>
      </c>
      <c r="P153" s="105" t="s">
        <v>1387</v>
      </c>
      <c r="Q153" s="100">
        <v>46043.0</v>
      </c>
      <c r="R153" s="96"/>
      <c r="S153" s="96"/>
      <c r="T153" s="96"/>
      <c r="U153" s="96"/>
      <c r="V153" s="96"/>
      <c r="W153" s="96"/>
      <c r="X153" s="96"/>
      <c r="Y153" s="96"/>
      <c r="Z153" s="96"/>
      <c r="AA153" s="96"/>
      <c r="AB153" s="96"/>
      <c r="AC153" s="96"/>
      <c r="AD153" s="96"/>
    </row>
    <row r="154">
      <c r="A154" s="190" t="s">
        <v>1409</v>
      </c>
      <c r="B154" s="103" t="s">
        <v>276</v>
      </c>
      <c r="C154" s="54" t="s">
        <v>277</v>
      </c>
      <c r="D154" s="66" t="s">
        <v>328</v>
      </c>
      <c r="E154" s="66" t="s">
        <v>1256</v>
      </c>
      <c r="F154" s="100"/>
      <c r="G154" s="100">
        <v>46043.0</v>
      </c>
      <c r="H154" s="58">
        <v>0.0</v>
      </c>
      <c r="I154" s="66" t="s">
        <v>302</v>
      </c>
      <c r="J154" s="66" t="s">
        <v>277</v>
      </c>
      <c r="K154" s="66" t="s">
        <v>314</v>
      </c>
      <c r="L154" s="104" t="s">
        <v>1411</v>
      </c>
      <c r="M154" s="66"/>
      <c r="N154" s="100">
        <v>46043.0</v>
      </c>
      <c r="O154" s="55" t="str">
        <f t="shared" si="1"/>
        <v>CONCLUÍDO</v>
      </c>
      <c r="P154" s="105" t="s">
        <v>1413</v>
      </c>
      <c r="Q154" s="100">
        <v>46043.0</v>
      </c>
      <c r="R154" s="96"/>
      <c r="S154" s="96"/>
      <c r="T154" s="96"/>
      <c r="U154" s="96"/>
      <c r="V154" s="96"/>
      <c r="W154" s="96"/>
      <c r="X154" s="96"/>
      <c r="Y154" s="96"/>
      <c r="Z154" s="96"/>
      <c r="AA154" s="96"/>
      <c r="AB154" s="96"/>
      <c r="AC154" s="96"/>
      <c r="AD154" s="96"/>
    </row>
    <row r="155">
      <c r="A155" s="190" t="s">
        <v>1415</v>
      </c>
      <c r="B155" s="103" t="s">
        <v>276</v>
      </c>
      <c r="C155" s="54" t="s">
        <v>277</v>
      </c>
      <c r="D155" s="66" t="s">
        <v>378</v>
      </c>
      <c r="E155" s="66" t="s">
        <v>676</v>
      </c>
      <c r="F155" s="100"/>
      <c r="G155" s="100">
        <v>46041.0</v>
      </c>
      <c r="H155" s="58">
        <v>0.0</v>
      </c>
      <c r="I155" s="66" t="s">
        <v>302</v>
      </c>
      <c r="J155" s="66" t="s">
        <v>473</v>
      </c>
      <c r="K155" s="66" t="s">
        <v>474</v>
      </c>
      <c r="L155" s="104" t="s">
        <v>1418</v>
      </c>
      <c r="M155" s="66" t="s">
        <v>1419</v>
      </c>
      <c r="N155" s="100">
        <v>46042.0</v>
      </c>
      <c r="O155" s="55" t="str">
        <f t="shared" si="1"/>
        <v>CONCLUÍDO</v>
      </c>
      <c r="P155" s="105" t="s">
        <v>1420</v>
      </c>
      <c r="Q155" s="100">
        <v>46042.0</v>
      </c>
      <c r="R155" s="96"/>
      <c r="S155" s="96"/>
      <c r="T155" s="96"/>
      <c r="U155" s="96"/>
      <c r="V155" s="96"/>
      <c r="W155" s="96"/>
      <c r="X155" s="96"/>
      <c r="Y155" s="96"/>
      <c r="Z155" s="96"/>
      <c r="AA155" s="96"/>
      <c r="AB155" s="96"/>
      <c r="AC155" s="96"/>
      <c r="AD155" s="96"/>
    </row>
    <row r="156">
      <c r="A156" s="190" t="s">
        <v>1422</v>
      </c>
      <c r="B156" s="103" t="s">
        <v>276</v>
      </c>
      <c r="C156" s="54" t="s">
        <v>277</v>
      </c>
      <c r="D156" s="66" t="s">
        <v>328</v>
      </c>
      <c r="E156" s="66" t="s">
        <v>1423</v>
      </c>
      <c r="F156" s="100"/>
      <c r="G156" s="100">
        <v>46043.0</v>
      </c>
      <c r="H156" s="58">
        <v>0.0</v>
      </c>
      <c r="I156" s="66" t="s">
        <v>302</v>
      </c>
      <c r="J156" s="66" t="s">
        <v>1425</v>
      </c>
      <c r="K156" s="66" t="s">
        <v>314</v>
      </c>
      <c r="L156" s="104" t="s">
        <v>1426</v>
      </c>
      <c r="M156" s="66"/>
      <c r="N156" s="100">
        <v>46043.0</v>
      </c>
      <c r="O156" s="55" t="str">
        <f t="shared" si="1"/>
        <v>CONCLUÍDO</v>
      </c>
      <c r="P156" s="105" t="s">
        <v>1392</v>
      </c>
      <c r="Q156" s="100">
        <v>46043.0</v>
      </c>
      <c r="R156" s="96"/>
      <c r="S156" s="96"/>
      <c r="T156" s="96"/>
      <c r="U156" s="96"/>
      <c r="V156" s="96"/>
      <c r="W156" s="96"/>
      <c r="X156" s="96"/>
      <c r="Y156" s="96"/>
      <c r="Z156" s="96"/>
      <c r="AA156" s="96"/>
      <c r="AB156" s="96"/>
      <c r="AC156" s="96"/>
      <c r="AD156" s="96"/>
    </row>
    <row r="157">
      <c r="A157" s="190" t="s">
        <v>1428</v>
      </c>
      <c r="B157" s="103" t="s">
        <v>276</v>
      </c>
      <c r="C157" s="54" t="s">
        <v>570</v>
      </c>
      <c r="D157" s="66" t="s">
        <v>328</v>
      </c>
      <c r="E157" s="66" t="s">
        <v>7</v>
      </c>
      <c r="F157" s="100"/>
      <c r="G157" s="100">
        <v>46043.0</v>
      </c>
      <c r="H157" s="58">
        <v>0.0</v>
      </c>
      <c r="I157" s="66" t="s">
        <v>302</v>
      </c>
      <c r="J157" s="66" t="s">
        <v>570</v>
      </c>
      <c r="K157" s="66" t="s">
        <v>407</v>
      </c>
      <c r="L157" s="104" t="s">
        <v>1430</v>
      </c>
      <c r="M157" s="66" t="s">
        <v>1222</v>
      </c>
      <c r="N157" s="100">
        <v>46044.0</v>
      </c>
      <c r="O157" s="55" t="str">
        <f t="shared" si="1"/>
        <v>CONCLUÍDO</v>
      </c>
      <c r="P157" s="105" t="s">
        <v>1431</v>
      </c>
      <c r="Q157" s="100">
        <v>46048.0</v>
      </c>
      <c r="R157" s="96"/>
      <c r="S157" s="96"/>
      <c r="T157" s="96"/>
      <c r="U157" s="96"/>
      <c r="V157" s="96"/>
      <c r="W157" s="96"/>
      <c r="X157" s="96"/>
      <c r="Y157" s="96"/>
      <c r="Z157" s="96"/>
      <c r="AA157" s="96"/>
      <c r="AB157" s="96"/>
      <c r="AC157" s="96"/>
      <c r="AD157" s="96"/>
    </row>
    <row r="158">
      <c r="A158" s="190" t="s">
        <v>1434</v>
      </c>
      <c r="B158" s="103" t="s">
        <v>276</v>
      </c>
      <c r="C158" s="54" t="s">
        <v>277</v>
      </c>
      <c r="D158" s="66" t="s">
        <v>328</v>
      </c>
      <c r="E158" s="66" t="s">
        <v>730</v>
      </c>
      <c r="F158" s="100"/>
      <c r="G158" s="100">
        <v>46043.0</v>
      </c>
      <c r="H158" s="58">
        <v>0.0</v>
      </c>
      <c r="I158" s="66" t="s">
        <v>302</v>
      </c>
      <c r="J158" s="66" t="s">
        <v>1425</v>
      </c>
      <c r="K158" s="66" t="s">
        <v>314</v>
      </c>
      <c r="L158" s="104" t="s">
        <v>1436</v>
      </c>
      <c r="M158" s="66"/>
      <c r="N158" s="100">
        <v>46043.0</v>
      </c>
      <c r="O158" s="55" t="str">
        <f t="shared" si="1"/>
        <v>CONCLUÍDO</v>
      </c>
      <c r="P158" s="105" t="s">
        <v>1437</v>
      </c>
      <c r="Q158" s="100">
        <v>46043.0</v>
      </c>
      <c r="R158" s="96"/>
      <c r="S158" s="96"/>
      <c r="T158" s="96"/>
      <c r="U158" s="96"/>
      <c r="V158" s="96"/>
      <c r="W158" s="96"/>
      <c r="X158" s="96"/>
      <c r="Y158" s="96"/>
      <c r="Z158" s="96"/>
      <c r="AA158" s="96"/>
      <c r="AB158" s="96"/>
      <c r="AC158" s="96"/>
      <c r="AD158" s="96"/>
    </row>
    <row r="159">
      <c r="A159" s="188" t="s">
        <v>1439</v>
      </c>
      <c r="B159" s="103" t="s">
        <v>276</v>
      </c>
      <c r="C159" s="54" t="s">
        <v>277</v>
      </c>
      <c r="D159" s="66" t="s">
        <v>230</v>
      </c>
      <c r="E159" s="156" t="s">
        <v>1441</v>
      </c>
      <c r="F159" s="100"/>
      <c r="G159" s="206">
        <v>46037.0</v>
      </c>
      <c r="H159" s="58">
        <v>0.0</v>
      </c>
      <c r="I159" s="66" t="s">
        <v>302</v>
      </c>
      <c r="J159" s="66" t="s">
        <v>570</v>
      </c>
      <c r="K159" s="66" t="s">
        <v>407</v>
      </c>
      <c r="L159" s="207" t="s">
        <v>1443</v>
      </c>
      <c r="M159" s="66"/>
      <c r="N159" s="100">
        <v>46045.0</v>
      </c>
      <c r="O159" s="55" t="str">
        <f t="shared" si="1"/>
        <v>CONCLUÍDO</v>
      </c>
      <c r="P159" s="208" t="s">
        <v>1445</v>
      </c>
      <c r="Q159" s="100">
        <v>46049.0</v>
      </c>
      <c r="R159" s="96"/>
      <c r="S159" s="96"/>
      <c r="T159" s="96"/>
      <c r="U159" s="96"/>
      <c r="V159" s="96"/>
      <c r="W159" s="96"/>
      <c r="X159" s="96"/>
      <c r="Y159" s="96"/>
      <c r="Z159" s="96"/>
      <c r="AA159" s="96"/>
      <c r="AB159" s="96"/>
      <c r="AC159" s="96"/>
      <c r="AD159" s="96"/>
    </row>
    <row r="160">
      <c r="A160" s="93"/>
      <c r="B160" s="103" t="s">
        <v>276</v>
      </c>
      <c r="C160" s="54" t="s">
        <v>277</v>
      </c>
      <c r="D160" s="66" t="s">
        <v>230</v>
      </c>
      <c r="E160" s="93"/>
      <c r="F160" s="100"/>
      <c r="G160" s="93"/>
      <c r="H160" s="58">
        <v>0.0</v>
      </c>
      <c r="I160" s="66" t="s">
        <v>302</v>
      </c>
      <c r="J160" s="66" t="s">
        <v>473</v>
      </c>
      <c r="K160" s="66" t="s">
        <v>474</v>
      </c>
      <c r="L160" s="93"/>
      <c r="M160" s="66"/>
      <c r="N160" s="100">
        <v>46042.0</v>
      </c>
      <c r="O160" s="55" t="str">
        <f t="shared" si="1"/>
        <v>CONCLUÍDO</v>
      </c>
      <c r="P160" s="93"/>
      <c r="Q160" s="100">
        <v>46042.0</v>
      </c>
      <c r="R160" s="96"/>
      <c r="S160" s="96"/>
      <c r="T160" s="96"/>
      <c r="U160" s="96"/>
      <c r="V160" s="96"/>
      <c r="W160" s="96"/>
      <c r="X160" s="96"/>
      <c r="Y160" s="96"/>
      <c r="Z160" s="96"/>
      <c r="AA160" s="96"/>
      <c r="AB160" s="96"/>
      <c r="AC160" s="96"/>
      <c r="AD160" s="96"/>
    </row>
    <row r="161">
      <c r="A161" s="190" t="s">
        <v>1449</v>
      </c>
      <c r="B161" s="103" t="s">
        <v>276</v>
      </c>
      <c r="C161" s="54" t="s">
        <v>570</v>
      </c>
      <c r="D161" s="66" t="s">
        <v>230</v>
      </c>
      <c r="E161" s="66" t="s">
        <v>1441</v>
      </c>
      <c r="F161" s="100"/>
      <c r="G161" s="100">
        <v>46036.0</v>
      </c>
      <c r="H161" s="58">
        <v>0.0</v>
      </c>
      <c r="I161" s="66" t="s">
        <v>302</v>
      </c>
      <c r="J161" s="66" t="s">
        <v>692</v>
      </c>
      <c r="K161" s="66" t="s">
        <v>407</v>
      </c>
      <c r="L161" s="104" t="s">
        <v>1451</v>
      </c>
      <c r="M161" s="66" t="s">
        <v>1452</v>
      </c>
      <c r="N161" s="100">
        <v>46059.0</v>
      </c>
      <c r="O161" s="55" t="str">
        <f t="shared" si="1"/>
        <v>CONCLUÍDO</v>
      </c>
      <c r="P161" s="209" t="s">
        <v>1453</v>
      </c>
      <c r="Q161" s="100">
        <v>46059.0</v>
      </c>
      <c r="R161" s="96"/>
      <c r="S161" s="96"/>
      <c r="T161" s="96"/>
      <c r="U161" s="96"/>
      <c r="V161" s="96"/>
      <c r="W161" s="96"/>
      <c r="X161" s="96"/>
      <c r="Y161" s="96"/>
      <c r="Z161" s="96"/>
      <c r="AA161" s="96"/>
      <c r="AB161" s="96"/>
      <c r="AC161" s="96"/>
      <c r="AD161" s="96"/>
    </row>
    <row r="162">
      <c r="A162" s="190" t="s">
        <v>1458</v>
      </c>
      <c r="B162" s="103" t="s">
        <v>1459</v>
      </c>
      <c r="C162" s="54" t="s">
        <v>277</v>
      </c>
      <c r="D162" s="66" t="s">
        <v>571</v>
      </c>
      <c r="E162" s="66" t="s">
        <v>1461</v>
      </c>
      <c r="F162" s="100"/>
      <c r="G162" s="100">
        <v>46041.0</v>
      </c>
      <c r="H162" s="58">
        <v>0.0</v>
      </c>
      <c r="I162" s="66" t="s">
        <v>771</v>
      </c>
      <c r="J162" s="66" t="s">
        <v>772</v>
      </c>
      <c r="K162" s="66" t="s">
        <v>776</v>
      </c>
      <c r="L162" s="104" t="s">
        <v>1462</v>
      </c>
      <c r="M162" s="66"/>
      <c r="N162" s="100">
        <v>46052.0</v>
      </c>
      <c r="O162" s="55" t="str">
        <f t="shared" si="1"/>
        <v>VENCIDO</v>
      </c>
      <c r="P162" s="105"/>
      <c r="Q162" s="100"/>
      <c r="R162" s="96"/>
      <c r="S162" s="96"/>
      <c r="T162" s="96"/>
      <c r="U162" s="96"/>
      <c r="V162" s="96"/>
      <c r="W162" s="96"/>
      <c r="X162" s="96"/>
      <c r="Y162" s="96"/>
      <c r="Z162" s="96"/>
      <c r="AA162" s="96"/>
      <c r="AB162" s="96"/>
      <c r="AC162" s="96"/>
      <c r="AD162" s="96"/>
    </row>
    <row r="163">
      <c r="A163" s="190" t="s">
        <v>1464</v>
      </c>
      <c r="B163" s="103" t="s">
        <v>276</v>
      </c>
      <c r="C163" s="54" t="s">
        <v>277</v>
      </c>
      <c r="D163" s="66" t="s">
        <v>328</v>
      </c>
      <c r="E163" s="66" t="s">
        <v>1466</v>
      </c>
      <c r="F163" s="100"/>
      <c r="G163" s="100">
        <v>46044.0</v>
      </c>
      <c r="H163" s="58">
        <v>0.0</v>
      </c>
      <c r="I163" s="66" t="s">
        <v>302</v>
      </c>
      <c r="J163" s="66" t="s">
        <v>277</v>
      </c>
      <c r="K163" s="66" t="s">
        <v>314</v>
      </c>
      <c r="L163" s="104" t="s">
        <v>1467</v>
      </c>
      <c r="M163" s="66"/>
      <c r="N163" s="100">
        <v>46044.0</v>
      </c>
      <c r="O163" s="55" t="str">
        <f t="shared" si="1"/>
        <v>CONCLUÍDO</v>
      </c>
      <c r="P163" s="105" t="s">
        <v>1468</v>
      </c>
      <c r="Q163" s="100">
        <v>46044.0</v>
      </c>
      <c r="R163" s="96"/>
      <c r="S163" s="96"/>
      <c r="T163" s="96"/>
      <c r="U163" s="96"/>
      <c r="V163" s="96"/>
      <c r="W163" s="96"/>
      <c r="X163" s="96"/>
      <c r="Y163" s="96"/>
      <c r="Z163" s="96"/>
      <c r="AA163" s="96"/>
      <c r="AB163" s="96"/>
      <c r="AC163" s="96"/>
      <c r="AD163" s="96"/>
    </row>
    <row r="164">
      <c r="A164" s="190" t="s">
        <v>1470</v>
      </c>
      <c r="B164" s="103" t="s">
        <v>276</v>
      </c>
      <c r="C164" s="54" t="s">
        <v>277</v>
      </c>
      <c r="D164" s="66" t="s">
        <v>328</v>
      </c>
      <c r="E164" s="66" t="s">
        <v>1472</v>
      </c>
      <c r="F164" s="100"/>
      <c r="G164" s="100">
        <v>46044.0</v>
      </c>
      <c r="H164" s="58">
        <v>0.0</v>
      </c>
      <c r="I164" s="66" t="s">
        <v>302</v>
      </c>
      <c r="J164" s="66" t="s">
        <v>772</v>
      </c>
      <c r="K164" s="66" t="s">
        <v>776</v>
      </c>
      <c r="L164" s="104" t="s">
        <v>1473</v>
      </c>
      <c r="M164" s="66"/>
      <c r="N164" s="100">
        <v>46045.0</v>
      </c>
      <c r="O164" s="55" t="str">
        <f t="shared" si="1"/>
        <v>CONCLUÍDO</v>
      </c>
      <c r="P164" s="105" t="s">
        <v>1475</v>
      </c>
      <c r="Q164" s="178">
        <v>46079.0</v>
      </c>
      <c r="R164" s="96"/>
      <c r="S164" s="96"/>
      <c r="T164" s="96"/>
      <c r="U164" s="96"/>
      <c r="V164" s="96"/>
      <c r="W164" s="96"/>
      <c r="X164" s="96"/>
      <c r="Y164" s="96"/>
      <c r="Z164" s="96"/>
      <c r="AA164" s="96"/>
      <c r="AB164" s="96"/>
      <c r="AC164" s="96"/>
      <c r="AD164" s="96"/>
    </row>
    <row r="165">
      <c r="A165" s="190" t="s">
        <v>1476</v>
      </c>
      <c r="B165" s="103" t="s">
        <v>276</v>
      </c>
      <c r="C165" s="54" t="s">
        <v>277</v>
      </c>
      <c r="D165" s="66" t="s">
        <v>328</v>
      </c>
      <c r="E165" s="66" t="s">
        <v>515</v>
      </c>
      <c r="F165" s="100"/>
      <c r="G165" s="100">
        <v>46045.0</v>
      </c>
      <c r="H165" s="58">
        <v>0.0</v>
      </c>
      <c r="I165" s="66" t="s">
        <v>302</v>
      </c>
      <c r="J165" s="66" t="s">
        <v>277</v>
      </c>
      <c r="K165" s="66" t="s">
        <v>314</v>
      </c>
      <c r="L165" s="104" t="s">
        <v>1478</v>
      </c>
      <c r="M165" s="66"/>
      <c r="N165" s="100">
        <v>46045.0</v>
      </c>
      <c r="O165" s="55" t="str">
        <f t="shared" si="1"/>
        <v>CONCLUÍDO</v>
      </c>
      <c r="P165" s="105"/>
      <c r="Q165" s="100">
        <v>46045.0</v>
      </c>
      <c r="R165" s="96"/>
      <c r="S165" s="96"/>
      <c r="T165" s="96"/>
      <c r="U165" s="96"/>
      <c r="V165" s="96"/>
      <c r="W165" s="96"/>
      <c r="X165" s="96"/>
      <c r="Y165" s="96"/>
      <c r="Z165" s="96"/>
      <c r="AA165" s="96"/>
      <c r="AB165" s="96"/>
      <c r="AC165" s="96"/>
      <c r="AD165" s="96"/>
    </row>
    <row r="166">
      <c r="A166" s="190" t="s">
        <v>1480</v>
      </c>
      <c r="B166" s="103" t="s">
        <v>276</v>
      </c>
      <c r="C166" s="54" t="s">
        <v>277</v>
      </c>
      <c r="D166" s="66" t="s">
        <v>328</v>
      </c>
      <c r="E166" s="66" t="s">
        <v>1268</v>
      </c>
      <c r="F166" s="100"/>
      <c r="G166" s="100">
        <v>46045.0</v>
      </c>
      <c r="H166" s="58">
        <v>0.0</v>
      </c>
      <c r="I166" s="66" t="s">
        <v>302</v>
      </c>
      <c r="J166" s="66" t="s">
        <v>473</v>
      </c>
      <c r="K166" s="66" t="s">
        <v>314</v>
      </c>
      <c r="L166" s="104" t="s">
        <v>1484</v>
      </c>
      <c r="M166" s="66"/>
      <c r="N166" s="100">
        <v>46045.0</v>
      </c>
      <c r="O166" s="55" t="str">
        <f t="shared" si="1"/>
        <v>CONCLUÍDO</v>
      </c>
      <c r="P166" s="105" t="s">
        <v>1485</v>
      </c>
      <c r="Q166" s="100">
        <v>46045.0</v>
      </c>
      <c r="R166" s="96"/>
      <c r="S166" s="96"/>
      <c r="T166" s="96"/>
      <c r="U166" s="96"/>
      <c r="V166" s="96"/>
      <c r="W166" s="96"/>
      <c r="X166" s="96"/>
      <c r="Y166" s="96"/>
      <c r="Z166" s="96"/>
      <c r="AA166" s="96"/>
      <c r="AB166" s="96"/>
      <c r="AC166" s="96"/>
      <c r="AD166" s="96"/>
    </row>
    <row r="167">
      <c r="A167" s="190" t="s">
        <v>1486</v>
      </c>
      <c r="B167" s="103" t="s">
        <v>276</v>
      </c>
      <c r="C167" s="54" t="s">
        <v>277</v>
      </c>
      <c r="D167" s="66" t="s">
        <v>328</v>
      </c>
      <c r="E167" s="66" t="s">
        <v>1472</v>
      </c>
      <c r="F167" s="100"/>
      <c r="G167" s="100">
        <v>46045.0</v>
      </c>
      <c r="H167" s="58">
        <v>0.0</v>
      </c>
      <c r="I167" s="66" t="s">
        <v>302</v>
      </c>
      <c r="J167" s="66" t="s">
        <v>772</v>
      </c>
      <c r="K167" s="66" t="s">
        <v>776</v>
      </c>
      <c r="L167" s="104" t="s">
        <v>1488</v>
      </c>
      <c r="M167" s="66"/>
      <c r="N167" s="100">
        <v>46045.0</v>
      </c>
      <c r="O167" s="55" t="str">
        <f t="shared" si="1"/>
        <v>CONCLUÍDO</v>
      </c>
      <c r="P167" s="105" t="s">
        <v>1490</v>
      </c>
      <c r="Q167" s="100">
        <v>46097.0</v>
      </c>
      <c r="R167" s="96"/>
      <c r="S167" s="96"/>
      <c r="T167" s="96"/>
      <c r="U167" s="96"/>
      <c r="V167" s="96"/>
      <c r="W167" s="96"/>
      <c r="X167" s="96"/>
      <c r="Y167" s="96"/>
      <c r="Z167" s="96"/>
      <c r="AA167" s="96"/>
      <c r="AB167" s="96"/>
      <c r="AC167" s="96"/>
      <c r="AD167" s="96"/>
    </row>
    <row r="168">
      <c r="A168" s="190" t="s">
        <v>1492</v>
      </c>
      <c r="B168" s="103" t="s">
        <v>276</v>
      </c>
      <c r="C168" s="54" t="s">
        <v>277</v>
      </c>
      <c r="D168" s="66" t="s">
        <v>1248</v>
      </c>
      <c r="E168" s="66" t="s">
        <v>1493</v>
      </c>
      <c r="F168" s="100"/>
      <c r="G168" s="100">
        <v>46045.0</v>
      </c>
      <c r="H168" s="58">
        <v>0.0</v>
      </c>
      <c r="I168" s="66" t="s">
        <v>302</v>
      </c>
      <c r="J168" s="66" t="s">
        <v>700</v>
      </c>
      <c r="K168" s="66" t="s">
        <v>314</v>
      </c>
      <c r="L168" s="104" t="s">
        <v>1495</v>
      </c>
      <c r="M168" s="66"/>
      <c r="N168" s="100">
        <v>46045.0</v>
      </c>
      <c r="O168" s="55" t="str">
        <f t="shared" si="1"/>
        <v>CONCLUÍDO</v>
      </c>
      <c r="P168" s="105"/>
      <c r="Q168" s="100">
        <v>46045.0</v>
      </c>
      <c r="R168" s="96"/>
      <c r="S168" s="96"/>
      <c r="T168" s="96"/>
      <c r="U168" s="96"/>
      <c r="V168" s="96"/>
      <c r="W168" s="96"/>
      <c r="X168" s="96"/>
      <c r="Y168" s="96"/>
      <c r="Z168" s="96"/>
      <c r="AA168" s="96"/>
      <c r="AB168" s="96"/>
      <c r="AC168" s="96"/>
      <c r="AD168" s="96"/>
    </row>
    <row r="169">
      <c r="A169" s="190" t="s">
        <v>1497</v>
      </c>
      <c r="B169" s="103" t="s">
        <v>276</v>
      </c>
      <c r="C169" s="54" t="s">
        <v>277</v>
      </c>
      <c r="D169" s="66" t="s">
        <v>230</v>
      </c>
      <c r="E169" s="66" t="s">
        <v>620</v>
      </c>
      <c r="F169" s="100"/>
      <c r="G169" s="100">
        <v>46045.0</v>
      </c>
      <c r="H169" s="58">
        <v>0.0</v>
      </c>
      <c r="I169" s="66" t="s">
        <v>302</v>
      </c>
      <c r="J169" s="66" t="s">
        <v>277</v>
      </c>
      <c r="K169" s="66" t="s">
        <v>314</v>
      </c>
      <c r="L169" s="104" t="s">
        <v>1499</v>
      </c>
      <c r="M169" s="66" t="s">
        <v>1500</v>
      </c>
      <c r="N169" s="100">
        <v>46044.0</v>
      </c>
      <c r="O169" s="55" t="str">
        <f t="shared" si="1"/>
        <v>CONCLUÍDO</v>
      </c>
      <c r="P169" s="105" t="s">
        <v>1502</v>
      </c>
      <c r="Q169" s="100">
        <v>46045.0</v>
      </c>
      <c r="R169" s="96"/>
      <c r="S169" s="96"/>
      <c r="T169" s="96"/>
      <c r="U169" s="96"/>
      <c r="V169" s="96"/>
      <c r="W169" s="96"/>
      <c r="X169" s="96"/>
      <c r="Y169" s="96"/>
      <c r="Z169" s="96"/>
      <c r="AA169" s="96"/>
      <c r="AB169" s="96"/>
      <c r="AC169" s="96"/>
      <c r="AD169" s="96"/>
    </row>
    <row r="170">
      <c r="A170" s="190" t="s">
        <v>1504</v>
      </c>
      <c r="B170" s="103" t="s">
        <v>276</v>
      </c>
      <c r="C170" s="54" t="s">
        <v>277</v>
      </c>
      <c r="D170" s="66" t="s">
        <v>328</v>
      </c>
      <c r="E170" s="66" t="s">
        <v>730</v>
      </c>
      <c r="F170" s="100"/>
      <c r="G170" s="100">
        <v>46048.0</v>
      </c>
      <c r="H170" s="58">
        <v>0.0</v>
      </c>
      <c r="I170" s="66" t="s">
        <v>302</v>
      </c>
      <c r="J170" s="66" t="s">
        <v>277</v>
      </c>
      <c r="K170" s="66" t="s">
        <v>314</v>
      </c>
      <c r="L170" s="104" t="s">
        <v>1506</v>
      </c>
      <c r="M170" s="66"/>
      <c r="N170" s="100">
        <v>46048.0</v>
      </c>
      <c r="O170" s="55" t="str">
        <f t="shared" si="1"/>
        <v>CONCLUÍDO</v>
      </c>
      <c r="P170" s="105" t="s">
        <v>1507</v>
      </c>
      <c r="Q170" s="100">
        <v>46048.0</v>
      </c>
      <c r="R170" s="96"/>
      <c r="S170" s="96"/>
      <c r="T170" s="96"/>
      <c r="U170" s="96"/>
      <c r="V170" s="96"/>
      <c r="W170" s="96"/>
      <c r="X170" s="96"/>
      <c r="Y170" s="96"/>
      <c r="Z170" s="96"/>
      <c r="AA170" s="96"/>
      <c r="AB170" s="96"/>
      <c r="AC170" s="96"/>
      <c r="AD170" s="96"/>
    </row>
    <row r="171">
      <c r="A171" s="190" t="s">
        <v>1509</v>
      </c>
      <c r="B171" s="103" t="s">
        <v>276</v>
      </c>
      <c r="C171" s="54" t="s">
        <v>277</v>
      </c>
      <c r="D171" s="66" t="s">
        <v>328</v>
      </c>
      <c r="E171" s="66" t="s">
        <v>1510</v>
      </c>
      <c r="F171" s="100"/>
      <c r="G171" s="100">
        <v>46048.0</v>
      </c>
      <c r="H171" s="58">
        <v>0.0</v>
      </c>
      <c r="I171" s="66" t="s">
        <v>302</v>
      </c>
      <c r="J171" s="66" t="s">
        <v>277</v>
      </c>
      <c r="K171" s="66" t="s">
        <v>314</v>
      </c>
      <c r="L171" s="104" t="s">
        <v>1506</v>
      </c>
      <c r="M171" s="66"/>
      <c r="N171" s="100">
        <v>46049.0</v>
      </c>
      <c r="O171" s="55" t="str">
        <f t="shared" si="1"/>
        <v>CONCLUÍDO</v>
      </c>
      <c r="P171" s="105" t="s">
        <v>1512</v>
      </c>
      <c r="Q171" s="100">
        <v>46049.0</v>
      </c>
      <c r="R171" s="96"/>
      <c r="S171" s="96"/>
      <c r="T171" s="96"/>
      <c r="U171" s="96"/>
      <c r="V171" s="96"/>
      <c r="W171" s="96"/>
      <c r="X171" s="96"/>
      <c r="Y171" s="96"/>
      <c r="Z171" s="96"/>
      <c r="AA171" s="96"/>
      <c r="AB171" s="96"/>
      <c r="AC171" s="96"/>
      <c r="AD171" s="96"/>
    </row>
    <row r="172">
      <c r="A172" s="190" t="s">
        <v>1514</v>
      </c>
      <c r="B172" s="103" t="s">
        <v>276</v>
      </c>
      <c r="C172" s="54" t="s">
        <v>277</v>
      </c>
      <c r="D172" s="66" t="s">
        <v>328</v>
      </c>
      <c r="E172" s="66" t="s">
        <v>1384</v>
      </c>
      <c r="F172" s="100"/>
      <c r="G172" s="100">
        <v>46048.0</v>
      </c>
      <c r="H172" s="58">
        <v>0.0</v>
      </c>
      <c r="I172" s="66" t="s">
        <v>302</v>
      </c>
      <c r="J172" s="66" t="s">
        <v>277</v>
      </c>
      <c r="K172" s="66" t="s">
        <v>314</v>
      </c>
      <c r="L172" s="104" t="s">
        <v>1516</v>
      </c>
      <c r="M172" s="104" t="s">
        <v>1517</v>
      </c>
      <c r="N172" s="100">
        <v>46048.0</v>
      </c>
      <c r="O172" s="55" t="str">
        <f t="shared" si="1"/>
        <v>CONCLUÍDO</v>
      </c>
      <c r="P172" s="105" t="s">
        <v>1518</v>
      </c>
      <c r="Q172" s="100">
        <v>46048.0</v>
      </c>
      <c r="R172" s="96"/>
      <c r="S172" s="96"/>
      <c r="T172" s="96"/>
      <c r="U172" s="96"/>
      <c r="V172" s="96"/>
      <c r="W172" s="96"/>
      <c r="X172" s="96"/>
      <c r="Y172" s="96"/>
      <c r="Z172" s="96"/>
      <c r="AA172" s="96"/>
      <c r="AB172" s="96"/>
      <c r="AC172" s="96"/>
      <c r="AD172" s="96"/>
    </row>
    <row r="173">
      <c r="A173" s="190" t="s">
        <v>1519</v>
      </c>
      <c r="B173" s="103" t="s">
        <v>276</v>
      </c>
      <c r="C173" s="54" t="s">
        <v>277</v>
      </c>
      <c r="D173" s="66" t="s">
        <v>328</v>
      </c>
      <c r="E173" s="66" t="s">
        <v>1520</v>
      </c>
      <c r="F173" s="100"/>
      <c r="G173" s="100">
        <v>46048.0</v>
      </c>
      <c r="H173" s="58">
        <v>0.0</v>
      </c>
      <c r="I173" s="66" t="s">
        <v>302</v>
      </c>
      <c r="J173" s="66" t="s">
        <v>473</v>
      </c>
      <c r="K173" s="66" t="s">
        <v>474</v>
      </c>
      <c r="L173" s="104" t="s">
        <v>1522</v>
      </c>
      <c r="M173" s="66"/>
      <c r="N173" s="100">
        <v>46049.0</v>
      </c>
      <c r="O173" s="55" t="str">
        <f t="shared" si="1"/>
        <v>CONCLUÍDO</v>
      </c>
      <c r="P173" s="105" t="s">
        <v>1523</v>
      </c>
      <c r="Q173" s="100">
        <v>46049.0</v>
      </c>
      <c r="R173" s="96"/>
      <c r="S173" s="96"/>
      <c r="T173" s="96"/>
      <c r="U173" s="96"/>
      <c r="V173" s="96"/>
      <c r="W173" s="96"/>
      <c r="X173" s="96"/>
      <c r="Y173" s="96"/>
      <c r="Z173" s="96"/>
      <c r="AA173" s="96"/>
      <c r="AB173" s="96"/>
      <c r="AC173" s="96"/>
      <c r="AD173" s="96"/>
    </row>
    <row r="174">
      <c r="A174" s="190" t="s">
        <v>1526</v>
      </c>
      <c r="B174" s="103" t="s">
        <v>276</v>
      </c>
      <c r="C174" s="54" t="s">
        <v>277</v>
      </c>
      <c r="D174" s="66" t="s">
        <v>328</v>
      </c>
      <c r="E174" s="66" t="s">
        <v>1527</v>
      </c>
      <c r="F174" s="100"/>
      <c r="G174" s="100">
        <v>46048.0</v>
      </c>
      <c r="H174" s="58">
        <v>0.0</v>
      </c>
      <c r="I174" s="66" t="s">
        <v>302</v>
      </c>
      <c r="J174" s="66" t="s">
        <v>473</v>
      </c>
      <c r="K174" s="66" t="s">
        <v>474</v>
      </c>
      <c r="L174" s="104" t="s">
        <v>1529</v>
      </c>
      <c r="M174" s="66"/>
      <c r="N174" s="100">
        <v>46059.0</v>
      </c>
      <c r="O174" s="55" t="str">
        <f t="shared" si="1"/>
        <v>CONCLUÍDO</v>
      </c>
      <c r="P174" s="105" t="s">
        <v>1530</v>
      </c>
      <c r="Q174" s="100">
        <v>46056.0</v>
      </c>
      <c r="R174" s="96"/>
      <c r="S174" s="96"/>
      <c r="T174" s="96"/>
      <c r="U174" s="96"/>
      <c r="V174" s="96"/>
      <c r="W174" s="96"/>
      <c r="X174" s="96"/>
      <c r="Y174" s="96"/>
      <c r="Z174" s="96"/>
      <c r="AA174" s="96"/>
      <c r="AB174" s="96"/>
      <c r="AC174" s="96"/>
      <c r="AD174" s="96"/>
    </row>
    <row r="175">
      <c r="A175" s="190" t="s">
        <v>1532</v>
      </c>
      <c r="B175" s="103" t="s">
        <v>276</v>
      </c>
      <c r="C175" s="54" t="s">
        <v>570</v>
      </c>
      <c r="D175" s="66" t="s">
        <v>328</v>
      </c>
      <c r="E175" s="162" t="s">
        <v>605</v>
      </c>
      <c r="F175" s="212"/>
      <c r="G175" s="212">
        <v>46043.0</v>
      </c>
      <c r="H175" s="58">
        <v>0.0</v>
      </c>
      <c r="I175" s="66" t="s">
        <v>302</v>
      </c>
      <c r="J175" s="213" t="s">
        <v>570</v>
      </c>
      <c r="K175" s="213" t="s">
        <v>407</v>
      </c>
      <c r="L175" s="104" t="s">
        <v>1430</v>
      </c>
      <c r="M175" s="66" t="s">
        <v>1222</v>
      </c>
      <c r="N175" s="100">
        <v>46048.0</v>
      </c>
      <c r="O175" s="55" t="str">
        <f t="shared" si="1"/>
        <v>CONCLUÍDO</v>
      </c>
      <c r="P175" s="105" t="s">
        <v>1431</v>
      </c>
      <c r="Q175" s="100">
        <v>46048.0</v>
      </c>
      <c r="R175" s="96"/>
      <c r="S175" s="96"/>
      <c r="T175" s="96"/>
      <c r="U175" s="96"/>
      <c r="V175" s="96"/>
      <c r="W175" s="96"/>
      <c r="X175" s="96"/>
      <c r="Y175" s="96"/>
      <c r="Z175" s="96"/>
      <c r="AA175" s="96"/>
      <c r="AB175" s="96"/>
      <c r="AC175" s="96"/>
      <c r="AD175" s="96"/>
    </row>
    <row r="176">
      <c r="A176" s="190" t="s">
        <v>1536</v>
      </c>
      <c r="B176" s="103" t="s">
        <v>276</v>
      </c>
      <c r="C176" s="54" t="s">
        <v>570</v>
      </c>
      <c r="D176" s="66" t="s">
        <v>582</v>
      </c>
      <c r="E176" s="66" t="s">
        <v>1537</v>
      </c>
      <c r="F176" s="100"/>
      <c r="G176" s="100">
        <v>46048.0</v>
      </c>
      <c r="H176" s="58">
        <v>0.0</v>
      </c>
      <c r="I176" s="66" t="s">
        <v>302</v>
      </c>
      <c r="J176" s="66" t="s">
        <v>570</v>
      </c>
      <c r="K176" s="66" t="s">
        <v>407</v>
      </c>
      <c r="L176" s="104" t="s">
        <v>1538</v>
      </c>
      <c r="M176" s="66" t="s">
        <v>1540</v>
      </c>
      <c r="N176" s="100">
        <v>46048.0</v>
      </c>
      <c r="O176" s="55" t="str">
        <f t="shared" si="1"/>
        <v>CONCLUÍDO</v>
      </c>
      <c r="P176" s="105" t="s">
        <v>1541</v>
      </c>
      <c r="Q176" s="100">
        <v>46048.0</v>
      </c>
      <c r="R176" s="96"/>
      <c r="S176" s="96"/>
      <c r="T176" s="96"/>
      <c r="U176" s="96"/>
      <c r="V176" s="96"/>
      <c r="W176" s="96"/>
      <c r="X176" s="96"/>
      <c r="Y176" s="96"/>
      <c r="Z176" s="96"/>
      <c r="AA176" s="96"/>
      <c r="AB176" s="96"/>
      <c r="AC176" s="96"/>
      <c r="AD176" s="96"/>
    </row>
    <row r="177">
      <c r="A177" s="190" t="s">
        <v>1543</v>
      </c>
      <c r="B177" s="103" t="s">
        <v>276</v>
      </c>
      <c r="C177" s="54" t="s">
        <v>570</v>
      </c>
      <c r="D177" s="66" t="s">
        <v>571</v>
      </c>
      <c r="E177" s="66" t="s">
        <v>1545</v>
      </c>
      <c r="F177" s="100"/>
      <c r="G177" s="100">
        <v>46048.0</v>
      </c>
      <c r="H177" s="58">
        <v>0.0</v>
      </c>
      <c r="I177" s="66" t="s">
        <v>302</v>
      </c>
      <c r="J177" s="66" t="s">
        <v>570</v>
      </c>
      <c r="K177" s="66" t="s">
        <v>407</v>
      </c>
      <c r="L177" s="104" t="s">
        <v>1546</v>
      </c>
      <c r="M177" s="66"/>
      <c r="N177" s="100">
        <v>46051.0</v>
      </c>
      <c r="O177" s="55" t="str">
        <f t="shared" si="1"/>
        <v>CONCLUÍDO</v>
      </c>
      <c r="P177" s="105" t="s">
        <v>1548</v>
      </c>
      <c r="Q177" s="100">
        <v>46049.0</v>
      </c>
      <c r="R177" s="214" t="s">
        <v>1549</v>
      </c>
      <c r="S177" s="96"/>
      <c r="T177" s="96"/>
      <c r="U177" s="96"/>
      <c r="V177" s="96"/>
      <c r="W177" s="96"/>
      <c r="X177" s="96"/>
      <c r="Y177" s="96"/>
      <c r="Z177" s="96"/>
      <c r="AA177" s="96"/>
      <c r="AB177" s="96"/>
      <c r="AC177" s="96"/>
      <c r="AD177" s="96"/>
    </row>
    <row r="178">
      <c r="A178" s="190" t="s">
        <v>1550</v>
      </c>
      <c r="B178" s="103" t="s">
        <v>276</v>
      </c>
      <c r="C178" s="54" t="s">
        <v>277</v>
      </c>
      <c r="D178" s="66" t="s">
        <v>404</v>
      </c>
      <c r="E178" s="66" t="s">
        <v>1552</v>
      </c>
      <c r="F178" s="100"/>
      <c r="G178" s="100">
        <v>46049.0</v>
      </c>
      <c r="H178" s="58">
        <v>0.0</v>
      </c>
      <c r="I178" s="66" t="s">
        <v>302</v>
      </c>
      <c r="J178" s="66" t="s">
        <v>277</v>
      </c>
      <c r="K178" s="66" t="s">
        <v>314</v>
      </c>
      <c r="L178" s="104" t="s">
        <v>1553</v>
      </c>
      <c r="M178" s="66"/>
      <c r="N178" s="100">
        <v>46049.0</v>
      </c>
      <c r="O178" s="55" t="str">
        <f t="shared" si="1"/>
        <v>CONCLUÍDO</v>
      </c>
      <c r="P178" s="105" t="s">
        <v>1555</v>
      </c>
      <c r="Q178" s="100">
        <v>46049.0</v>
      </c>
      <c r="R178" s="96"/>
      <c r="S178" s="96"/>
      <c r="T178" s="96"/>
      <c r="U178" s="96"/>
      <c r="V178" s="96"/>
      <c r="W178" s="96"/>
      <c r="X178" s="96"/>
      <c r="Y178" s="96"/>
      <c r="Z178" s="96"/>
      <c r="AA178" s="96"/>
      <c r="AB178" s="96"/>
      <c r="AC178" s="96"/>
      <c r="AD178" s="96"/>
    </row>
    <row r="179">
      <c r="A179" s="190" t="s">
        <v>1557</v>
      </c>
      <c r="B179" s="103" t="s">
        <v>276</v>
      </c>
      <c r="C179" s="54" t="s">
        <v>277</v>
      </c>
      <c r="D179" s="66" t="s">
        <v>230</v>
      </c>
      <c r="E179" s="66" t="s">
        <v>1552</v>
      </c>
      <c r="F179" s="100"/>
      <c r="G179" s="100">
        <v>46049.0</v>
      </c>
      <c r="H179" s="58">
        <v>0.0</v>
      </c>
      <c r="I179" s="66" t="s">
        <v>302</v>
      </c>
      <c r="J179" s="66" t="s">
        <v>277</v>
      </c>
      <c r="K179" s="66" t="s">
        <v>314</v>
      </c>
      <c r="L179" s="104" t="s">
        <v>1560</v>
      </c>
      <c r="M179" s="66"/>
      <c r="N179" s="100">
        <v>46049.0</v>
      </c>
      <c r="O179" s="55" t="str">
        <f t="shared" si="1"/>
        <v>CONCLUÍDO</v>
      </c>
      <c r="P179" s="105" t="s">
        <v>1555</v>
      </c>
      <c r="Q179" s="100">
        <v>46049.0</v>
      </c>
      <c r="R179" s="96"/>
      <c r="S179" s="96"/>
      <c r="T179" s="96"/>
      <c r="U179" s="96"/>
      <c r="V179" s="96"/>
      <c r="W179" s="96"/>
      <c r="X179" s="96"/>
      <c r="Y179" s="96"/>
      <c r="Z179" s="96"/>
      <c r="AA179" s="96"/>
      <c r="AB179" s="96"/>
      <c r="AC179" s="96"/>
      <c r="AD179" s="96"/>
    </row>
    <row r="180">
      <c r="A180" s="190" t="s">
        <v>1563</v>
      </c>
      <c r="B180" s="103" t="s">
        <v>276</v>
      </c>
      <c r="C180" s="54" t="s">
        <v>570</v>
      </c>
      <c r="D180" s="66" t="s">
        <v>404</v>
      </c>
      <c r="E180" s="66" t="s">
        <v>1552</v>
      </c>
      <c r="F180" s="100"/>
      <c r="G180" s="100">
        <v>46049.0</v>
      </c>
      <c r="H180" s="58">
        <v>0.0</v>
      </c>
      <c r="I180" s="66" t="s">
        <v>302</v>
      </c>
      <c r="J180" s="66" t="s">
        <v>570</v>
      </c>
      <c r="K180" s="66" t="s">
        <v>407</v>
      </c>
      <c r="L180" s="104" t="s">
        <v>1565</v>
      </c>
      <c r="M180" s="66" t="s">
        <v>1365</v>
      </c>
      <c r="N180" s="100">
        <v>46049.0</v>
      </c>
      <c r="O180" s="55" t="str">
        <f t="shared" si="1"/>
        <v>CONCLUÍDO</v>
      </c>
      <c r="P180" s="105" t="s">
        <v>1566</v>
      </c>
      <c r="Q180" s="100">
        <v>46049.0</v>
      </c>
      <c r="R180" s="96"/>
      <c r="S180" s="96"/>
      <c r="T180" s="96"/>
      <c r="U180" s="96"/>
      <c r="V180" s="96"/>
      <c r="W180" s="96"/>
      <c r="X180" s="96"/>
      <c r="Y180" s="96"/>
      <c r="Z180" s="96"/>
      <c r="AA180" s="96"/>
      <c r="AB180" s="96"/>
      <c r="AC180" s="96"/>
      <c r="AD180" s="96"/>
    </row>
    <row r="181">
      <c r="A181" s="190" t="s">
        <v>1568</v>
      </c>
      <c r="B181" s="103" t="s">
        <v>276</v>
      </c>
      <c r="C181" s="54" t="s">
        <v>277</v>
      </c>
      <c r="D181" s="66" t="s">
        <v>328</v>
      </c>
      <c r="E181" s="66" t="s">
        <v>1569</v>
      </c>
      <c r="F181" s="100"/>
      <c r="G181" s="100">
        <v>46049.0</v>
      </c>
      <c r="H181" s="58">
        <v>0.0</v>
      </c>
      <c r="I181" s="66" t="s">
        <v>302</v>
      </c>
      <c r="J181" s="66" t="s">
        <v>277</v>
      </c>
      <c r="K181" s="66" t="s">
        <v>314</v>
      </c>
      <c r="L181" s="104" t="s">
        <v>1516</v>
      </c>
      <c r="M181" s="66" t="s">
        <v>1571</v>
      </c>
      <c r="N181" s="100">
        <v>46043.0</v>
      </c>
      <c r="O181" s="55" t="str">
        <f t="shared" si="1"/>
        <v>CONCLUÍDO</v>
      </c>
      <c r="P181" s="105" t="s">
        <v>1572</v>
      </c>
      <c r="Q181" s="100">
        <v>46049.0</v>
      </c>
      <c r="R181" s="96"/>
      <c r="S181" s="96"/>
      <c r="T181" s="96"/>
      <c r="U181" s="96"/>
      <c r="V181" s="96"/>
      <c r="W181" s="96"/>
      <c r="X181" s="96"/>
      <c r="Y181" s="96"/>
      <c r="Z181" s="96"/>
      <c r="AA181" s="96"/>
      <c r="AB181" s="96"/>
      <c r="AC181" s="96"/>
      <c r="AD181" s="96"/>
    </row>
    <row r="182">
      <c r="A182" s="188" t="s">
        <v>1574</v>
      </c>
      <c r="B182" s="103" t="s">
        <v>276</v>
      </c>
      <c r="C182" s="54" t="s">
        <v>277</v>
      </c>
      <c r="D182" s="66" t="s">
        <v>328</v>
      </c>
      <c r="E182" s="66" t="s">
        <v>1510</v>
      </c>
      <c r="F182" s="100"/>
      <c r="G182" s="100">
        <v>46050.0</v>
      </c>
      <c r="H182" s="58">
        <v>0.0</v>
      </c>
      <c r="I182" s="66" t="s">
        <v>302</v>
      </c>
      <c r="J182" s="66" t="s">
        <v>277</v>
      </c>
      <c r="K182" s="66" t="s">
        <v>314</v>
      </c>
      <c r="L182" s="104" t="s">
        <v>1516</v>
      </c>
      <c r="M182" s="66" t="s">
        <v>1576</v>
      </c>
      <c r="N182" s="100">
        <v>46050.0</v>
      </c>
      <c r="O182" s="55" t="str">
        <f t="shared" si="1"/>
        <v>CONCLUÍDO</v>
      </c>
      <c r="P182" s="105" t="s">
        <v>1572</v>
      </c>
      <c r="Q182" s="100">
        <v>46050.0</v>
      </c>
      <c r="R182" s="96"/>
      <c r="S182" s="96"/>
      <c r="T182" s="96"/>
      <c r="U182" s="96"/>
      <c r="V182" s="96"/>
      <c r="W182" s="96"/>
      <c r="X182" s="96"/>
      <c r="Y182" s="96"/>
      <c r="Z182" s="96"/>
      <c r="AA182" s="96"/>
      <c r="AB182" s="96"/>
      <c r="AC182" s="96"/>
      <c r="AD182" s="96"/>
    </row>
    <row r="183">
      <c r="A183" s="91"/>
      <c r="B183" s="103" t="s">
        <v>276</v>
      </c>
      <c r="C183" s="54" t="s">
        <v>277</v>
      </c>
      <c r="D183" s="66" t="s">
        <v>328</v>
      </c>
      <c r="E183" s="66" t="s">
        <v>1510</v>
      </c>
      <c r="F183" s="100"/>
      <c r="G183" s="100">
        <v>46050.0</v>
      </c>
      <c r="H183" s="58">
        <v>0.0</v>
      </c>
      <c r="I183" s="66" t="s">
        <v>302</v>
      </c>
      <c r="J183" s="66" t="s">
        <v>277</v>
      </c>
      <c r="K183" s="66" t="s">
        <v>314</v>
      </c>
      <c r="L183" s="104" t="s">
        <v>1516</v>
      </c>
      <c r="M183" s="66" t="s">
        <v>1579</v>
      </c>
      <c r="N183" s="100">
        <v>46050.0</v>
      </c>
      <c r="O183" s="55" t="str">
        <f t="shared" si="1"/>
        <v>CONCLUÍDO</v>
      </c>
      <c r="P183" s="105" t="s">
        <v>1572</v>
      </c>
      <c r="Q183" s="100">
        <v>46050.0</v>
      </c>
      <c r="R183" s="96"/>
      <c r="S183" s="96"/>
      <c r="T183" s="96"/>
      <c r="U183" s="96"/>
      <c r="V183" s="96"/>
      <c r="W183" s="96"/>
      <c r="X183" s="96"/>
      <c r="Y183" s="96"/>
      <c r="Z183" s="96"/>
      <c r="AA183" s="96"/>
      <c r="AB183" s="96"/>
      <c r="AC183" s="96"/>
      <c r="AD183" s="96"/>
    </row>
    <row r="184">
      <c r="A184" s="91"/>
      <c r="B184" s="103" t="s">
        <v>276</v>
      </c>
      <c r="C184" s="54" t="s">
        <v>277</v>
      </c>
      <c r="D184" s="66" t="s">
        <v>328</v>
      </c>
      <c r="E184" s="66" t="s">
        <v>1510</v>
      </c>
      <c r="F184" s="100"/>
      <c r="G184" s="100">
        <v>46050.0</v>
      </c>
      <c r="H184" s="58">
        <v>0.0</v>
      </c>
      <c r="I184" s="66" t="s">
        <v>302</v>
      </c>
      <c r="J184" s="66" t="s">
        <v>277</v>
      </c>
      <c r="K184" s="66" t="s">
        <v>314</v>
      </c>
      <c r="L184" s="104" t="s">
        <v>1516</v>
      </c>
      <c r="M184" s="66" t="s">
        <v>1582</v>
      </c>
      <c r="N184" s="100">
        <v>46050.0</v>
      </c>
      <c r="O184" s="55" t="str">
        <f t="shared" si="1"/>
        <v>CONCLUÍDO</v>
      </c>
      <c r="P184" s="105" t="s">
        <v>1572</v>
      </c>
      <c r="Q184" s="100">
        <v>46050.0</v>
      </c>
      <c r="R184" s="96"/>
      <c r="S184" s="96"/>
      <c r="T184" s="96"/>
      <c r="U184" s="96"/>
      <c r="V184" s="96"/>
      <c r="W184" s="96"/>
      <c r="X184" s="96"/>
      <c r="Y184" s="96"/>
      <c r="Z184" s="96"/>
      <c r="AA184" s="96"/>
      <c r="AB184" s="96"/>
      <c r="AC184" s="96"/>
      <c r="AD184" s="96"/>
    </row>
    <row r="185">
      <c r="A185" s="91"/>
      <c r="B185" s="103" t="s">
        <v>276</v>
      </c>
      <c r="C185" s="54" t="s">
        <v>277</v>
      </c>
      <c r="D185" s="66" t="s">
        <v>328</v>
      </c>
      <c r="E185" s="66" t="s">
        <v>1510</v>
      </c>
      <c r="F185" s="100"/>
      <c r="G185" s="100">
        <v>46050.0</v>
      </c>
      <c r="H185" s="58">
        <v>0.0</v>
      </c>
      <c r="I185" s="66" t="s">
        <v>302</v>
      </c>
      <c r="J185" s="66" t="s">
        <v>277</v>
      </c>
      <c r="K185" s="66" t="s">
        <v>314</v>
      </c>
      <c r="L185" s="104" t="s">
        <v>1516</v>
      </c>
      <c r="M185" s="66" t="s">
        <v>1586</v>
      </c>
      <c r="N185" s="100">
        <v>46050.0</v>
      </c>
      <c r="O185" s="55" t="str">
        <f t="shared" si="1"/>
        <v>CONCLUÍDO</v>
      </c>
      <c r="P185" s="105" t="s">
        <v>1572</v>
      </c>
      <c r="Q185" s="100">
        <v>46050.0</v>
      </c>
      <c r="R185" s="96"/>
      <c r="S185" s="96"/>
      <c r="T185" s="96"/>
      <c r="U185" s="96"/>
      <c r="V185" s="96"/>
      <c r="W185" s="96"/>
      <c r="X185" s="96"/>
      <c r="Y185" s="96"/>
      <c r="Z185" s="96"/>
      <c r="AA185" s="96"/>
      <c r="AB185" s="96"/>
      <c r="AC185" s="96"/>
      <c r="AD185" s="96"/>
    </row>
    <row r="186">
      <c r="A186" s="91"/>
      <c r="B186" s="103" t="s">
        <v>276</v>
      </c>
      <c r="C186" s="54" t="s">
        <v>277</v>
      </c>
      <c r="D186" s="66" t="s">
        <v>328</v>
      </c>
      <c r="E186" s="66" t="s">
        <v>1510</v>
      </c>
      <c r="F186" s="100"/>
      <c r="G186" s="100">
        <v>46050.0</v>
      </c>
      <c r="H186" s="58">
        <v>0.0</v>
      </c>
      <c r="I186" s="66" t="s">
        <v>302</v>
      </c>
      <c r="J186" s="66" t="s">
        <v>277</v>
      </c>
      <c r="K186" s="66" t="s">
        <v>314</v>
      </c>
      <c r="L186" s="104" t="s">
        <v>1516</v>
      </c>
      <c r="M186" s="66" t="s">
        <v>1589</v>
      </c>
      <c r="N186" s="100">
        <v>46050.0</v>
      </c>
      <c r="O186" s="55" t="str">
        <f t="shared" si="1"/>
        <v>CONCLUÍDO</v>
      </c>
      <c r="P186" s="105" t="s">
        <v>1572</v>
      </c>
      <c r="Q186" s="100">
        <v>46050.0</v>
      </c>
      <c r="R186" s="96"/>
      <c r="S186" s="96"/>
      <c r="T186" s="96"/>
      <c r="U186" s="96"/>
      <c r="V186" s="96"/>
      <c r="W186" s="96"/>
      <c r="X186" s="96"/>
      <c r="Y186" s="96"/>
      <c r="Z186" s="96"/>
      <c r="AA186" s="96"/>
      <c r="AB186" s="96"/>
      <c r="AC186" s="96"/>
      <c r="AD186" s="96"/>
    </row>
    <row r="187">
      <c r="A187" s="91"/>
      <c r="B187" s="103" t="s">
        <v>276</v>
      </c>
      <c r="C187" s="54" t="s">
        <v>277</v>
      </c>
      <c r="D187" s="66" t="s">
        <v>328</v>
      </c>
      <c r="E187" s="66" t="s">
        <v>1510</v>
      </c>
      <c r="F187" s="100"/>
      <c r="G187" s="100">
        <v>46050.0</v>
      </c>
      <c r="H187" s="58">
        <v>0.0</v>
      </c>
      <c r="I187" s="66" t="s">
        <v>302</v>
      </c>
      <c r="J187" s="66" t="s">
        <v>277</v>
      </c>
      <c r="K187" s="66" t="s">
        <v>314</v>
      </c>
      <c r="L187" s="104" t="s">
        <v>1516</v>
      </c>
      <c r="M187" s="66" t="s">
        <v>1592</v>
      </c>
      <c r="N187" s="100">
        <v>46050.0</v>
      </c>
      <c r="O187" s="55" t="str">
        <f t="shared" si="1"/>
        <v>CONCLUÍDO</v>
      </c>
      <c r="P187" s="105" t="s">
        <v>1572</v>
      </c>
      <c r="Q187" s="100">
        <v>46050.0</v>
      </c>
      <c r="R187" s="96"/>
      <c r="S187" s="96"/>
      <c r="T187" s="96"/>
      <c r="U187" s="96"/>
      <c r="V187" s="96"/>
      <c r="W187" s="96"/>
      <c r="X187" s="96"/>
      <c r="Y187" s="96"/>
      <c r="Z187" s="96"/>
      <c r="AA187" s="96"/>
      <c r="AB187" s="96"/>
      <c r="AC187" s="96"/>
      <c r="AD187" s="96"/>
    </row>
    <row r="188">
      <c r="A188" s="91"/>
      <c r="B188" s="103" t="s">
        <v>276</v>
      </c>
      <c r="C188" s="54" t="s">
        <v>277</v>
      </c>
      <c r="D188" s="66" t="s">
        <v>328</v>
      </c>
      <c r="E188" s="66" t="s">
        <v>1510</v>
      </c>
      <c r="F188" s="100"/>
      <c r="G188" s="100">
        <v>46050.0</v>
      </c>
      <c r="H188" s="58">
        <v>0.0</v>
      </c>
      <c r="I188" s="66" t="s">
        <v>302</v>
      </c>
      <c r="J188" s="66" t="s">
        <v>277</v>
      </c>
      <c r="K188" s="66" t="s">
        <v>314</v>
      </c>
      <c r="L188" s="104" t="s">
        <v>1516</v>
      </c>
      <c r="M188" s="66" t="s">
        <v>1595</v>
      </c>
      <c r="N188" s="100">
        <v>46050.0</v>
      </c>
      <c r="O188" s="55" t="str">
        <f t="shared" si="1"/>
        <v>CONCLUÍDO</v>
      </c>
      <c r="P188" s="105" t="s">
        <v>1572</v>
      </c>
      <c r="Q188" s="100">
        <v>46050.0</v>
      </c>
      <c r="R188" s="96"/>
      <c r="S188" s="96"/>
      <c r="T188" s="96"/>
      <c r="U188" s="96"/>
      <c r="V188" s="96"/>
      <c r="W188" s="96"/>
      <c r="X188" s="96"/>
      <c r="Y188" s="96"/>
      <c r="Z188" s="96"/>
      <c r="AA188" s="96"/>
      <c r="AB188" s="96"/>
      <c r="AC188" s="96"/>
      <c r="AD188" s="96"/>
    </row>
    <row r="189">
      <c r="A189" s="91"/>
      <c r="B189" s="103" t="s">
        <v>276</v>
      </c>
      <c r="C189" s="54" t="s">
        <v>277</v>
      </c>
      <c r="D189" s="66" t="s">
        <v>328</v>
      </c>
      <c r="E189" s="66" t="s">
        <v>1510</v>
      </c>
      <c r="F189" s="100"/>
      <c r="G189" s="100">
        <v>46050.0</v>
      </c>
      <c r="H189" s="58">
        <v>0.0</v>
      </c>
      <c r="I189" s="66" t="s">
        <v>302</v>
      </c>
      <c r="J189" s="66" t="s">
        <v>277</v>
      </c>
      <c r="K189" s="66" t="s">
        <v>314</v>
      </c>
      <c r="L189" s="104" t="s">
        <v>1516</v>
      </c>
      <c r="M189" s="66" t="s">
        <v>1598</v>
      </c>
      <c r="N189" s="100">
        <v>46050.0</v>
      </c>
      <c r="O189" s="55" t="str">
        <f t="shared" si="1"/>
        <v>CONCLUÍDO</v>
      </c>
      <c r="P189" s="105" t="s">
        <v>1572</v>
      </c>
      <c r="Q189" s="100">
        <v>46050.0</v>
      </c>
      <c r="R189" s="96"/>
      <c r="S189" s="96"/>
      <c r="T189" s="96"/>
      <c r="U189" s="96"/>
      <c r="V189" s="96"/>
      <c r="W189" s="96"/>
      <c r="X189" s="96"/>
      <c r="Y189" s="96"/>
      <c r="Z189" s="96"/>
      <c r="AA189" s="96"/>
      <c r="AB189" s="96"/>
      <c r="AC189" s="96"/>
      <c r="AD189" s="96"/>
    </row>
    <row r="190">
      <c r="A190" s="91"/>
      <c r="B190" s="103" t="s">
        <v>276</v>
      </c>
      <c r="C190" s="54" t="s">
        <v>277</v>
      </c>
      <c r="D190" s="66" t="s">
        <v>328</v>
      </c>
      <c r="E190" s="66" t="s">
        <v>1510</v>
      </c>
      <c r="F190" s="100"/>
      <c r="G190" s="100">
        <v>46050.0</v>
      </c>
      <c r="H190" s="58">
        <v>0.0</v>
      </c>
      <c r="I190" s="66" t="s">
        <v>302</v>
      </c>
      <c r="J190" s="66" t="s">
        <v>277</v>
      </c>
      <c r="K190" s="66" t="s">
        <v>314</v>
      </c>
      <c r="L190" s="104" t="s">
        <v>1516</v>
      </c>
      <c r="M190" s="66" t="s">
        <v>1601</v>
      </c>
      <c r="N190" s="100">
        <v>46050.0</v>
      </c>
      <c r="O190" s="55" t="str">
        <f t="shared" si="1"/>
        <v>CONCLUÍDO</v>
      </c>
      <c r="P190" s="105" t="s">
        <v>1572</v>
      </c>
      <c r="Q190" s="100">
        <v>46050.0</v>
      </c>
      <c r="R190" s="96"/>
      <c r="S190" s="96"/>
      <c r="T190" s="96"/>
      <c r="U190" s="96"/>
      <c r="V190" s="96"/>
      <c r="W190" s="96"/>
      <c r="X190" s="96"/>
      <c r="Y190" s="96"/>
      <c r="Z190" s="96"/>
      <c r="AA190" s="96"/>
      <c r="AB190" s="96"/>
      <c r="AC190" s="96"/>
      <c r="AD190" s="96"/>
    </row>
    <row r="191">
      <c r="A191" s="93"/>
      <c r="B191" s="103" t="s">
        <v>276</v>
      </c>
      <c r="C191" s="54" t="s">
        <v>277</v>
      </c>
      <c r="D191" s="66" t="s">
        <v>328</v>
      </c>
      <c r="E191" s="66" t="s">
        <v>1510</v>
      </c>
      <c r="F191" s="100"/>
      <c r="G191" s="100">
        <v>46050.0</v>
      </c>
      <c r="H191" s="58">
        <v>0.0</v>
      </c>
      <c r="I191" s="66" t="s">
        <v>302</v>
      </c>
      <c r="J191" s="66" t="s">
        <v>277</v>
      </c>
      <c r="K191" s="66" t="s">
        <v>314</v>
      </c>
      <c r="L191" s="104" t="s">
        <v>1516</v>
      </c>
      <c r="M191" s="66" t="s">
        <v>1603</v>
      </c>
      <c r="N191" s="100">
        <v>46050.0</v>
      </c>
      <c r="O191" s="55" t="str">
        <f t="shared" si="1"/>
        <v>CONCLUÍDO</v>
      </c>
      <c r="P191" s="105" t="s">
        <v>1572</v>
      </c>
      <c r="Q191" s="100">
        <v>46050.0</v>
      </c>
      <c r="R191" s="96"/>
      <c r="S191" s="96"/>
      <c r="T191" s="96"/>
      <c r="U191" s="96"/>
      <c r="V191" s="96"/>
      <c r="W191" s="96"/>
      <c r="X191" s="96"/>
      <c r="Y191" s="96"/>
      <c r="Z191" s="96"/>
      <c r="AA191" s="96"/>
      <c r="AB191" s="96"/>
      <c r="AC191" s="96"/>
      <c r="AD191" s="96"/>
    </row>
    <row r="192">
      <c r="A192" s="190" t="s">
        <v>1605</v>
      </c>
      <c r="B192" s="103" t="s">
        <v>276</v>
      </c>
      <c r="C192" s="54" t="s">
        <v>277</v>
      </c>
      <c r="D192" s="66" t="s">
        <v>387</v>
      </c>
      <c r="E192" s="66" t="s">
        <v>1607</v>
      </c>
      <c r="F192" s="100"/>
      <c r="G192" s="100">
        <v>46051.0</v>
      </c>
      <c r="H192" s="58">
        <v>0.0</v>
      </c>
      <c r="I192" s="66" t="s">
        <v>302</v>
      </c>
      <c r="J192" s="66" t="s">
        <v>570</v>
      </c>
      <c r="K192" s="66" t="s">
        <v>407</v>
      </c>
      <c r="L192" s="104" t="s">
        <v>1608</v>
      </c>
      <c r="M192" s="66"/>
      <c r="N192" s="100">
        <v>46059.0</v>
      </c>
      <c r="O192" s="55" t="str">
        <f t="shared" si="1"/>
        <v>CONCLUÍDO</v>
      </c>
      <c r="P192" s="215" t="s">
        <v>1610</v>
      </c>
      <c r="Q192" s="100">
        <v>46059.0</v>
      </c>
      <c r="R192" s="96"/>
      <c r="S192" s="96"/>
      <c r="T192" s="96"/>
      <c r="U192" s="96"/>
      <c r="V192" s="96"/>
      <c r="W192" s="96"/>
      <c r="X192" s="96"/>
      <c r="Y192" s="96"/>
      <c r="Z192" s="96"/>
      <c r="AA192" s="96"/>
      <c r="AB192" s="96"/>
      <c r="AC192" s="96"/>
      <c r="AD192" s="96"/>
    </row>
    <row r="193">
      <c r="A193" s="190" t="s">
        <v>1613</v>
      </c>
      <c r="B193" s="103" t="s">
        <v>276</v>
      </c>
      <c r="C193" s="54" t="s">
        <v>277</v>
      </c>
      <c r="D193" s="66" t="s">
        <v>328</v>
      </c>
      <c r="E193" s="66" t="s">
        <v>1493</v>
      </c>
      <c r="F193" s="100"/>
      <c r="G193" s="100">
        <v>46051.0</v>
      </c>
      <c r="H193" s="58">
        <v>0.0</v>
      </c>
      <c r="I193" s="66" t="s">
        <v>302</v>
      </c>
      <c r="J193" s="66" t="s">
        <v>700</v>
      </c>
      <c r="K193" s="66" t="s">
        <v>314</v>
      </c>
      <c r="L193" s="104" t="s">
        <v>1614</v>
      </c>
      <c r="M193" s="66" t="s">
        <v>1616</v>
      </c>
      <c r="N193" s="100">
        <v>46051.0</v>
      </c>
      <c r="O193" s="55" t="str">
        <f t="shared" si="1"/>
        <v>CONCLUÍDO</v>
      </c>
      <c r="P193" s="105" t="s">
        <v>1617</v>
      </c>
      <c r="Q193" s="100">
        <v>46051.0</v>
      </c>
      <c r="R193" s="96"/>
      <c r="S193" s="96"/>
      <c r="T193" s="96"/>
      <c r="U193" s="96"/>
      <c r="V193" s="96"/>
      <c r="W193" s="96"/>
      <c r="X193" s="96"/>
      <c r="Y193" s="96"/>
      <c r="Z193" s="96"/>
      <c r="AA193" s="96"/>
      <c r="AB193" s="96"/>
      <c r="AC193" s="96"/>
      <c r="AD193" s="96"/>
    </row>
    <row r="194">
      <c r="A194" s="190" t="s">
        <v>1619</v>
      </c>
      <c r="B194" s="103" t="s">
        <v>276</v>
      </c>
      <c r="C194" s="54" t="s">
        <v>277</v>
      </c>
      <c r="D194" s="66" t="s">
        <v>328</v>
      </c>
      <c r="E194" s="66" t="s">
        <v>1510</v>
      </c>
      <c r="F194" s="100"/>
      <c r="G194" s="100">
        <v>46051.0</v>
      </c>
      <c r="H194" s="58">
        <v>0.0</v>
      </c>
      <c r="I194" s="66" t="s">
        <v>302</v>
      </c>
      <c r="J194" s="66" t="s">
        <v>277</v>
      </c>
      <c r="K194" s="66" t="s">
        <v>314</v>
      </c>
      <c r="L194" s="104" t="s">
        <v>1411</v>
      </c>
      <c r="M194" s="66"/>
      <c r="N194" s="100">
        <v>46051.0</v>
      </c>
      <c r="O194" s="55" t="str">
        <f t="shared" si="1"/>
        <v>CONCLUÍDO</v>
      </c>
      <c r="P194" s="105" t="s">
        <v>1622</v>
      </c>
      <c r="Q194" s="100">
        <v>46051.0</v>
      </c>
      <c r="R194" s="96"/>
      <c r="S194" s="96"/>
      <c r="T194" s="96"/>
      <c r="U194" s="96"/>
      <c r="V194" s="96"/>
      <c r="W194" s="96"/>
      <c r="X194" s="96"/>
      <c r="Y194" s="96"/>
      <c r="Z194" s="96"/>
      <c r="AA194" s="96"/>
      <c r="AB194" s="96"/>
      <c r="AC194" s="96"/>
      <c r="AD194" s="96"/>
    </row>
    <row r="195">
      <c r="A195" s="190" t="s">
        <v>1624</v>
      </c>
      <c r="B195" s="103" t="s">
        <v>276</v>
      </c>
      <c r="C195" s="54" t="s">
        <v>277</v>
      </c>
      <c r="D195" s="66" t="s">
        <v>328</v>
      </c>
      <c r="E195" s="66" t="s">
        <v>1625</v>
      </c>
      <c r="F195" s="100"/>
      <c r="G195" s="100">
        <v>46051.0</v>
      </c>
      <c r="H195" s="58">
        <v>0.0</v>
      </c>
      <c r="I195" s="66" t="s">
        <v>302</v>
      </c>
      <c r="J195" s="66" t="s">
        <v>473</v>
      </c>
      <c r="K195" s="66" t="s">
        <v>474</v>
      </c>
      <c r="L195" s="104" t="s">
        <v>1627</v>
      </c>
      <c r="M195" s="66" t="s">
        <v>1628</v>
      </c>
      <c r="N195" s="100">
        <v>46052.0</v>
      </c>
      <c r="O195" s="55" t="str">
        <f t="shared" si="1"/>
        <v>CONCLUÍDO</v>
      </c>
      <c r="P195" s="105" t="s">
        <v>1629</v>
      </c>
      <c r="Q195" s="100">
        <v>46052.0</v>
      </c>
      <c r="R195" s="96"/>
      <c r="S195" s="96"/>
      <c r="T195" s="96"/>
      <c r="U195" s="96"/>
      <c r="V195" s="96"/>
      <c r="W195" s="96"/>
      <c r="X195" s="96"/>
      <c r="Y195" s="96"/>
      <c r="Z195" s="96"/>
      <c r="AA195" s="96"/>
      <c r="AB195" s="96"/>
      <c r="AC195" s="96"/>
      <c r="AD195" s="96"/>
    </row>
    <row r="196">
      <c r="A196" s="190" t="s">
        <v>1631</v>
      </c>
      <c r="B196" s="103" t="s">
        <v>276</v>
      </c>
      <c r="C196" s="54" t="s">
        <v>277</v>
      </c>
      <c r="D196" s="66" t="s">
        <v>328</v>
      </c>
      <c r="E196" s="66" t="s">
        <v>392</v>
      </c>
      <c r="F196" s="100"/>
      <c r="G196" s="100">
        <v>46052.0</v>
      </c>
      <c r="H196" s="58">
        <v>0.0</v>
      </c>
      <c r="I196" s="66" t="s">
        <v>302</v>
      </c>
      <c r="J196" s="66" t="s">
        <v>473</v>
      </c>
      <c r="K196" s="66" t="s">
        <v>474</v>
      </c>
      <c r="L196" s="104" t="s">
        <v>1627</v>
      </c>
      <c r="M196" s="66" t="s">
        <v>1634</v>
      </c>
      <c r="N196" s="100">
        <v>46052.0</v>
      </c>
      <c r="O196" s="55" t="str">
        <f t="shared" si="1"/>
        <v>CONCLUÍDO</v>
      </c>
      <c r="P196" s="105" t="s">
        <v>1629</v>
      </c>
      <c r="Q196" s="100">
        <v>46052.0</v>
      </c>
      <c r="R196" s="96"/>
      <c r="S196" s="96"/>
      <c r="T196" s="96"/>
      <c r="U196" s="96"/>
      <c r="V196" s="96"/>
      <c r="W196" s="96"/>
      <c r="X196" s="96"/>
      <c r="Y196" s="96"/>
      <c r="Z196" s="96"/>
      <c r="AA196" s="96"/>
      <c r="AB196" s="96"/>
      <c r="AC196" s="96"/>
      <c r="AD196" s="96"/>
    </row>
    <row r="197">
      <c r="A197" s="190" t="s">
        <v>1636</v>
      </c>
      <c r="B197" s="103" t="s">
        <v>276</v>
      </c>
      <c r="C197" s="54" t="s">
        <v>570</v>
      </c>
      <c r="D197" s="66" t="s">
        <v>230</v>
      </c>
      <c r="E197" s="66" t="s">
        <v>912</v>
      </c>
      <c r="F197" s="100"/>
      <c r="G197" s="100">
        <v>46052.0</v>
      </c>
      <c r="H197" s="58">
        <v>0.0</v>
      </c>
      <c r="I197" s="66" t="s">
        <v>302</v>
      </c>
      <c r="J197" s="66" t="s">
        <v>570</v>
      </c>
      <c r="K197" s="66" t="s">
        <v>407</v>
      </c>
      <c r="L197" s="104" t="s">
        <v>1639</v>
      </c>
      <c r="M197" s="66"/>
      <c r="N197" s="100">
        <v>46066.0</v>
      </c>
      <c r="O197" s="55" t="str">
        <f t="shared" si="1"/>
        <v>CONCLUÍDO</v>
      </c>
      <c r="P197" s="105" t="s">
        <v>1640</v>
      </c>
      <c r="Q197" s="84">
        <f>N197</f>
        <v>46066</v>
      </c>
      <c r="R197" s="96"/>
      <c r="S197" s="96"/>
      <c r="T197" s="96"/>
      <c r="U197" s="96"/>
      <c r="V197" s="96"/>
      <c r="W197" s="96"/>
      <c r="X197" s="96"/>
      <c r="Y197" s="96"/>
      <c r="Z197" s="96"/>
      <c r="AA197" s="96"/>
      <c r="AB197" s="96"/>
      <c r="AC197" s="96"/>
      <c r="AD197" s="96"/>
    </row>
    <row r="198">
      <c r="A198" s="190" t="s">
        <v>1644</v>
      </c>
      <c r="B198" s="103" t="s">
        <v>276</v>
      </c>
      <c r="C198" s="54" t="s">
        <v>570</v>
      </c>
      <c r="D198" s="66" t="s">
        <v>230</v>
      </c>
      <c r="E198" s="66" t="s">
        <v>912</v>
      </c>
      <c r="F198" s="100"/>
      <c r="G198" s="100">
        <v>46052.0</v>
      </c>
      <c r="H198" s="58">
        <v>0.0</v>
      </c>
      <c r="I198" s="66" t="s">
        <v>302</v>
      </c>
      <c r="J198" s="66" t="s">
        <v>570</v>
      </c>
      <c r="K198" s="66" t="s">
        <v>407</v>
      </c>
      <c r="L198" s="104" t="s">
        <v>1646</v>
      </c>
      <c r="M198" s="66" t="s">
        <v>1647</v>
      </c>
      <c r="N198" s="100">
        <v>46052.0</v>
      </c>
      <c r="O198" s="55" t="str">
        <f t="shared" si="1"/>
        <v>CONCLUÍDO</v>
      </c>
      <c r="P198" s="105"/>
      <c r="Q198" s="100">
        <v>46052.0</v>
      </c>
      <c r="R198" s="96"/>
      <c r="S198" s="96"/>
      <c r="T198" s="96"/>
      <c r="U198" s="96"/>
      <c r="V198" s="96"/>
      <c r="W198" s="96"/>
      <c r="X198" s="96"/>
      <c r="Y198" s="96"/>
      <c r="Z198" s="96"/>
      <c r="AA198" s="96"/>
      <c r="AB198" s="96"/>
      <c r="AC198" s="96"/>
      <c r="AD198" s="96"/>
    </row>
    <row r="199">
      <c r="A199" s="190" t="s">
        <v>1649</v>
      </c>
      <c r="B199" s="103" t="s">
        <v>276</v>
      </c>
      <c r="C199" s="54" t="s">
        <v>570</v>
      </c>
      <c r="D199" s="66" t="s">
        <v>230</v>
      </c>
      <c r="E199" s="66" t="s">
        <v>912</v>
      </c>
      <c r="F199" s="100"/>
      <c r="G199" s="100">
        <v>46052.0</v>
      </c>
      <c r="H199" s="58">
        <v>0.0</v>
      </c>
      <c r="I199" s="66" t="s">
        <v>302</v>
      </c>
      <c r="J199" s="66" t="s">
        <v>700</v>
      </c>
      <c r="K199" s="66" t="s">
        <v>314</v>
      </c>
      <c r="L199" s="104" t="s">
        <v>1651</v>
      </c>
      <c r="M199" s="66"/>
      <c r="N199" s="100">
        <v>46054.0</v>
      </c>
      <c r="O199" s="55" t="str">
        <f t="shared" si="1"/>
        <v>CONCLUÍDO</v>
      </c>
      <c r="P199" s="105"/>
      <c r="Q199" s="100">
        <v>46054.0</v>
      </c>
      <c r="R199" s="96"/>
      <c r="S199" s="96"/>
      <c r="T199" s="96"/>
      <c r="U199" s="96"/>
      <c r="V199" s="96"/>
      <c r="W199" s="96"/>
      <c r="X199" s="96"/>
      <c r="Y199" s="96"/>
      <c r="Z199" s="96"/>
      <c r="AA199" s="96"/>
      <c r="AB199" s="96"/>
      <c r="AC199" s="96"/>
      <c r="AD199" s="96"/>
    </row>
    <row r="200">
      <c r="A200" s="190" t="s">
        <v>1653</v>
      </c>
      <c r="B200" s="103" t="s">
        <v>276</v>
      </c>
      <c r="C200" s="54" t="s">
        <v>277</v>
      </c>
      <c r="D200" s="66" t="s">
        <v>328</v>
      </c>
      <c r="E200" s="66" t="s">
        <v>1384</v>
      </c>
      <c r="F200" s="100"/>
      <c r="G200" s="100">
        <v>46052.0</v>
      </c>
      <c r="H200" s="58">
        <v>0.0</v>
      </c>
      <c r="I200" s="66" t="s">
        <v>302</v>
      </c>
      <c r="J200" s="66" t="s">
        <v>277</v>
      </c>
      <c r="K200" s="66" t="s">
        <v>314</v>
      </c>
      <c r="L200" s="104" t="s">
        <v>1516</v>
      </c>
      <c r="M200" s="66" t="s">
        <v>1655</v>
      </c>
      <c r="N200" s="100">
        <v>46052.0</v>
      </c>
      <c r="O200" s="55" t="str">
        <f t="shared" si="1"/>
        <v>CONCLUÍDO</v>
      </c>
      <c r="P200" s="105" t="s">
        <v>1420</v>
      </c>
      <c r="Q200" s="100">
        <v>46052.0</v>
      </c>
      <c r="R200" s="96"/>
      <c r="S200" s="96"/>
      <c r="T200" s="96"/>
      <c r="U200" s="96"/>
      <c r="V200" s="96"/>
      <c r="W200" s="96"/>
      <c r="X200" s="96"/>
      <c r="Y200" s="96"/>
      <c r="Z200" s="96"/>
      <c r="AA200" s="96"/>
      <c r="AB200" s="96"/>
      <c r="AC200" s="96"/>
      <c r="AD200" s="96"/>
    </row>
    <row r="201">
      <c r="A201" s="190" t="s">
        <v>1658</v>
      </c>
      <c r="B201" s="103" t="s">
        <v>276</v>
      </c>
      <c r="C201" s="54" t="s">
        <v>277</v>
      </c>
      <c r="D201" s="66" t="s">
        <v>328</v>
      </c>
      <c r="E201" s="66" t="s">
        <v>1268</v>
      </c>
      <c r="F201" s="100"/>
      <c r="G201" s="100">
        <v>46052.0</v>
      </c>
      <c r="H201" s="58">
        <v>0.0</v>
      </c>
      <c r="I201" s="66" t="s">
        <v>302</v>
      </c>
      <c r="J201" s="66" t="s">
        <v>473</v>
      </c>
      <c r="K201" s="66" t="s">
        <v>474</v>
      </c>
      <c r="L201" s="104" t="s">
        <v>1484</v>
      </c>
      <c r="M201" s="66"/>
      <c r="N201" s="100">
        <v>46055.0</v>
      </c>
      <c r="O201" s="55" t="str">
        <f t="shared" si="1"/>
        <v>CONCLUÍDO</v>
      </c>
      <c r="P201" s="105" t="s">
        <v>1661</v>
      </c>
      <c r="Q201" s="100">
        <v>46052.0</v>
      </c>
      <c r="R201" s="96"/>
      <c r="S201" s="96"/>
      <c r="T201" s="96"/>
      <c r="U201" s="96"/>
      <c r="V201" s="96"/>
      <c r="W201" s="96"/>
      <c r="X201" s="96"/>
      <c r="Y201" s="96"/>
      <c r="Z201" s="96"/>
      <c r="AA201" s="96"/>
      <c r="AB201" s="96"/>
      <c r="AC201" s="96"/>
      <c r="AD201" s="96"/>
    </row>
    <row r="202">
      <c r="A202" s="190" t="s">
        <v>1664</v>
      </c>
      <c r="B202" s="103" t="s">
        <v>276</v>
      </c>
      <c r="C202" s="54" t="s">
        <v>277</v>
      </c>
      <c r="D202" s="66" t="s">
        <v>328</v>
      </c>
      <c r="E202" s="66" t="s">
        <v>730</v>
      </c>
      <c r="F202" s="100"/>
      <c r="G202" s="100">
        <v>46052.0</v>
      </c>
      <c r="H202" s="58">
        <v>0.0</v>
      </c>
      <c r="I202" s="66" t="s">
        <v>302</v>
      </c>
      <c r="J202" s="66" t="s">
        <v>277</v>
      </c>
      <c r="K202" s="66" t="s">
        <v>314</v>
      </c>
      <c r="L202" s="104" t="s">
        <v>1667</v>
      </c>
      <c r="M202" s="66"/>
      <c r="N202" s="100">
        <v>46055.0</v>
      </c>
      <c r="O202" s="55" t="str">
        <f t="shared" si="1"/>
        <v>CONCLUÍDO</v>
      </c>
      <c r="P202" s="105" t="s">
        <v>1668</v>
      </c>
      <c r="Q202" s="100">
        <v>46055.0</v>
      </c>
      <c r="R202" s="96"/>
      <c r="S202" s="96"/>
      <c r="T202" s="96"/>
      <c r="U202" s="96"/>
      <c r="V202" s="96"/>
      <c r="W202" s="96"/>
      <c r="X202" s="96"/>
      <c r="Y202" s="96"/>
      <c r="Z202" s="96"/>
      <c r="AA202" s="96"/>
      <c r="AB202" s="96"/>
      <c r="AC202" s="96"/>
      <c r="AD202" s="96"/>
    </row>
    <row r="203">
      <c r="A203" s="190" t="s">
        <v>1670</v>
      </c>
      <c r="B203" s="103" t="s">
        <v>276</v>
      </c>
      <c r="C203" s="54" t="s">
        <v>277</v>
      </c>
      <c r="D203" s="66" t="s">
        <v>328</v>
      </c>
      <c r="E203" s="66" t="s">
        <v>1674</v>
      </c>
      <c r="F203" s="100"/>
      <c r="G203" s="100">
        <v>46055.0</v>
      </c>
      <c r="H203" s="58">
        <v>0.0</v>
      </c>
      <c r="I203" s="66" t="s">
        <v>302</v>
      </c>
      <c r="J203" s="66" t="s">
        <v>811</v>
      </c>
      <c r="K203" s="66" t="s">
        <v>314</v>
      </c>
      <c r="L203" s="104" t="s">
        <v>1675</v>
      </c>
      <c r="M203" s="66"/>
      <c r="N203" s="100">
        <v>46085.0</v>
      </c>
      <c r="O203" s="55" t="str">
        <f t="shared" si="1"/>
        <v>CONCLUÍDO</v>
      </c>
      <c r="P203" s="105" t="s">
        <v>808</v>
      </c>
      <c r="Q203" s="100">
        <v>46085.0</v>
      </c>
      <c r="R203" s="96"/>
      <c r="S203" s="96"/>
      <c r="T203" s="96"/>
      <c r="U203" s="96"/>
      <c r="V203" s="96"/>
      <c r="W203" s="96"/>
      <c r="X203" s="96"/>
      <c r="Y203" s="96"/>
      <c r="Z203" s="96"/>
      <c r="AA203" s="96"/>
      <c r="AB203" s="96"/>
      <c r="AC203" s="96"/>
      <c r="AD203" s="96"/>
    </row>
    <row r="204">
      <c r="A204" s="190" t="s">
        <v>1677</v>
      </c>
      <c r="B204" s="103" t="s">
        <v>276</v>
      </c>
      <c r="C204" s="54" t="s">
        <v>570</v>
      </c>
      <c r="D204" s="66" t="s">
        <v>328</v>
      </c>
      <c r="E204" s="66" t="s">
        <v>1552</v>
      </c>
      <c r="F204" s="100"/>
      <c r="G204" s="100">
        <v>46055.0</v>
      </c>
      <c r="H204" s="58">
        <v>0.0</v>
      </c>
      <c r="I204" s="66" t="s">
        <v>302</v>
      </c>
      <c r="J204" s="66" t="s">
        <v>473</v>
      </c>
      <c r="K204" s="66" t="s">
        <v>474</v>
      </c>
      <c r="L204" s="104" t="s">
        <v>1680</v>
      </c>
      <c r="M204" s="66"/>
      <c r="N204" s="100">
        <v>46070.0</v>
      </c>
      <c r="O204" s="55" t="str">
        <f t="shared" si="1"/>
        <v>CONCLUÍDO</v>
      </c>
      <c r="P204" s="105" t="s">
        <v>1682</v>
      </c>
      <c r="Q204" s="100">
        <v>46057.0</v>
      </c>
      <c r="R204" s="96"/>
      <c r="S204" s="96"/>
      <c r="T204" s="96"/>
      <c r="U204" s="96"/>
      <c r="V204" s="96"/>
      <c r="W204" s="96"/>
      <c r="X204" s="96"/>
      <c r="Y204" s="96"/>
      <c r="Z204" s="96"/>
      <c r="AA204" s="96"/>
      <c r="AB204" s="96"/>
      <c r="AC204" s="96"/>
      <c r="AD204" s="96"/>
    </row>
    <row r="205">
      <c r="A205" s="190" t="s">
        <v>1683</v>
      </c>
      <c r="B205" s="103" t="s">
        <v>276</v>
      </c>
      <c r="C205" s="54" t="s">
        <v>277</v>
      </c>
      <c r="D205" s="66" t="s">
        <v>404</v>
      </c>
      <c r="E205" s="66" t="s">
        <v>558</v>
      </c>
      <c r="F205" s="100"/>
      <c r="G205" s="100">
        <v>46055.0</v>
      </c>
      <c r="H205" s="58">
        <v>0.0</v>
      </c>
      <c r="I205" s="66" t="s">
        <v>302</v>
      </c>
      <c r="J205" s="66" t="s">
        <v>692</v>
      </c>
      <c r="K205" s="66" t="s">
        <v>407</v>
      </c>
      <c r="L205" s="104" t="s">
        <v>1685</v>
      </c>
      <c r="M205" s="66" t="s">
        <v>1365</v>
      </c>
      <c r="N205" s="100"/>
      <c r="O205" s="55" t="str">
        <f t="shared" si="1"/>
        <v>SEM DATA APONTADA</v>
      </c>
      <c r="P205" s="105"/>
      <c r="Q205" s="100">
        <v>46139.0</v>
      </c>
      <c r="R205" s="96"/>
      <c r="S205" s="96"/>
      <c r="T205" s="96"/>
      <c r="U205" s="96"/>
      <c r="V205" s="96"/>
      <c r="W205" s="96"/>
      <c r="X205" s="96"/>
      <c r="Y205" s="96"/>
      <c r="Z205" s="96"/>
      <c r="AA205" s="96"/>
      <c r="AB205" s="96"/>
      <c r="AC205" s="96"/>
      <c r="AD205" s="96"/>
    </row>
    <row r="206">
      <c r="A206" s="190" t="s">
        <v>1687</v>
      </c>
      <c r="B206" s="103" t="s">
        <v>276</v>
      </c>
      <c r="C206" s="54" t="s">
        <v>277</v>
      </c>
      <c r="D206" s="66" t="s">
        <v>328</v>
      </c>
      <c r="E206" s="66" t="s">
        <v>1552</v>
      </c>
      <c r="F206" s="100"/>
      <c r="G206" s="100">
        <v>46055.0</v>
      </c>
      <c r="H206" s="58">
        <v>0.0</v>
      </c>
      <c r="I206" s="66" t="s">
        <v>302</v>
      </c>
      <c r="J206" s="66" t="s">
        <v>811</v>
      </c>
      <c r="K206" s="66" t="s">
        <v>314</v>
      </c>
      <c r="L206" s="104" t="s">
        <v>1690</v>
      </c>
      <c r="M206" s="66"/>
      <c r="N206" s="100">
        <v>46063.0</v>
      </c>
      <c r="O206" s="55" t="str">
        <f t="shared" si="1"/>
        <v>CONCLUÍDO</v>
      </c>
      <c r="P206" s="105" t="s">
        <v>1692</v>
      </c>
      <c r="Q206" s="100">
        <v>46084.0</v>
      </c>
      <c r="R206" s="96"/>
      <c r="S206" s="96"/>
      <c r="T206" s="96"/>
      <c r="U206" s="96"/>
      <c r="V206" s="96"/>
      <c r="W206" s="96"/>
      <c r="X206" s="96"/>
      <c r="Y206" s="96"/>
      <c r="Z206" s="96"/>
      <c r="AA206" s="96"/>
      <c r="AB206" s="96"/>
      <c r="AC206" s="96"/>
      <c r="AD206" s="96"/>
    </row>
    <row r="207">
      <c r="A207" s="190" t="s">
        <v>1694</v>
      </c>
      <c r="B207" s="103" t="s">
        <v>276</v>
      </c>
      <c r="C207" s="54" t="s">
        <v>277</v>
      </c>
      <c r="D207" s="66" t="s">
        <v>328</v>
      </c>
      <c r="E207" s="66" t="s">
        <v>1493</v>
      </c>
      <c r="F207" s="100"/>
      <c r="G207" s="100">
        <v>46056.0</v>
      </c>
      <c r="H207" s="58">
        <v>0.0</v>
      </c>
      <c r="I207" s="66" t="s">
        <v>302</v>
      </c>
      <c r="J207" s="66" t="s">
        <v>700</v>
      </c>
      <c r="K207" s="66" t="s">
        <v>314</v>
      </c>
      <c r="L207" s="104" t="s">
        <v>1516</v>
      </c>
      <c r="M207" s="66" t="s">
        <v>1696</v>
      </c>
      <c r="N207" s="100">
        <v>46056.0</v>
      </c>
      <c r="O207" s="55" t="str">
        <f t="shared" si="1"/>
        <v>CONCLUÍDO</v>
      </c>
      <c r="P207" s="105" t="s">
        <v>1698</v>
      </c>
      <c r="Q207" s="100">
        <v>46056.0</v>
      </c>
      <c r="R207" s="96"/>
      <c r="S207" s="96"/>
      <c r="T207" s="96"/>
      <c r="U207" s="96"/>
      <c r="V207" s="96"/>
      <c r="W207" s="96"/>
      <c r="X207" s="96"/>
      <c r="Y207" s="96"/>
      <c r="Z207" s="96"/>
      <c r="AA207" s="96"/>
      <c r="AB207" s="96"/>
      <c r="AC207" s="96"/>
      <c r="AD207" s="96"/>
    </row>
    <row r="208">
      <c r="A208" s="188" t="s">
        <v>1700</v>
      </c>
      <c r="B208" s="103" t="s">
        <v>276</v>
      </c>
      <c r="C208" s="54" t="s">
        <v>277</v>
      </c>
      <c r="D208" s="66" t="s">
        <v>1248</v>
      </c>
      <c r="E208" s="66" t="s">
        <v>81</v>
      </c>
      <c r="F208" s="100"/>
      <c r="G208" s="100">
        <v>46056.0</v>
      </c>
      <c r="H208" s="58">
        <v>0.0</v>
      </c>
      <c r="I208" s="66" t="s">
        <v>302</v>
      </c>
      <c r="J208" s="66" t="s">
        <v>700</v>
      </c>
      <c r="K208" s="66" t="s">
        <v>314</v>
      </c>
      <c r="L208" s="104" t="s">
        <v>1702</v>
      </c>
      <c r="M208" s="66"/>
      <c r="N208" s="100">
        <v>46056.0</v>
      </c>
      <c r="O208" s="55" t="str">
        <f t="shared" si="1"/>
        <v>CONCLUÍDO</v>
      </c>
      <c r="P208" s="105" t="s">
        <v>1704</v>
      </c>
      <c r="Q208" s="100">
        <v>46056.0</v>
      </c>
      <c r="R208" s="96"/>
      <c r="S208" s="96"/>
      <c r="T208" s="96"/>
      <c r="U208" s="96"/>
      <c r="V208" s="96"/>
      <c r="W208" s="96"/>
      <c r="X208" s="96"/>
      <c r="Y208" s="96"/>
      <c r="Z208" s="96"/>
      <c r="AA208" s="96"/>
      <c r="AB208" s="96"/>
      <c r="AC208" s="96"/>
      <c r="AD208" s="96"/>
    </row>
    <row r="209">
      <c r="A209" s="93"/>
      <c r="B209" s="103" t="s">
        <v>276</v>
      </c>
      <c r="C209" s="54" t="s">
        <v>277</v>
      </c>
      <c r="D209" s="66" t="s">
        <v>1248</v>
      </c>
      <c r="E209" s="66" t="s">
        <v>81</v>
      </c>
      <c r="F209" s="100"/>
      <c r="G209" s="100">
        <v>46056.0</v>
      </c>
      <c r="H209" s="58">
        <v>0.0</v>
      </c>
      <c r="I209" s="66" t="s">
        <v>302</v>
      </c>
      <c r="J209" s="66" t="s">
        <v>700</v>
      </c>
      <c r="K209" s="66" t="s">
        <v>314</v>
      </c>
      <c r="L209" s="104" t="s">
        <v>1702</v>
      </c>
      <c r="M209" s="66"/>
      <c r="N209" s="100">
        <v>46056.0</v>
      </c>
      <c r="O209" s="55" t="str">
        <f t="shared" si="1"/>
        <v>CONCLUÍDO</v>
      </c>
      <c r="P209" s="105" t="s">
        <v>1704</v>
      </c>
      <c r="Q209" s="100">
        <v>46056.0</v>
      </c>
      <c r="R209" s="96"/>
      <c r="S209" s="96"/>
      <c r="T209" s="96"/>
      <c r="U209" s="96"/>
      <c r="V209" s="96"/>
      <c r="W209" s="96"/>
      <c r="X209" s="96"/>
      <c r="Y209" s="96"/>
      <c r="Z209" s="96"/>
      <c r="AA209" s="96"/>
      <c r="AB209" s="96"/>
      <c r="AC209" s="96"/>
      <c r="AD209" s="96"/>
    </row>
    <row r="210">
      <c r="A210" s="190" t="s">
        <v>1708</v>
      </c>
      <c r="B210" s="103" t="s">
        <v>276</v>
      </c>
      <c r="C210" s="54" t="s">
        <v>277</v>
      </c>
      <c r="D210" s="66" t="s">
        <v>328</v>
      </c>
      <c r="E210" s="66" t="s">
        <v>392</v>
      </c>
      <c r="F210" s="100"/>
      <c r="G210" s="100">
        <v>46056.0</v>
      </c>
      <c r="H210" s="58">
        <v>0.0</v>
      </c>
      <c r="I210" s="66" t="s">
        <v>302</v>
      </c>
      <c r="J210" s="66" t="s">
        <v>473</v>
      </c>
      <c r="K210" s="66" t="s">
        <v>474</v>
      </c>
      <c r="L210" s="104" t="s">
        <v>1710</v>
      </c>
      <c r="M210" s="66"/>
      <c r="N210" s="100">
        <v>46070.0</v>
      </c>
      <c r="O210" s="55" t="str">
        <f t="shared" si="1"/>
        <v>CONCLUÍDO</v>
      </c>
      <c r="P210" s="105" t="s">
        <v>1712</v>
      </c>
      <c r="Q210" s="100">
        <v>46070.0</v>
      </c>
      <c r="R210" s="96"/>
      <c r="S210" s="96"/>
      <c r="T210" s="96"/>
      <c r="U210" s="96"/>
      <c r="V210" s="96"/>
      <c r="W210" s="96"/>
      <c r="X210" s="96"/>
      <c r="Y210" s="96"/>
      <c r="Z210" s="96"/>
      <c r="AA210" s="96"/>
      <c r="AB210" s="96"/>
      <c r="AC210" s="96"/>
      <c r="AD210" s="96"/>
    </row>
    <row r="211">
      <c r="A211" s="190" t="s">
        <v>1713</v>
      </c>
      <c r="B211" s="103" t="s">
        <v>276</v>
      </c>
      <c r="C211" s="54" t="s">
        <v>277</v>
      </c>
      <c r="D211" s="66" t="s">
        <v>328</v>
      </c>
      <c r="E211" s="66" t="s">
        <v>81</v>
      </c>
      <c r="F211" s="100"/>
      <c r="G211" s="100">
        <v>46057.0</v>
      </c>
      <c r="H211" s="58">
        <v>0.0</v>
      </c>
      <c r="I211" s="66" t="s">
        <v>302</v>
      </c>
      <c r="J211" s="66" t="s">
        <v>700</v>
      </c>
      <c r="K211" s="66" t="s">
        <v>314</v>
      </c>
      <c r="L211" s="104" t="s">
        <v>1516</v>
      </c>
      <c r="M211" s="66" t="s">
        <v>1715</v>
      </c>
      <c r="N211" s="100">
        <v>46057.0</v>
      </c>
      <c r="O211" s="55" t="str">
        <f t="shared" si="1"/>
        <v>CONCLUÍDO</v>
      </c>
      <c r="P211" s="105" t="s">
        <v>1698</v>
      </c>
      <c r="Q211" s="100">
        <v>46057.0</v>
      </c>
      <c r="R211" s="96"/>
      <c r="S211" s="96"/>
      <c r="T211" s="96"/>
      <c r="U211" s="96"/>
      <c r="V211" s="96"/>
      <c r="W211" s="96"/>
      <c r="X211" s="96"/>
      <c r="Y211" s="96"/>
      <c r="Z211" s="96"/>
      <c r="AA211" s="96"/>
      <c r="AB211" s="96"/>
      <c r="AC211" s="96"/>
      <c r="AD211" s="96"/>
    </row>
    <row r="212">
      <c r="A212" s="190" t="s">
        <v>1717</v>
      </c>
      <c r="B212" s="103" t="s">
        <v>276</v>
      </c>
      <c r="C212" s="54" t="s">
        <v>277</v>
      </c>
      <c r="D212" s="66" t="s">
        <v>328</v>
      </c>
      <c r="E212" s="66" t="s">
        <v>1721</v>
      </c>
      <c r="F212" s="100"/>
      <c r="G212" s="100">
        <v>46057.0</v>
      </c>
      <c r="H212" s="58">
        <v>0.0</v>
      </c>
      <c r="I212" s="66" t="s">
        <v>302</v>
      </c>
      <c r="J212" s="66" t="s">
        <v>700</v>
      </c>
      <c r="K212" s="66" t="s">
        <v>314</v>
      </c>
      <c r="L212" s="104" t="s">
        <v>1516</v>
      </c>
      <c r="M212" s="66" t="s">
        <v>1722</v>
      </c>
      <c r="N212" s="100">
        <v>46057.0</v>
      </c>
      <c r="O212" s="55" t="str">
        <f t="shared" si="1"/>
        <v>CONCLUÍDO</v>
      </c>
      <c r="P212" s="105" t="s">
        <v>1698</v>
      </c>
      <c r="Q212" s="100">
        <v>46057.0</v>
      </c>
      <c r="R212" s="96"/>
      <c r="S212" s="96"/>
      <c r="T212" s="96"/>
      <c r="U212" s="96"/>
      <c r="V212" s="96"/>
      <c r="W212" s="96"/>
      <c r="X212" s="96"/>
      <c r="Y212" s="96"/>
      <c r="Z212" s="96"/>
      <c r="AA212" s="96"/>
      <c r="AB212" s="96"/>
      <c r="AC212" s="96"/>
      <c r="AD212" s="96"/>
    </row>
    <row r="213">
      <c r="A213" s="190" t="s">
        <v>1726</v>
      </c>
      <c r="B213" s="103" t="s">
        <v>276</v>
      </c>
      <c r="C213" s="54" t="s">
        <v>277</v>
      </c>
      <c r="D213" s="66" t="s">
        <v>328</v>
      </c>
      <c r="E213" s="66" t="s">
        <v>656</v>
      </c>
      <c r="F213" s="100"/>
      <c r="G213" s="100">
        <v>46057.0</v>
      </c>
      <c r="H213" s="58">
        <v>0.0</v>
      </c>
      <c r="I213" s="66" t="s">
        <v>302</v>
      </c>
      <c r="J213" s="66" t="s">
        <v>811</v>
      </c>
      <c r="K213" s="66" t="s">
        <v>314</v>
      </c>
      <c r="L213" s="104" t="s">
        <v>1728</v>
      </c>
      <c r="M213" s="217"/>
      <c r="N213" s="100">
        <v>46084.0</v>
      </c>
      <c r="O213" s="55" t="str">
        <f t="shared" si="1"/>
        <v>CONCLUÍDO</v>
      </c>
      <c r="P213" s="105" t="s">
        <v>808</v>
      </c>
      <c r="Q213" s="178">
        <v>46084.0</v>
      </c>
      <c r="R213" s="96"/>
      <c r="S213" s="96"/>
      <c r="T213" s="96"/>
      <c r="U213" s="96"/>
      <c r="V213" s="96"/>
      <c r="W213" s="96"/>
      <c r="X213" s="96"/>
      <c r="Y213" s="96"/>
      <c r="Z213" s="96"/>
      <c r="AA213" s="96"/>
      <c r="AB213" s="96"/>
      <c r="AC213" s="96"/>
      <c r="AD213" s="96"/>
    </row>
    <row r="214">
      <c r="A214" s="190" t="s">
        <v>1732</v>
      </c>
      <c r="B214" s="103" t="s">
        <v>276</v>
      </c>
      <c r="C214" s="54" t="s">
        <v>277</v>
      </c>
      <c r="D214" s="66" t="s">
        <v>328</v>
      </c>
      <c r="E214" s="66" t="s">
        <v>708</v>
      </c>
      <c r="F214" s="100"/>
      <c r="G214" s="100">
        <v>46058.0</v>
      </c>
      <c r="H214" s="58">
        <v>0.0</v>
      </c>
      <c r="I214" s="66" t="s">
        <v>302</v>
      </c>
      <c r="J214" s="66" t="s">
        <v>473</v>
      </c>
      <c r="K214" s="66" t="s">
        <v>474</v>
      </c>
      <c r="L214" s="104" t="s">
        <v>1734</v>
      </c>
      <c r="M214" s="66"/>
      <c r="N214" s="100">
        <v>46066.0</v>
      </c>
      <c r="O214" s="55" t="str">
        <f t="shared" si="1"/>
        <v>CONCLUÍDO</v>
      </c>
      <c r="P214" s="105" t="s">
        <v>1736</v>
      </c>
      <c r="Q214" s="100">
        <v>46066.0</v>
      </c>
      <c r="R214" s="96"/>
      <c r="S214" s="96"/>
      <c r="T214" s="96"/>
      <c r="U214" s="96"/>
      <c r="V214" s="96"/>
      <c r="W214" s="96"/>
      <c r="X214" s="96"/>
      <c r="Y214" s="96"/>
      <c r="Z214" s="96"/>
      <c r="AA214" s="96"/>
      <c r="AB214" s="96"/>
      <c r="AC214" s="96"/>
      <c r="AD214" s="96"/>
    </row>
    <row r="215">
      <c r="A215" s="190" t="s">
        <v>1737</v>
      </c>
      <c r="B215" s="103" t="s">
        <v>276</v>
      </c>
      <c r="C215" s="54" t="s">
        <v>277</v>
      </c>
      <c r="D215" s="66" t="s">
        <v>378</v>
      </c>
      <c r="E215" s="66" t="s">
        <v>1739</v>
      </c>
      <c r="F215" s="100"/>
      <c r="G215" s="100">
        <v>45693.0</v>
      </c>
      <c r="H215" s="58">
        <v>0.0</v>
      </c>
      <c r="I215" s="66" t="s">
        <v>302</v>
      </c>
      <c r="J215" s="66" t="s">
        <v>692</v>
      </c>
      <c r="K215" s="66" t="s">
        <v>407</v>
      </c>
      <c r="L215" s="104" t="s">
        <v>1741</v>
      </c>
      <c r="M215" s="66" t="s">
        <v>1742</v>
      </c>
      <c r="N215" s="100">
        <v>46080.0</v>
      </c>
      <c r="O215" s="55" t="str">
        <f t="shared" si="1"/>
        <v>CONCLUÍDO</v>
      </c>
      <c r="P215" s="105" t="s">
        <v>1744</v>
      </c>
      <c r="Q215" s="100">
        <v>46080.0</v>
      </c>
      <c r="R215" s="96"/>
      <c r="S215" s="96"/>
      <c r="T215" s="96"/>
      <c r="U215" s="96"/>
      <c r="V215" s="96"/>
      <c r="W215" s="96"/>
      <c r="X215" s="96"/>
      <c r="Y215" s="96"/>
      <c r="Z215" s="96"/>
      <c r="AA215" s="96"/>
      <c r="AB215" s="96"/>
      <c r="AC215" s="96"/>
      <c r="AD215" s="96"/>
    </row>
    <row r="216">
      <c r="A216" s="190" t="s">
        <v>1747</v>
      </c>
      <c r="B216" s="103" t="s">
        <v>765</v>
      </c>
      <c r="C216" s="54" t="s">
        <v>277</v>
      </c>
      <c r="D216" s="66" t="s">
        <v>328</v>
      </c>
      <c r="E216" s="66"/>
      <c r="F216" s="100"/>
      <c r="G216" s="100">
        <v>46045.0</v>
      </c>
      <c r="H216" s="58">
        <v>0.0</v>
      </c>
      <c r="I216" s="66" t="s">
        <v>1749</v>
      </c>
      <c r="J216" s="66" t="s">
        <v>772</v>
      </c>
      <c r="K216" s="66" t="s">
        <v>776</v>
      </c>
      <c r="L216" s="104" t="s">
        <v>1750</v>
      </c>
      <c r="M216" s="66"/>
      <c r="N216" s="100"/>
      <c r="O216" s="55" t="str">
        <f t="shared" si="1"/>
        <v>SEM DATA APONTADA</v>
      </c>
      <c r="P216" s="105"/>
      <c r="Q216" s="100"/>
      <c r="R216" s="96"/>
      <c r="S216" s="96"/>
      <c r="T216" s="96"/>
      <c r="U216" s="96"/>
      <c r="V216" s="96"/>
      <c r="W216" s="96"/>
      <c r="X216" s="96"/>
      <c r="Y216" s="96"/>
      <c r="Z216" s="96"/>
      <c r="AA216" s="96"/>
      <c r="AB216" s="96"/>
      <c r="AC216" s="96"/>
      <c r="AD216" s="96"/>
    </row>
    <row r="217">
      <c r="A217" s="190" t="s">
        <v>1753</v>
      </c>
      <c r="B217" s="103" t="s">
        <v>276</v>
      </c>
      <c r="C217" s="54" t="s">
        <v>277</v>
      </c>
      <c r="D217" s="66" t="s">
        <v>230</v>
      </c>
      <c r="E217" s="66" t="s">
        <v>1755</v>
      </c>
      <c r="F217" s="100"/>
      <c r="G217" s="100">
        <v>46059.0</v>
      </c>
      <c r="H217" s="58">
        <v>0.0</v>
      </c>
      <c r="I217" s="66" t="s">
        <v>302</v>
      </c>
      <c r="J217" s="66" t="s">
        <v>692</v>
      </c>
      <c r="K217" s="66" t="s">
        <v>407</v>
      </c>
      <c r="L217" s="104" t="s">
        <v>1757</v>
      </c>
      <c r="M217" s="66" t="s">
        <v>1758</v>
      </c>
      <c r="N217" s="100">
        <v>46080.0</v>
      </c>
      <c r="O217" s="55" t="str">
        <f t="shared" si="1"/>
        <v>CONCLUÍDO</v>
      </c>
      <c r="P217" s="105" t="s">
        <v>1759</v>
      </c>
      <c r="Q217" s="100">
        <v>46080.0</v>
      </c>
      <c r="R217" s="96"/>
      <c r="S217" s="96"/>
      <c r="T217" s="96"/>
      <c r="U217" s="96"/>
      <c r="V217" s="96"/>
      <c r="W217" s="96"/>
      <c r="X217" s="96"/>
      <c r="Y217" s="96"/>
      <c r="Z217" s="96"/>
      <c r="AA217" s="96"/>
      <c r="AB217" s="96"/>
      <c r="AC217" s="96"/>
      <c r="AD217" s="96"/>
    </row>
    <row r="218">
      <c r="A218" s="190" t="s">
        <v>1761</v>
      </c>
      <c r="B218" s="103" t="s">
        <v>276</v>
      </c>
      <c r="C218" s="54" t="s">
        <v>277</v>
      </c>
      <c r="D218" s="66" t="s">
        <v>328</v>
      </c>
      <c r="E218" s="66" t="s">
        <v>1256</v>
      </c>
      <c r="F218" s="100"/>
      <c r="G218" s="100">
        <v>46062.0</v>
      </c>
      <c r="H218" s="58">
        <v>0.0</v>
      </c>
      <c r="I218" s="66" t="s">
        <v>302</v>
      </c>
      <c r="J218" s="66" t="s">
        <v>700</v>
      </c>
      <c r="K218" s="66" t="s">
        <v>314</v>
      </c>
      <c r="L218" s="104" t="s">
        <v>1763</v>
      </c>
      <c r="M218" s="66" t="s">
        <v>1764</v>
      </c>
      <c r="N218" s="100">
        <v>46062.0</v>
      </c>
      <c r="O218" s="55" t="str">
        <f t="shared" si="1"/>
        <v>CONCLUÍDO</v>
      </c>
      <c r="P218" s="105" t="s">
        <v>1765</v>
      </c>
      <c r="Q218" s="100">
        <v>46062.0</v>
      </c>
      <c r="R218" s="96"/>
      <c r="S218" s="96"/>
      <c r="T218" s="96"/>
      <c r="U218" s="96"/>
      <c r="V218" s="96"/>
      <c r="W218" s="96"/>
      <c r="X218" s="96"/>
      <c r="Y218" s="96"/>
      <c r="Z218" s="96"/>
      <c r="AA218" s="96"/>
      <c r="AB218" s="96"/>
      <c r="AC218" s="96"/>
      <c r="AD218" s="96"/>
    </row>
    <row r="219">
      <c r="A219" s="190" t="s">
        <v>1768</v>
      </c>
      <c r="B219" s="103" t="s">
        <v>276</v>
      </c>
      <c r="C219" s="54" t="s">
        <v>277</v>
      </c>
      <c r="D219" s="66" t="s">
        <v>328</v>
      </c>
      <c r="E219" s="66" t="s">
        <v>392</v>
      </c>
      <c r="F219" s="100"/>
      <c r="G219" s="100">
        <v>46062.0</v>
      </c>
      <c r="H219" s="58">
        <v>0.0</v>
      </c>
      <c r="I219" s="66" t="s">
        <v>302</v>
      </c>
      <c r="J219" s="66" t="s">
        <v>473</v>
      </c>
      <c r="K219" s="66" t="s">
        <v>474</v>
      </c>
      <c r="L219" s="104" t="s">
        <v>1770</v>
      </c>
      <c r="M219" s="66"/>
      <c r="N219" s="100">
        <v>46062.0</v>
      </c>
      <c r="O219" s="55" t="str">
        <f t="shared" si="1"/>
        <v>CONCLUÍDO</v>
      </c>
      <c r="P219" s="105" t="s">
        <v>1771</v>
      </c>
      <c r="Q219" s="100">
        <v>46062.0</v>
      </c>
      <c r="R219" s="96"/>
      <c r="S219" s="96"/>
      <c r="T219" s="96"/>
      <c r="U219" s="96"/>
      <c r="V219" s="96"/>
      <c r="W219" s="96"/>
      <c r="X219" s="96"/>
      <c r="Y219" s="96"/>
      <c r="Z219" s="96"/>
      <c r="AA219" s="96"/>
      <c r="AB219" s="96"/>
      <c r="AC219" s="96"/>
      <c r="AD219" s="96"/>
    </row>
    <row r="220">
      <c r="A220" s="190" t="s">
        <v>1773</v>
      </c>
      <c r="B220" s="103" t="s">
        <v>276</v>
      </c>
      <c r="C220" s="54" t="s">
        <v>277</v>
      </c>
      <c r="D220" s="66" t="s">
        <v>230</v>
      </c>
      <c r="E220" s="66" t="s">
        <v>1755</v>
      </c>
      <c r="F220" s="100"/>
      <c r="G220" s="100">
        <v>46064.0</v>
      </c>
      <c r="H220" s="58">
        <v>0.0</v>
      </c>
      <c r="I220" s="66" t="s">
        <v>302</v>
      </c>
      <c r="J220" s="66" t="s">
        <v>692</v>
      </c>
      <c r="K220" s="66" t="s">
        <v>407</v>
      </c>
      <c r="L220" s="104" t="s">
        <v>1776</v>
      </c>
      <c r="M220" s="66" t="s">
        <v>1777</v>
      </c>
      <c r="N220" s="100">
        <v>46080.0</v>
      </c>
      <c r="O220" s="55" t="str">
        <f t="shared" si="1"/>
        <v>CONCLUÍDO</v>
      </c>
      <c r="P220" s="215" t="s">
        <v>1778</v>
      </c>
      <c r="Q220" s="84">
        <f>N220</f>
        <v>46080</v>
      </c>
      <c r="R220" s="96"/>
      <c r="S220" s="96"/>
      <c r="T220" s="96"/>
      <c r="U220" s="96"/>
      <c r="V220" s="96"/>
      <c r="W220" s="96"/>
      <c r="X220" s="96"/>
      <c r="Y220" s="96"/>
      <c r="Z220" s="96"/>
      <c r="AA220" s="96"/>
      <c r="AB220" s="96"/>
      <c r="AC220" s="96"/>
      <c r="AD220" s="96"/>
    </row>
    <row r="221">
      <c r="A221" s="190" t="s">
        <v>1781</v>
      </c>
      <c r="B221" s="103" t="s">
        <v>276</v>
      </c>
      <c r="C221" s="54" t="s">
        <v>277</v>
      </c>
      <c r="D221" s="66" t="s">
        <v>328</v>
      </c>
      <c r="E221" s="66" t="s">
        <v>1721</v>
      </c>
      <c r="F221" s="100"/>
      <c r="G221" s="100">
        <v>46066.0</v>
      </c>
      <c r="H221" s="58">
        <v>0.0</v>
      </c>
      <c r="I221" s="66" t="s">
        <v>302</v>
      </c>
      <c r="J221" s="66" t="s">
        <v>700</v>
      </c>
      <c r="K221" s="66" t="s">
        <v>314</v>
      </c>
      <c r="L221" s="104" t="s">
        <v>1783</v>
      </c>
      <c r="M221" s="66"/>
      <c r="N221" s="100">
        <v>46066.0</v>
      </c>
      <c r="O221" s="55" t="str">
        <f t="shared" si="1"/>
        <v>CONCLUÍDO</v>
      </c>
      <c r="P221" s="105" t="s">
        <v>1784</v>
      </c>
      <c r="Q221" s="100">
        <v>46066.0</v>
      </c>
      <c r="R221" s="96"/>
      <c r="S221" s="96"/>
      <c r="T221" s="96"/>
      <c r="U221" s="96"/>
      <c r="V221" s="96"/>
      <c r="W221" s="96"/>
      <c r="X221" s="96"/>
      <c r="Y221" s="96"/>
      <c r="Z221" s="96"/>
      <c r="AA221" s="96"/>
      <c r="AB221" s="96"/>
      <c r="AC221" s="96"/>
      <c r="AD221" s="96"/>
    </row>
    <row r="222">
      <c r="A222" s="190" t="s">
        <v>1785</v>
      </c>
      <c r="B222" s="103" t="s">
        <v>276</v>
      </c>
      <c r="C222" s="54" t="s">
        <v>277</v>
      </c>
      <c r="D222" s="66" t="s">
        <v>328</v>
      </c>
      <c r="E222" s="66" t="s">
        <v>1787</v>
      </c>
      <c r="F222" s="100"/>
      <c r="G222" s="100">
        <v>46069.0</v>
      </c>
      <c r="H222" s="58">
        <v>0.0</v>
      </c>
      <c r="I222" s="66" t="s">
        <v>302</v>
      </c>
      <c r="J222" s="66" t="s">
        <v>277</v>
      </c>
      <c r="K222" s="66" t="s">
        <v>314</v>
      </c>
      <c r="L222" s="104" t="s">
        <v>1790</v>
      </c>
      <c r="M222" s="66"/>
      <c r="N222" s="100">
        <v>46066.0</v>
      </c>
      <c r="O222" s="55" t="str">
        <f t="shared" si="1"/>
        <v>CONCLUÍDO</v>
      </c>
      <c r="P222" s="105" t="s">
        <v>1792</v>
      </c>
      <c r="Q222" s="100">
        <v>46069.0</v>
      </c>
      <c r="R222" s="96"/>
      <c r="S222" s="96"/>
      <c r="T222" s="96"/>
      <c r="U222" s="96"/>
      <c r="V222" s="96"/>
      <c r="W222" s="96"/>
      <c r="X222" s="96"/>
      <c r="Y222" s="96"/>
      <c r="Z222" s="96"/>
      <c r="AA222" s="96"/>
      <c r="AB222" s="96"/>
      <c r="AC222" s="96"/>
      <c r="AD222" s="96"/>
    </row>
    <row r="223">
      <c r="A223" s="190" t="s">
        <v>1794</v>
      </c>
      <c r="B223" s="103" t="s">
        <v>276</v>
      </c>
      <c r="C223" s="54" t="s">
        <v>277</v>
      </c>
      <c r="D223" s="66" t="s">
        <v>328</v>
      </c>
      <c r="E223" s="66"/>
      <c r="F223" s="100"/>
      <c r="G223" s="100">
        <v>46074.0</v>
      </c>
      <c r="H223" s="58">
        <v>0.0</v>
      </c>
      <c r="I223" s="66" t="s">
        <v>302</v>
      </c>
      <c r="J223" s="66" t="s">
        <v>473</v>
      </c>
      <c r="K223" s="66" t="s">
        <v>474</v>
      </c>
      <c r="L223" s="104" t="s">
        <v>1796</v>
      </c>
      <c r="M223" s="66" t="s">
        <v>1797</v>
      </c>
      <c r="N223" s="100">
        <v>46074.0</v>
      </c>
      <c r="O223" s="55" t="str">
        <f t="shared" si="1"/>
        <v>CONCLUÍDO</v>
      </c>
      <c r="P223" s="105" t="s">
        <v>1798</v>
      </c>
      <c r="Q223" s="100">
        <v>46071.0</v>
      </c>
      <c r="R223" s="96"/>
      <c r="S223" s="96"/>
      <c r="T223" s="96"/>
      <c r="U223" s="96"/>
      <c r="V223" s="96"/>
      <c r="W223" s="96"/>
      <c r="X223" s="96"/>
      <c r="Y223" s="96"/>
      <c r="Z223" s="96"/>
      <c r="AA223" s="96"/>
      <c r="AB223" s="96"/>
      <c r="AC223" s="96"/>
      <c r="AD223" s="96"/>
    </row>
    <row r="224">
      <c r="A224" s="190" t="s">
        <v>1800</v>
      </c>
      <c r="B224" s="103" t="s">
        <v>276</v>
      </c>
      <c r="C224" s="54" t="s">
        <v>277</v>
      </c>
      <c r="D224" s="66" t="s">
        <v>230</v>
      </c>
      <c r="E224" s="66" t="s">
        <v>620</v>
      </c>
      <c r="F224" s="100"/>
      <c r="G224" s="100">
        <v>46069.0</v>
      </c>
      <c r="H224" s="58">
        <v>0.0</v>
      </c>
      <c r="I224" s="66" t="s">
        <v>302</v>
      </c>
      <c r="J224" s="66" t="s">
        <v>277</v>
      </c>
      <c r="K224" s="66" t="s">
        <v>314</v>
      </c>
      <c r="L224" s="104" t="s">
        <v>1802</v>
      </c>
      <c r="M224" s="66" t="s">
        <v>1803</v>
      </c>
      <c r="N224" s="100">
        <v>46073.0</v>
      </c>
      <c r="O224" s="55" t="str">
        <f t="shared" si="1"/>
        <v>CONCLUÍDO</v>
      </c>
      <c r="P224" s="105" t="s">
        <v>1805</v>
      </c>
      <c r="Q224" s="100">
        <v>46084.0</v>
      </c>
      <c r="R224" s="96"/>
      <c r="S224" s="96"/>
      <c r="T224" s="96"/>
      <c r="U224" s="96"/>
      <c r="V224" s="96"/>
      <c r="W224" s="96"/>
      <c r="X224" s="96"/>
      <c r="Y224" s="96"/>
      <c r="Z224" s="96"/>
      <c r="AA224" s="96"/>
      <c r="AB224" s="96"/>
      <c r="AC224" s="96"/>
      <c r="AD224" s="96"/>
    </row>
    <row r="225">
      <c r="A225" s="190" t="s">
        <v>1807</v>
      </c>
      <c r="B225" s="103" t="s">
        <v>276</v>
      </c>
      <c r="C225" s="54" t="s">
        <v>277</v>
      </c>
      <c r="D225" s="66" t="s">
        <v>328</v>
      </c>
      <c r="E225" s="66" t="s">
        <v>1809</v>
      </c>
      <c r="F225" s="100"/>
      <c r="G225" s="100">
        <v>46055.0</v>
      </c>
      <c r="H225" s="58">
        <v>0.0</v>
      </c>
      <c r="I225" s="66" t="s">
        <v>302</v>
      </c>
      <c r="J225" s="66" t="s">
        <v>473</v>
      </c>
      <c r="K225" s="66" t="s">
        <v>474</v>
      </c>
      <c r="L225" s="104" t="s">
        <v>1810</v>
      </c>
      <c r="M225" s="66"/>
      <c r="N225" s="100">
        <v>46080.0</v>
      </c>
      <c r="O225" s="55" t="str">
        <f t="shared" si="1"/>
        <v>CONCLUÍDO</v>
      </c>
      <c r="P225" s="105" t="s">
        <v>1812</v>
      </c>
      <c r="Q225" s="100">
        <v>46076.0</v>
      </c>
      <c r="R225" s="96"/>
      <c r="S225" s="96"/>
      <c r="T225" s="96"/>
      <c r="U225" s="96"/>
      <c r="V225" s="96"/>
      <c r="W225" s="96"/>
      <c r="X225" s="96"/>
      <c r="Y225" s="96"/>
      <c r="Z225" s="96"/>
      <c r="AA225" s="96"/>
      <c r="AB225" s="96"/>
      <c r="AC225" s="96"/>
      <c r="AD225" s="96"/>
    </row>
    <row r="226">
      <c r="A226" s="190" t="s">
        <v>1813</v>
      </c>
      <c r="B226" s="103" t="s">
        <v>276</v>
      </c>
      <c r="C226" s="54" t="s">
        <v>277</v>
      </c>
      <c r="D226" s="66" t="s">
        <v>230</v>
      </c>
      <c r="E226" s="66" t="s">
        <v>1815</v>
      </c>
      <c r="F226" s="100"/>
      <c r="G226" s="100">
        <v>46055.0</v>
      </c>
      <c r="H226" s="58">
        <v>0.0</v>
      </c>
      <c r="I226" s="66" t="s">
        <v>302</v>
      </c>
      <c r="J226" s="66" t="s">
        <v>473</v>
      </c>
      <c r="K226" s="66" t="s">
        <v>474</v>
      </c>
      <c r="L226" s="104" t="s">
        <v>1816</v>
      </c>
      <c r="M226" s="66" t="s">
        <v>1818</v>
      </c>
      <c r="N226" s="100">
        <v>46072.0</v>
      </c>
      <c r="O226" s="55" t="str">
        <f t="shared" si="1"/>
        <v>CONCLUÍDO</v>
      </c>
      <c r="P226" s="105" t="s">
        <v>1819</v>
      </c>
      <c r="Q226" s="100">
        <v>46072.0</v>
      </c>
      <c r="R226" s="96"/>
      <c r="S226" s="96"/>
      <c r="T226" s="96"/>
      <c r="U226" s="96"/>
      <c r="V226" s="96"/>
      <c r="W226" s="96"/>
      <c r="X226" s="96"/>
      <c r="Y226" s="96"/>
      <c r="Z226" s="96"/>
      <c r="AA226" s="96"/>
      <c r="AB226" s="96"/>
      <c r="AC226" s="96"/>
      <c r="AD226" s="96"/>
    </row>
    <row r="227">
      <c r="A227" s="190" t="s">
        <v>1821</v>
      </c>
      <c r="B227" s="103" t="s">
        <v>276</v>
      </c>
      <c r="C227" s="54" t="s">
        <v>277</v>
      </c>
      <c r="D227" s="66" t="s">
        <v>378</v>
      </c>
      <c r="E227" s="66" t="s">
        <v>1815</v>
      </c>
      <c r="F227" s="100"/>
      <c r="G227" s="100">
        <v>46055.0</v>
      </c>
      <c r="H227" s="58">
        <v>0.0</v>
      </c>
      <c r="I227" s="66" t="s">
        <v>302</v>
      </c>
      <c r="J227" s="66" t="s">
        <v>473</v>
      </c>
      <c r="K227" s="66" t="s">
        <v>474</v>
      </c>
      <c r="L227" s="104" t="s">
        <v>1823</v>
      </c>
      <c r="M227" s="66" t="s">
        <v>1824</v>
      </c>
      <c r="N227" s="100">
        <v>46072.0</v>
      </c>
      <c r="O227" s="55" t="str">
        <f t="shared" si="1"/>
        <v>CONCLUÍDO</v>
      </c>
      <c r="P227" s="105" t="s">
        <v>1825</v>
      </c>
      <c r="Q227" s="100">
        <v>46072.0</v>
      </c>
      <c r="R227" s="96"/>
      <c r="S227" s="96"/>
      <c r="T227" s="96"/>
      <c r="U227" s="96"/>
      <c r="V227" s="96"/>
      <c r="W227" s="96"/>
      <c r="X227" s="96"/>
      <c r="Y227" s="96"/>
      <c r="Z227" s="96"/>
      <c r="AA227" s="96"/>
      <c r="AB227" s="96"/>
      <c r="AC227" s="96"/>
      <c r="AD227" s="96"/>
    </row>
    <row r="228" ht="123.0" customHeight="1">
      <c r="A228" s="190" t="s">
        <v>1827</v>
      </c>
      <c r="B228" s="103" t="s">
        <v>276</v>
      </c>
      <c r="C228" s="54" t="s">
        <v>277</v>
      </c>
      <c r="D228" s="66" t="s">
        <v>285</v>
      </c>
      <c r="E228" s="66" t="s">
        <v>1828</v>
      </c>
      <c r="F228" s="100"/>
      <c r="G228" s="100">
        <v>46076.0</v>
      </c>
      <c r="H228" s="58">
        <v>0.0</v>
      </c>
      <c r="I228" s="66" t="s">
        <v>302</v>
      </c>
      <c r="J228" s="66" t="s">
        <v>692</v>
      </c>
      <c r="K228" s="66" t="s">
        <v>314</v>
      </c>
      <c r="L228" s="104" t="s">
        <v>1831</v>
      </c>
      <c r="M228" s="66"/>
      <c r="N228" s="100"/>
      <c r="O228" s="55" t="str">
        <f t="shared" si="1"/>
        <v>SEM DATA APONTADA</v>
      </c>
      <c r="P228" s="105" t="s">
        <v>1834</v>
      </c>
      <c r="Q228" s="100">
        <v>46139.0</v>
      </c>
      <c r="R228" s="96"/>
      <c r="S228" s="96"/>
      <c r="T228" s="96"/>
      <c r="U228" s="96"/>
      <c r="V228" s="96"/>
      <c r="W228" s="96"/>
      <c r="X228" s="96"/>
      <c r="Y228" s="96"/>
      <c r="Z228" s="96"/>
      <c r="AA228" s="96"/>
      <c r="AB228" s="96"/>
      <c r="AC228" s="96"/>
      <c r="AD228" s="96"/>
    </row>
    <row r="229" ht="203.25" customHeight="1">
      <c r="A229" s="190" t="s">
        <v>1835</v>
      </c>
      <c r="B229" s="103" t="s">
        <v>276</v>
      </c>
      <c r="C229" s="54" t="s">
        <v>277</v>
      </c>
      <c r="D229" s="66" t="s">
        <v>285</v>
      </c>
      <c r="E229" s="66" t="s">
        <v>656</v>
      </c>
      <c r="F229" s="100"/>
      <c r="G229" s="100">
        <v>46066.0</v>
      </c>
      <c r="H229" s="58">
        <v>0.0</v>
      </c>
      <c r="I229" s="66" t="s">
        <v>302</v>
      </c>
      <c r="J229" s="66" t="s">
        <v>692</v>
      </c>
      <c r="K229" s="66" t="s">
        <v>407</v>
      </c>
      <c r="L229" s="104" t="s">
        <v>1837</v>
      </c>
      <c r="M229" s="66" t="s">
        <v>1838</v>
      </c>
      <c r="N229" s="100">
        <v>46077.0</v>
      </c>
      <c r="O229" s="55" t="str">
        <f t="shared" si="1"/>
        <v>CONCLUÍDO</v>
      </c>
      <c r="P229" s="105"/>
      <c r="Q229" s="100">
        <v>46077.0</v>
      </c>
      <c r="R229" s="96"/>
      <c r="S229" s="96"/>
      <c r="T229" s="96"/>
      <c r="U229" s="96"/>
      <c r="V229" s="96"/>
      <c r="W229" s="96"/>
      <c r="X229" s="96"/>
      <c r="Y229" s="96"/>
      <c r="Z229" s="96"/>
      <c r="AA229" s="96"/>
      <c r="AB229" s="96"/>
      <c r="AC229" s="96"/>
      <c r="AD229" s="96"/>
    </row>
    <row r="230">
      <c r="A230" s="190" t="s">
        <v>1841</v>
      </c>
      <c r="B230" s="103" t="s">
        <v>276</v>
      </c>
      <c r="C230" s="54" t="s">
        <v>277</v>
      </c>
      <c r="D230" s="66" t="s">
        <v>328</v>
      </c>
      <c r="E230" s="66" t="s">
        <v>515</v>
      </c>
      <c r="F230" s="100"/>
      <c r="G230" s="100">
        <v>46077.0</v>
      </c>
      <c r="H230" s="58">
        <v>0.0</v>
      </c>
      <c r="I230" s="66" t="s">
        <v>302</v>
      </c>
      <c r="J230" s="66" t="s">
        <v>277</v>
      </c>
      <c r="K230" s="66" t="s">
        <v>314</v>
      </c>
      <c r="L230" s="104" t="s">
        <v>1843</v>
      </c>
      <c r="M230" s="66"/>
      <c r="N230" s="100">
        <v>46077.0</v>
      </c>
      <c r="O230" s="55" t="str">
        <f t="shared" si="1"/>
        <v>CONCLUÍDO</v>
      </c>
      <c r="P230" s="105" t="s">
        <v>1845</v>
      </c>
      <c r="Q230" s="100">
        <v>46078.0</v>
      </c>
      <c r="R230" s="96"/>
      <c r="S230" s="96"/>
      <c r="T230" s="96"/>
      <c r="U230" s="96"/>
      <c r="V230" s="96"/>
      <c r="W230" s="96"/>
      <c r="X230" s="96"/>
      <c r="Y230" s="96"/>
      <c r="Z230" s="96"/>
      <c r="AA230" s="96"/>
      <c r="AB230" s="96"/>
      <c r="AC230" s="96"/>
      <c r="AD230" s="96"/>
    </row>
    <row r="231">
      <c r="A231" s="190" t="s">
        <v>1846</v>
      </c>
      <c r="B231" s="103" t="s">
        <v>276</v>
      </c>
      <c r="C231" s="54" t="s">
        <v>277</v>
      </c>
      <c r="D231" s="66" t="s">
        <v>328</v>
      </c>
      <c r="E231" s="66" t="s">
        <v>1848</v>
      </c>
      <c r="F231" s="100"/>
      <c r="G231" s="100">
        <v>46078.0</v>
      </c>
      <c r="H231" s="58">
        <v>0.0</v>
      </c>
      <c r="I231" s="66" t="s">
        <v>302</v>
      </c>
      <c r="J231" s="66" t="s">
        <v>277</v>
      </c>
      <c r="K231" s="66" t="s">
        <v>314</v>
      </c>
      <c r="L231" s="104" t="s">
        <v>1850</v>
      </c>
      <c r="M231" s="66"/>
      <c r="N231" s="100">
        <v>46078.0</v>
      </c>
      <c r="O231" s="55" t="str">
        <f t="shared" si="1"/>
        <v>CONCLUÍDO</v>
      </c>
      <c r="P231" s="105" t="s">
        <v>1852</v>
      </c>
      <c r="Q231" s="100">
        <v>46078.0</v>
      </c>
      <c r="R231" s="96"/>
      <c r="S231" s="96"/>
      <c r="T231" s="96"/>
      <c r="U231" s="96"/>
      <c r="V231" s="96"/>
      <c r="W231" s="96"/>
      <c r="X231" s="96"/>
      <c r="Y231" s="96"/>
      <c r="Z231" s="96"/>
      <c r="AA231" s="96"/>
      <c r="AB231" s="96"/>
      <c r="AC231" s="96"/>
      <c r="AD231" s="96"/>
    </row>
    <row r="232">
      <c r="A232" s="190" t="s">
        <v>1853</v>
      </c>
      <c r="B232" s="103" t="s">
        <v>276</v>
      </c>
      <c r="C232" s="54" t="s">
        <v>277</v>
      </c>
      <c r="D232" s="66" t="s">
        <v>1248</v>
      </c>
      <c r="E232" s="66" t="s">
        <v>1283</v>
      </c>
      <c r="F232" s="100"/>
      <c r="G232" s="100">
        <v>46078.0</v>
      </c>
      <c r="H232" s="58">
        <v>0.0</v>
      </c>
      <c r="I232" s="66" t="s">
        <v>302</v>
      </c>
      <c r="J232" s="66" t="s">
        <v>277</v>
      </c>
      <c r="K232" s="66" t="s">
        <v>314</v>
      </c>
      <c r="L232" s="104" t="s">
        <v>1855</v>
      </c>
      <c r="M232" s="66" t="s">
        <v>1856</v>
      </c>
      <c r="N232" s="100">
        <v>46078.0</v>
      </c>
      <c r="O232" s="55" t="str">
        <f t="shared" si="1"/>
        <v>CONCLUÍDO</v>
      </c>
      <c r="P232" s="105" t="s">
        <v>1857</v>
      </c>
      <c r="Q232" s="100">
        <v>46078.0</v>
      </c>
      <c r="R232" s="96"/>
      <c r="S232" s="96"/>
      <c r="T232" s="96"/>
      <c r="U232" s="96"/>
      <c r="V232" s="96"/>
      <c r="W232" s="96"/>
      <c r="X232" s="96"/>
      <c r="Y232" s="96"/>
      <c r="Z232" s="96"/>
      <c r="AA232" s="96"/>
      <c r="AB232" s="96"/>
      <c r="AC232" s="96"/>
      <c r="AD232" s="96"/>
    </row>
    <row r="233" ht="21.75" customHeight="1">
      <c r="A233" s="190" t="s">
        <v>1859</v>
      </c>
      <c r="B233" s="103" t="s">
        <v>276</v>
      </c>
      <c r="C233" s="54" t="s">
        <v>277</v>
      </c>
      <c r="D233" s="66" t="s">
        <v>1248</v>
      </c>
      <c r="E233" s="66" t="s">
        <v>1283</v>
      </c>
      <c r="F233" s="100"/>
      <c r="G233" s="100">
        <v>46078.0</v>
      </c>
      <c r="H233" s="58">
        <v>0.0</v>
      </c>
      <c r="I233" s="66" t="s">
        <v>302</v>
      </c>
      <c r="J233" s="66" t="s">
        <v>277</v>
      </c>
      <c r="K233" s="66" t="s">
        <v>314</v>
      </c>
      <c r="L233" s="104" t="s">
        <v>1861</v>
      </c>
      <c r="M233" s="66"/>
      <c r="N233" s="100">
        <v>46078.0</v>
      </c>
      <c r="O233" s="55" t="str">
        <f t="shared" si="1"/>
        <v>CONCLUÍDO</v>
      </c>
      <c r="P233" s="105" t="s">
        <v>1863</v>
      </c>
      <c r="Q233" s="100">
        <v>46083.0</v>
      </c>
      <c r="R233" s="96"/>
      <c r="S233" s="96"/>
      <c r="T233" s="96"/>
      <c r="U233" s="96"/>
      <c r="V233" s="96"/>
      <c r="W233" s="96"/>
      <c r="X233" s="96"/>
      <c r="Y233" s="96"/>
      <c r="Z233" s="96"/>
      <c r="AA233" s="96"/>
      <c r="AB233" s="96"/>
      <c r="AC233" s="96"/>
      <c r="AD233" s="96"/>
    </row>
    <row r="234">
      <c r="A234" s="190" t="s">
        <v>1864</v>
      </c>
      <c r="B234" s="103" t="s">
        <v>276</v>
      </c>
      <c r="C234" s="54" t="s">
        <v>277</v>
      </c>
      <c r="D234" s="66" t="s">
        <v>328</v>
      </c>
      <c r="E234" s="66" t="s">
        <v>1867</v>
      </c>
      <c r="F234" s="100"/>
      <c r="G234" s="100">
        <v>46078.0</v>
      </c>
      <c r="H234" s="58">
        <v>0.0</v>
      </c>
      <c r="I234" s="66" t="s">
        <v>302</v>
      </c>
      <c r="J234" s="66" t="s">
        <v>277</v>
      </c>
      <c r="K234" s="66" t="s">
        <v>314</v>
      </c>
      <c r="L234" s="104" t="s">
        <v>1868</v>
      </c>
      <c r="M234" s="66"/>
      <c r="N234" s="100">
        <v>46078.0</v>
      </c>
      <c r="O234" s="55" t="str">
        <f t="shared" si="1"/>
        <v>CONCLUÍDO</v>
      </c>
      <c r="P234" s="105" t="s">
        <v>1872</v>
      </c>
      <c r="Q234" s="100">
        <v>46078.0</v>
      </c>
      <c r="R234" s="96"/>
      <c r="S234" s="96"/>
      <c r="T234" s="96"/>
      <c r="U234" s="96"/>
      <c r="V234" s="96"/>
      <c r="W234" s="96"/>
      <c r="X234" s="96"/>
      <c r="Y234" s="96"/>
      <c r="Z234" s="96"/>
      <c r="AA234" s="96"/>
      <c r="AB234" s="96"/>
      <c r="AC234" s="96"/>
      <c r="AD234" s="96"/>
    </row>
    <row r="235">
      <c r="A235" s="190" t="s">
        <v>1875</v>
      </c>
      <c r="B235" s="103" t="s">
        <v>276</v>
      </c>
      <c r="C235" s="54" t="s">
        <v>277</v>
      </c>
      <c r="D235" s="66" t="s">
        <v>471</v>
      </c>
      <c r="E235" s="66" t="s">
        <v>1674</v>
      </c>
      <c r="F235" s="178"/>
      <c r="G235" s="178">
        <v>46078.0</v>
      </c>
      <c r="H235" s="58">
        <v>0.0</v>
      </c>
      <c r="I235" s="66" t="s">
        <v>302</v>
      </c>
      <c r="J235" s="66" t="s">
        <v>277</v>
      </c>
      <c r="K235" s="66" t="s">
        <v>314</v>
      </c>
      <c r="L235" s="104" t="s">
        <v>1802</v>
      </c>
      <c r="M235" s="66" t="s">
        <v>1877</v>
      </c>
      <c r="N235" s="100">
        <v>46078.0</v>
      </c>
      <c r="O235" s="55" t="str">
        <f t="shared" si="1"/>
        <v>CONCLUÍDO</v>
      </c>
      <c r="P235" s="105" t="s">
        <v>418</v>
      </c>
      <c r="Q235" s="100">
        <v>46078.0</v>
      </c>
      <c r="R235" s="96"/>
      <c r="S235" s="96"/>
      <c r="T235" s="96"/>
      <c r="U235" s="96"/>
      <c r="V235" s="96"/>
      <c r="W235" s="96"/>
      <c r="X235" s="96"/>
      <c r="Y235" s="96"/>
      <c r="Z235" s="96"/>
      <c r="AA235" s="96"/>
      <c r="AB235" s="96"/>
      <c r="AC235" s="96"/>
      <c r="AD235" s="96"/>
    </row>
    <row r="236">
      <c r="A236" s="190" t="s">
        <v>1880</v>
      </c>
      <c r="B236" s="103" t="s">
        <v>276</v>
      </c>
      <c r="C236" s="54" t="s">
        <v>277</v>
      </c>
      <c r="D236" s="66" t="s">
        <v>328</v>
      </c>
      <c r="E236" s="66" t="s">
        <v>1881</v>
      </c>
      <c r="F236" s="100"/>
      <c r="G236" s="100">
        <v>46079.0</v>
      </c>
      <c r="H236" s="58">
        <v>0.0</v>
      </c>
      <c r="I236" s="66" t="s">
        <v>302</v>
      </c>
      <c r="J236" s="66" t="s">
        <v>700</v>
      </c>
      <c r="K236" s="66" t="s">
        <v>314</v>
      </c>
      <c r="L236" s="104" t="s">
        <v>1883</v>
      </c>
      <c r="M236" s="66"/>
      <c r="N236" s="100">
        <v>46079.0</v>
      </c>
      <c r="O236" s="55" t="str">
        <f t="shared" si="1"/>
        <v>CONCLUÍDO</v>
      </c>
      <c r="P236" s="105" t="s">
        <v>1884</v>
      </c>
      <c r="Q236" s="100">
        <v>45714.0</v>
      </c>
      <c r="R236" s="96"/>
      <c r="S236" s="96"/>
      <c r="T236" s="96"/>
      <c r="U236" s="96"/>
      <c r="V236" s="96"/>
      <c r="W236" s="96"/>
      <c r="X236" s="96"/>
      <c r="Y236" s="96"/>
      <c r="Z236" s="96"/>
      <c r="AA236" s="96"/>
      <c r="AB236" s="96"/>
      <c r="AC236" s="96"/>
      <c r="AD236" s="96"/>
    </row>
    <row r="237">
      <c r="A237" s="190" t="s">
        <v>1886</v>
      </c>
      <c r="B237" s="103" t="s">
        <v>276</v>
      </c>
      <c r="C237" s="54" t="s">
        <v>277</v>
      </c>
      <c r="D237" s="66" t="s">
        <v>621</v>
      </c>
      <c r="E237" s="66" t="s">
        <v>656</v>
      </c>
      <c r="F237" s="100"/>
      <c r="G237" s="100">
        <v>46079.0</v>
      </c>
      <c r="H237" s="58">
        <v>0.0</v>
      </c>
      <c r="I237" s="66" t="s">
        <v>302</v>
      </c>
      <c r="J237" s="66" t="s">
        <v>692</v>
      </c>
      <c r="K237" s="66" t="s">
        <v>407</v>
      </c>
      <c r="L237" s="104" t="s">
        <v>1889</v>
      </c>
      <c r="M237" s="66" t="s">
        <v>1890</v>
      </c>
      <c r="N237" s="100">
        <v>46084.0</v>
      </c>
      <c r="O237" s="55" t="str">
        <f t="shared" si="1"/>
        <v>CONCLUÍDO</v>
      </c>
      <c r="P237" s="105"/>
      <c r="Q237" s="84">
        <f>N237</f>
        <v>46084</v>
      </c>
      <c r="R237" s="96"/>
      <c r="S237" s="96"/>
      <c r="T237" s="96"/>
      <c r="U237" s="96"/>
      <c r="V237" s="96"/>
      <c r="W237" s="96"/>
      <c r="X237" s="96"/>
      <c r="Y237" s="96"/>
      <c r="Z237" s="96"/>
      <c r="AA237" s="96"/>
      <c r="AB237" s="96"/>
      <c r="AC237" s="96"/>
      <c r="AD237" s="96"/>
    </row>
    <row r="238">
      <c r="A238" s="190" t="s">
        <v>1895</v>
      </c>
      <c r="B238" s="103" t="s">
        <v>276</v>
      </c>
      <c r="C238" s="54" t="s">
        <v>277</v>
      </c>
      <c r="D238" s="66" t="s">
        <v>1248</v>
      </c>
      <c r="E238" s="66" t="s">
        <v>1897</v>
      </c>
      <c r="F238" s="100"/>
      <c r="G238" s="100">
        <v>46082.0</v>
      </c>
      <c r="H238" s="58">
        <v>0.0</v>
      </c>
      <c r="I238" s="66" t="s">
        <v>302</v>
      </c>
      <c r="J238" s="66" t="s">
        <v>277</v>
      </c>
      <c r="K238" s="66" t="s">
        <v>314</v>
      </c>
      <c r="L238" s="104" t="s">
        <v>1899</v>
      </c>
      <c r="M238" s="66" t="s">
        <v>1900</v>
      </c>
      <c r="N238" s="100">
        <v>46083.0</v>
      </c>
      <c r="O238" s="55" t="str">
        <f t="shared" si="1"/>
        <v>CONCLUÍDO</v>
      </c>
      <c r="P238" s="105" t="s">
        <v>1902</v>
      </c>
      <c r="Q238" s="100">
        <v>46083.0</v>
      </c>
      <c r="R238" s="96"/>
      <c r="S238" s="96"/>
      <c r="T238" s="96"/>
      <c r="U238" s="96"/>
      <c r="V238" s="96"/>
      <c r="W238" s="96"/>
      <c r="X238" s="96"/>
      <c r="Y238" s="96"/>
      <c r="Z238" s="96"/>
      <c r="AA238" s="96"/>
      <c r="AB238" s="96"/>
      <c r="AC238" s="96"/>
      <c r="AD238" s="96"/>
    </row>
    <row r="239">
      <c r="A239" s="190" t="s">
        <v>1904</v>
      </c>
      <c r="B239" s="103" t="s">
        <v>276</v>
      </c>
      <c r="C239" s="54" t="s">
        <v>277</v>
      </c>
      <c r="D239" s="66" t="s">
        <v>328</v>
      </c>
      <c r="E239" s="66" t="s">
        <v>1256</v>
      </c>
      <c r="F239" s="100"/>
      <c r="G239" s="100">
        <v>46083.0</v>
      </c>
      <c r="H239" s="58">
        <v>0.0</v>
      </c>
      <c r="I239" s="66" t="s">
        <v>302</v>
      </c>
      <c r="J239" s="66" t="s">
        <v>277</v>
      </c>
      <c r="K239" s="66" t="s">
        <v>314</v>
      </c>
      <c r="L239" s="104" t="s">
        <v>1516</v>
      </c>
      <c r="M239" s="66" t="s">
        <v>1907</v>
      </c>
      <c r="N239" s="100">
        <v>46083.0</v>
      </c>
      <c r="O239" s="55" t="str">
        <f t="shared" si="1"/>
        <v>CONCLUÍDO</v>
      </c>
      <c r="P239" s="105" t="s">
        <v>1420</v>
      </c>
      <c r="Q239" s="100">
        <v>46083.0</v>
      </c>
      <c r="R239" s="96"/>
      <c r="S239" s="96"/>
      <c r="T239" s="96"/>
      <c r="U239" s="96"/>
      <c r="V239" s="96"/>
      <c r="W239" s="96"/>
      <c r="X239" s="96"/>
      <c r="Y239" s="96"/>
      <c r="Z239" s="96"/>
      <c r="AA239" s="96"/>
      <c r="AB239" s="96"/>
      <c r="AC239" s="96"/>
      <c r="AD239" s="96"/>
    </row>
    <row r="240">
      <c r="A240" s="190" t="s">
        <v>1909</v>
      </c>
      <c r="B240" s="103" t="s">
        <v>276</v>
      </c>
      <c r="C240" s="54" t="s">
        <v>277</v>
      </c>
      <c r="D240" s="66" t="s">
        <v>378</v>
      </c>
      <c r="E240" s="66" t="s">
        <v>676</v>
      </c>
      <c r="F240" s="100"/>
      <c r="G240" s="100">
        <v>46083.0</v>
      </c>
      <c r="H240" s="58">
        <v>0.0</v>
      </c>
      <c r="I240" s="66" t="s">
        <v>302</v>
      </c>
      <c r="J240" s="66" t="s">
        <v>473</v>
      </c>
      <c r="K240" s="66" t="s">
        <v>474</v>
      </c>
      <c r="L240" s="104" t="s">
        <v>1912</v>
      </c>
      <c r="M240" s="66" t="s">
        <v>1913</v>
      </c>
      <c r="N240" s="100">
        <v>46094.0</v>
      </c>
      <c r="O240" s="55" t="str">
        <f t="shared" si="1"/>
        <v>CONCLUÍDO</v>
      </c>
      <c r="P240" s="215" t="s">
        <v>1915</v>
      </c>
      <c r="Q240" s="100">
        <v>46094.0</v>
      </c>
      <c r="R240" s="96"/>
      <c r="S240" s="96"/>
      <c r="T240" s="96"/>
      <c r="U240" s="96"/>
      <c r="V240" s="96"/>
      <c r="W240" s="96"/>
      <c r="X240" s="96"/>
      <c r="Y240" s="96"/>
      <c r="Z240" s="96"/>
      <c r="AA240" s="96"/>
      <c r="AB240" s="96"/>
      <c r="AC240" s="96"/>
      <c r="AD240" s="96"/>
    </row>
    <row r="241">
      <c r="A241" s="190" t="s">
        <v>1917</v>
      </c>
      <c r="B241" s="103" t="s">
        <v>276</v>
      </c>
      <c r="C241" s="54" t="s">
        <v>277</v>
      </c>
      <c r="D241" s="66" t="s">
        <v>328</v>
      </c>
      <c r="E241" s="66" t="s">
        <v>1919</v>
      </c>
      <c r="F241" s="100"/>
      <c r="G241" s="100">
        <v>46083.0</v>
      </c>
      <c r="H241" s="58">
        <v>0.0</v>
      </c>
      <c r="I241" s="66" t="s">
        <v>302</v>
      </c>
      <c r="J241" s="66" t="s">
        <v>277</v>
      </c>
      <c r="K241" s="66" t="s">
        <v>314</v>
      </c>
      <c r="L241" s="104" t="s">
        <v>1850</v>
      </c>
      <c r="M241" s="66"/>
      <c r="N241" s="100">
        <v>46083.0</v>
      </c>
      <c r="O241" s="55" t="str">
        <f t="shared" si="1"/>
        <v>CONCLUÍDO</v>
      </c>
      <c r="P241" s="105" t="s">
        <v>1923</v>
      </c>
      <c r="Q241" s="100">
        <v>46056.0</v>
      </c>
      <c r="R241" s="96"/>
      <c r="S241" s="96"/>
      <c r="T241" s="96"/>
      <c r="U241" s="96"/>
      <c r="V241" s="96"/>
      <c r="W241" s="96"/>
      <c r="X241" s="96"/>
      <c r="Y241" s="96"/>
      <c r="Z241" s="96"/>
      <c r="AA241" s="96"/>
      <c r="AB241" s="96"/>
      <c r="AC241" s="96"/>
      <c r="AD241" s="96"/>
    </row>
    <row r="242">
      <c r="A242" s="190" t="s">
        <v>1925</v>
      </c>
      <c r="B242" s="103" t="s">
        <v>276</v>
      </c>
      <c r="C242" s="54" t="s">
        <v>277</v>
      </c>
      <c r="D242" s="66" t="s">
        <v>328</v>
      </c>
      <c r="E242" s="66" t="s">
        <v>515</v>
      </c>
      <c r="F242" s="100"/>
      <c r="G242" s="100">
        <v>46083.0</v>
      </c>
      <c r="H242" s="58">
        <v>0.0</v>
      </c>
      <c r="I242" s="66" t="s">
        <v>302</v>
      </c>
      <c r="J242" s="66" t="s">
        <v>277</v>
      </c>
      <c r="K242" s="66" t="s">
        <v>314</v>
      </c>
      <c r="L242" s="104" t="s">
        <v>1850</v>
      </c>
      <c r="M242" s="66"/>
      <c r="N242" s="100">
        <v>46083.0</v>
      </c>
      <c r="O242" s="55" t="str">
        <f t="shared" si="1"/>
        <v>CONCLUÍDO</v>
      </c>
      <c r="P242" s="105" t="s">
        <v>1927</v>
      </c>
      <c r="Q242" s="100">
        <v>46056.0</v>
      </c>
      <c r="R242" s="96"/>
      <c r="S242" s="96"/>
      <c r="T242" s="96"/>
      <c r="U242" s="96"/>
      <c r="V242" s="96"/>
      <c r="W242" s="96"/>
      <c r="X242" s="96"/>
      <c r="Y242" s="96"/>
      <c r="Z242" s="96"/>
      <c r="AA242" s="96"/>
      <c r="AB242" s="96"/>
      <c r="AC242" s="96"/>
      <c r="AD242" s="96"/>
    </row>
    <row r="243">
      <c r="A243" s="190" t="s">
        <v>1929</v>
      </c>
      <c r="B243" s="103" t="s">
        <v>276</v>
      </c>
      <c r="C243" s="54" t="s">
        <v>277</v>
      </c>
      <c r="D243" s="66" t="s">
        <v>328</v>
      </c>
      <c r="E243" s="66" t="s">
        <v>515</v>
      </c>
      <c r="F243" s="100"/>
      <c r="G243" s="100">
        <v>46083.0</v>
      </c>
      <c r="H243" s="58">
        <v>0.0</v>
      </c>
      <c r="I243" s="66" t="s">
        <v>302</v>
      </c>
      <c r="J243" s="66" t="s">
        <v>1425</v>
      </c>
      <c r="K243" s="66" t="s">
        <v>1930</v>
      </c>
      <c r="L243" s="104" t="s">
        <v>1932</v>
      </c>
      <c r="M243" s="66"/>
      <c r="N243" s="100">
        <v>46087.0</v>
      </c>
      <c r="O243" s="55" t="str">
        <f t="shared" si="1"/>
        <v>CONCLUÍDO</v>
      </c>
      <c r="P243" s="105" t="s">
        <v>1933</v>
      </c>
      <c r="Q243" s="100">
        <v>46091.0</v>
      </c>
      <c r="R243" s="96"/>
      <c r="S243" s="96"/>
      <c r="T243" s="96"/>
      <c r="U243" s="96"/>
      <c r="V243" s="96"/>
      <c r="W243" s="96"/>
      <c r="X243" s="96"/>
      <c r="Y243" s="96"/>
      <c r="Z243" s="96"/>
      <c r="AA243" s="96"/>
      <c r="AB243" s="96"/>
      <c r="AC243" s="96"/>
      <c r="AD243" s="96"/>
    </row>
    <row r="244">
      <c r="A244" s="190" t="s">
        <v>1935</v>
      </c>
      <c r="B244" s="103" t="s">
        <v>276</v>
      </c>
      <c r="C244" s="54" t="s">
        <v>277</v>
      </c>
      <c r="D244" s="66" t="s">
        <v>378</v>
      </c>
      <c r="E244" s="66" t="s">
        <v>1815</v>
      </c>
      <c r="F244" s="100"/>
      <c r="G244" s="100">
        <v>46084.0</v>
      </c>
      <c r="H244" s="58">
        <v>0.0</v>
      </c>
      <c r="I244" s="66" t="s">
        <v>302</v>
      </c>
      <c r="J244" s="66" t="s">
        <v>473</v>
      </c>
      <c r="K244" s="66" t="s">
        <v>474</v>
      </c>
      <c r="L244" s="104" t="s">
        <v>1937</v>
      </c>
      <c r="M244" s="66" t="s">
        <v>1938</v>
      </c>
      <c r="N244" s="100">
        <v>46094.0</v>
      </c>
      <c r="O244" s="55" t="str">
        <f t="shared" si="1"/>
        <v>CONCLUÍDO</v>
      </c>
      <c r="P244" s="215" t="s">
        <v>1915</v>
      </c>
      <c r="Q244" s="100">
        <v>46094.0</v>
      </c>
      <c r="R244" s="96"/>
      <c r="S244" s="96"/>
      <c r="T244" s="96"/>
      <c r="U244" s="96"/>
      <c r="V244" s="96"/>
      <c r="W244" s="96"/>
      <c r="X244" s="96"/>
      <c r="Y244" s="96"/>
      <c r="Z244" s="96"/>
      <c r="AA244" s="96"/>
      <c r="AB244" s="96"/>
      <c r="AC244" s="96"/>
      <c r="AD244" s="96"/>
    </row>
    <row r="245">
      <c r="A245" s="190" t="s">
        <v>1940</v>
      </c>
      <c r="B245" s="103" t="s">
        <v>276</v>
      </c>
      <c r="C245" s="54" t="s">
        <v>277</v>
      </c>
      <c r="D245" s="66" t="s">
        <v>1248</v>
      </c>
      <c r="E245" s="66" t="s">
        <v>1283</v>
      </c>
      <c r="F245" s="100"/>
      <c r="G245" s="100">
        <v>46084.0</v>
      </c>
      <c r="H245" s="58">
        <v>0.0</v>
      </c>
      <c r="I245" s="66" t="s">
        <v>302</v>
      </c>
      <c r="J245" s="66" t="s">
        <v>277</v>
      </c>
      <c r="K245" s="66" t="s">
        <v>314</v>
      </c>
      <c r="L245" s="104" t="s">
        <v>1942</v>
      </c>
      <c r="M245" s="66" t="s">
        <v>1943</v>
      </c>
      <c r="N245" s="100">
        <v>46084.0</v>
      </c>
      <c r="O245" s="55" t="str">
        <f t="shared" si="1"/>
        <v>CONCLUÍDO</v>
      </c>
      <c r="P245" s="105" t="s">
        <v>1945</v>
      </c>
      <c r="Q245" s="100">
        <v>46084.0</v>
      </c>
      <c r="R245" s="96"/>
      <c r="S245" s="96"/>
      <c r="T245" s="96"/>
      <c r="U245" s="96"/>
      <c r="V245" s="96"/>
      <c r="W245" s="96"/>
      <c r="X245" s="96"/>
      <c r="Y245" s="96"/>
      <c r="Z245" s="96"/>
      <c r="AA245" s="96"/>
      <c r="AB245" s="96"/>
      <c r="AC245" s="96"/>
      <c r="AD245" s="96"/>
    </row>
    <row r="246">
      <c r="A246" s="190" t="s">
        <v>1946</v>
      </c>
      <c r="B246" s="103" t="s">
        <v>276</v>
      </c>
      <c r="C246" s="54" t="s">
        <v>277</v>
      </c>
      <c r="D246" s="66" t="s">
        <v>378</v>
      </c>
      <c r="E246" s="66" t="s">
        <v>1815</v>
      </c>
      <c r="F246" s="100"/>
      <c r="G246" s="100">
        <v>46084.0</v>
      </c>
      <c r="H246" s="58">
        <v>0.0</v>
      </c>
      <c r="I246" s="66" t="s">
        <v>302</v>
      </c>
      <c r="J246" s="66" t="s">
        <v>473</v>
      </c>
      <c r="K246" s="66" t="s">
        <v>474</v>
      </c>
      <c r="L246" s="104" t="s">
        <v>1949</v>
      </c>
      <c r="M246" s="66" t="s">
        <v>1950</v>
      </c>
      <c r="N246" s="100">
        <v>46094.0</v>
      </c>
      <c r="O246" s="55" t="str">
        <f t="shared" si="1"/>
        <v>CONCLUÍDO</v>
      </c>
      <c r="P246" s="215" t="s">
        <v>1915</v>
      </c>
      <c r="Q246" s="100">
        <v>46094.0</v>
      </c>
      <c r="R246" s="96"/>
      <c r="S246" s="96"/>
      <c r="T246" s="96"/>
      <c r="U246" s="96"/>
      <c r="V246" s="96"/>
      <c r="W246" s="96"/>
      <c r="X246" s="96"/>
      <c r="Y246" s="96"/>
      <c r="Z246" s="96"/>
      <c r="AA246" s="96"/>
      <c r="AB246" s="96"/>
      <c r="AC246" s="96"/>
      <c r="AD246" s="96"/>
    </row>
    <row r="247">
      <c r="A247" s="190" t="s">
        <v>1952</v>
      </c>
      <c r="B247" s="103" t="s">
        <v>276</v>
      </c>
      <c r="C247" s="54" t="s">
        <v>277</v>
      </c>
      <c r="D247" s="66" t="s">
        <v>328</v>
      </c>
      <c r="E247" s="66" t="s">
        <v>392</v>
      </c>
      <c r="F247" s="100"/>
      <c r="G247" s="100">
        <v>46084.0</v>
      </c>
      <c r="H247" s="58">
        <v>0.0</v>
      </c>
      <c r="I247" s="66" t="s">
        <v>302</v>
      </c>
      <c r="J247" s="66" t="s">
        <v>277</v>
      </c>
      <c r="K247" s="66" t="s">
        <v>314</v>
      </c>
      <c r="L247" s="104" t="s">
        <v>1954</v>
      </c>
      <c r="M247" s="66"/>
      <c r="N247" s="100">
        <v>46084.0</v>
      </c>
      <c r="O247" s="55" t="str">
        <f t="shared" si="1"/>
        <v>CONCLUÍDO</v>
      </c>
      <c r="P247" s="105" t="s">
        <v>1955</v>
      </c>
      <c r="Q247" s="100">
        <v>46084.0</v>
      </c>
      <c r="R247" s="96"/>
      <c r="S247" s="96"/>
      <c r="T247" s="96"/>
      <c r="U247" s="96"/>
      <c r="V247" s="96"/>
      <c r="W247" s="96"/>
      <c r="X247" s="96"/>
      <c r="Y247" s="96"/>
      <c r="Z247" s="96"/>
      <c r="AA247" s="96"/>
      <c r="AB247" s="96"/>
      <c r="AC247" s="96"/>
      <c r="AD247" s="96"/>
    </row>
    <row r="248">
      <c r="A248" s="190" t="s">
        <v>1957</v>
      </c>
      <c r="B248" s="103" t="s">
        <v>276</v>
      </c>
      <c r="C248" s="54" t="s">
        <v>277</v>
      </c>
      <c r="D248" s="66" t="s">
        <v>328</v>
      </c>
      <c r="E248" s="66" t="s">
        <v>1867</v>
      </c>
      <c r="F248" s="100"/>
      <c r="G248" s="100">
        <v>46084.0</v>
      </c>
      <c r="H248" s="58">
        <v>0.0</v>
      </c>
      <c r="I248" s="66" t="s">
        <v>302</v>
      </c>
      <c r="J248" s="66" t="s">
        <v>473</v>
      </c>
      <c r="K248" s="66" t="s">
        <v>474</v>
      </c>
      <c r="L248" s="104" t="s">
        <v>1959</v>
      </c>
      <c r="M248" s="66"/>
      <c r="N248" s="100">
        <v>46085.0</v>
      </c>
      <c r="O248" s="55" t="str">
        <f t="shared" si="1"/>
        <v>CONCLUÍDO</v>
      </c>
      <c r="P248" s="105" t="s">
        <v>1960</v>
      </c>
      <c r="Q248" s="100">
        <v>46178.0</v>
      </c>
      <c r="R248" s="96"/>
      <c r="S248" s="96"/>
      <c r="T248" s="96"/>
      <c r="U248" s="96"/>
      <c r="V248" s="96"/>
      <c r="W248" s="96"/>
      <c r="X248" s="96"/>
      <c r="Y248" s="96"/>
      <c r="Z248" s="96"/>
      <c r="AA248" s="96"/>
      <c r="AB248" s="96"/>
      <c r="AC248" s="96"/>
      <c r="AD248" s="96"/>
    </row>
    <row r="249" ht="263.25" customHeight="1">
      <c r="A249" s="190" t="s">
        <v>1962</v>
      </c>
      <c r="B249" s="103" t="s">
        <v>276</v>
      </c>
      <c r="C249" s="54" t="s">
        <v>277</v>
      </c>
      <c r="D249" s="66" t="s">
        <v>328</v>
      </c>
      <c r="E249" s="66" t="s">
        <v>708</v>
      </c>
      <c r="F249" s="100"/>
      <c r="G249" s="100">
        <v>46085.0</v>
      </c>
      <c r="H249" s="58">
        <v>0.0</v>
      </c>
      <c r="I249" s="66" t="s">
        <v>302</v>
      </c>
      <c r="J249" s="66" t="s">
        <v>692</v>
      </c>
      <c r="K249" s="66" t="s">
        <v>407</v>
      </c>
      <c r="L249" s="104" t="s">
        <v>1964</v>
      </c>
      <c r="M249" s="218"/>
      <c r="N249" s="100">
        <v>46091.0</v>
      </c>
      <c r="O249" s="55" t="str">
        <f t="shared" si="1"/>
        <v>CONCLUÍDO</v>
      </c>
      <c r="P249" s="105" t="s">
        <v>1968</v>
      </c>
      <c r="Q249" s="100">
        <v>46085.0</v>
      </c>
      <c r="R249" s="96"/>
      <c r="S249" s="96"/>
      <c r="T249" s="96"/>
      <c r="U249" s="96"/>
      <c r="V249" s="96"/>
      <c r="W249" s="96"/>
      <c r="X249" s="96"/>
      <c r="Y249" s="96"/>
      <c r="Z249" s="96"/>
      <c r="AA249" s="96"/>
      <c r="AB249" s="96"/>
      <c r="AC249" s="96"/>
      <c r="AD249" s="96"/>
    </row>
    <row r="250">
      <c r="A250" s="190" t="s">
        <v>1970</v>
      </c>
      <c r="B250" s="103" t="s">
        <v>276</v>
      </c>
      <c r="C250" s="54" t="s">
        <v>277</v>
      </c>
      <c r="D250" s="66" t="s">
        <v>378</v>
      </c>
      <c r="E250" s="66" t="s">
        <v>1815</v>
      </c>
      <c r="F250" s="100"/>
      <c r="G250" s="100">
        <v>46085.0</v>
      </c>
      <c r="H250" s="58">
        <v>0.0</v>
      </c>
      <c r="I250" s="66" t="s">
        <v>302</v>
      </c>
      <c r="J250" s="66" t="s">
        <v>473</v>
      </c>
      <c r="K250" s="66" t="s">
        <v>474</v>
      </c>
      <c r="L250" s="104" t="s">
        <v>1972</v>
      </c>
      <c r="M250" s="219" t="s">
        <v>1974</v>
      </c>
      <c r="N250" s="100">
        <v>46094.0</v>
      </c>
      <c r="O250" s="55" t="str">
        <f t="shared" si="1"/>
        <v>CONCLUÍDO</v>
      </c>
      <c r="P250" s="215" t="s">
        <v>1915</v>
      </c>
      <c r="Q250" s="100">
        <v>46085.0</v>
      </c>
      <c r="R250" s="96"/>
      <c r="S250" s="96"/>
      <c r="T250" s="96"/>
      <c r="U250" s="96"/>
      <c r="V250" s="96"/>
      <c r="W250" s="96"/>
      <c r="X250" s="96"/>
      <c r="Y250" s="96"/>
      <c r="Z250" s="96"/>
      <c r="AA250" s="96"/>
      <c r="AB250" s="96"/>
      <c r="AC250" s="96"/>
      <c r="AD250" s="96"/>
    </row>
    <row r="251">
      <c r="A251" s="190" t="s">
        <v>1977</v>
      </c>
      <c r="B251" s="103" t="s">
        <v>276</v>
      </c>
      <c r="C251" s="54" t="s">
        <v>277</v>
      </c>
      <c r="D251" s="66" t="s">
        <v>328</v>
      </c>
      <c r="E251" s="66" t="s">
        <v>1978</v>
      </c>
      <c r="F251" s="100"/>
      <c r="G251" s="100">
        <v>46085.0</v>
      </c>
      <c r="H251" s="58">
        <v>0.0</v>
      </c>
      <c r="I251" s="66" t="s">
        <v>302</v>
      </c>
      <c r="J251" s="66" t="s">
        <v>473</v>
      </c>
      <c r="K251" s="66" t="s">
        <v>474</v>
      </c>
      <c r="L251" s="104" t="s">
        <v>1980</v>
      </c>
      <c r="M251" s="66" t="s">
        <v>1981</v>
      </c>
      <c r="N251" s="100">
        <v>46183.0</v>
      </c>
      <c r="O251" s="55" t="str">
        <f t="shared" si="1"/>
        <v>CONCLUÍDO</v>
      </c>
      <c r="P251" s="105" t="s">
        <v>1983</v>
      </c>
      <c r="Q251" s="100">
        <v>46085.0</v>
      </c>
      <c r="R251" s="96"/>
      <c r="S251" s="96"/>
      <c r="T251" s="96"/>
      <c r="U251" s="96"/>
      <c r="V251" s="96"/>
      <c r="W251" s="96"/>
      <c r="X251" s="96"/>
      <c r="Y251" s="96"/>
      <c r="Z251" s="96"/>
      <c r="AA251" s="96"/>
      <c r="AB251" s="96"/>
      <c r="AC251" s="96"/>
      <c r="AD251" s="96"/>
    </row>
    <row r="252">
      <c r="A252" s="190" t="s">
        <v>1985</v>
      </c>
      <c r="B252" s="103" t="s">
        <v>276</v>
      </c>
      <c r="C252" s="54" t="s">
        <v>277</v>
      </c>
      <c r="D252" s="66" t="s">
        <v>328</v>
      </c>
      <c r="E252" s="66" t="s">
        <v>1256</v>
      </c>
      <c r="F252" s="100"/>
      <c r="G252" s="100">
        <v>46085.0</v>
      </c>
      <c r="H252" s="58">
        <v>0.0</v>
      </c>
      <c r="I252" s="66" t="s">
        <v>302</v>
      </c>
      <c r="J252" s="66" t="s">
        <v>277</v>
      </c>
      <c r="K252" s="66" t="s">
        <v>314</v>
      </c>
      <c r="L252" s="104" t="s">
        <v>1988</v>
      </c>
      <c r="M252" s="66"/>
      <c r="N252" s="100">
        <v>46085.0</v>
      </c>
      <c r="O252" s="55" t="str">
        <f t="shared" si="1"/>
        <v>CONCLUÍDO</v>
      </c>
      <c r="P252" s="105" t="s">
        <v>1852</v>
      </c>
      <c r="Q252" s="100">
        <v>46085.0</v>
      </c>
      <c r="R252" s="96"/>
      <c r="S252" s="96"/>
      <c r="T252" s="96"/>
      <c r="U252" s="96"/>
      <c r="V252" s="96"/>
      <c r="W252" s="96"/>
      <c r="X252" s="96"/>
      <c r="Y252" s="96"/>
      <c r="Z252" s="96"/>
      <c r="AA252" s="96"/>
      <c r="AB252" s="96"/>
      <c r="AC252" s="96"/>
      <c r="AD252" s="96"/>
    </row>
    <row r="253">
      <c r="A253" s="190" t="s">
        <v>1990</v>
      </c>
      <c r="B253" s="103" t="s">
        <v>276</v>
      </c>
      <c r="C253" s="54" t="s">
        <v>277</v>
      </c>
      <c r="D253" s="66" t="s">
        <v>328</v>
      </c>
      <c r="E253" s="66" t="s">
        <v>1992</v>
      </c>
      <c r="F253" s="100"/>
      <c r="G253" s="100">
        <v>46085.0</v>
      </c>
      <c r="H253" s="58">
        <v>0.0</v>
      </c>
      <c r="I253" s="66" t="s">
        <v>302</v>
      </c>
      <c r="J253" s="66" t="s">
        <v>277</v>
      </c>
      <c r="K253" s="66" t="s">
        <v>314</v>
      </c>
      <c r="L253" s="104" t="s">
        <v>1994</v>
      </c>
      <c r="M253" s="66"/>
      <c r="N253" s="100">
        <v>46085.0</v>
      </c>
      <c r="O253" s="55" t="str">
        <f t="shared" si="1"/>
        <v>CONCLUÍDO</v>
      </c>
      <c r="P253" s="105" t="s">
        <v>1995</v>
      </c>
      <c r="Q253" s="100">
        <v>46085.0</v>
      </c>
      <c r="R253" s="96"/>
      <c r="S253" s="96"/>
      <c r="T253" s="96"/>
      <c r="U253" s="96"/>
      <c r="V253" s="96"/>
      <c r="W253" s="96"/>
      <c r="X253" s="96"/>
      <c r="Y253" s="96"/>
      <c r="Z253" s="96"/>
      <c r="AA253" s="96"/>
      <c r="AB253" s="96"/>
      <c r="AC253" s="96"/>
      <c r="AD253" s="96"/>
    </row>
    <row r="254">
      <c r="A254" s="190" t="s">
        <v>1997</v>
      </c>
      <c r="B254" s="103" t="s">
        <v>276</v>
      </c>
      <c r="C254" s="54" t="s">
        <v>277</v>
      </c>
      <c r="D254" s="66" t="s">
        <v>328</v>
      </c>
      <c r="E254" s="66" t="s">
        <v>1998</v>
      </c>
      <c r="F254" s="100"/>
      <c r="G254" s="100">
        <v>46085.0</v>
      </c>
      <c r="H254" s="58">
        <v>0.0</v>
      </c>
      <c r="I254" s="66" t="s">
        <v>302</v>
      </c>
      <c r="J254" s="66" t="s">
        <v>277</v>
      </c>
      <c r="K254" s="66" t="s">
        <v>314</v>
      </c>
      <c r="L254" s="104" t="s">
        <v>1999</v>
      </c>
      <c r="M254" s="178"/>
      <c r="N254" s="100">
        <v>46085.0</v>
      </c>
      <c r="O254" s="55" t="str">
        <f t="shared" si="1"/>
        <v>CONCLUÍDO</v>
      </c>
      <c r="P254" s="105" t="s">
        <v>1852</v>
      </c>
      <c r="Q254" s="100">
        <v>46085.0</v>
      </c>
      <c r="R254" s="96"/>
      <c r="S254" s="96"/>
      <c r="T254" s="96"/>
      <c r="U254" s="96"/>
      <c r="V254" s="96"/>
      <c r="W254" s="96"/>
      <c r="X254" s="96"/>
      <c r="Y254" s="96"/>
      <c r="Z254" s="96"/>
      <c r="AA254" s="96"/>
      <c r="AB254" s="96"/>
      <c r="AC254" s="96"/>
      <c r="AD254" s="96"/>
    </row>
    <row r="255">
      <c r="A255" s="190" t="s">
        <v>2001</v>
      </c>
      <c r="B255" s="103" t="s">
        <v>276</v>
      </c>
      <c r="C255" s="54" t="s">
        <v>277</v>
      </c>
      <c r="D255" s="66" t="s">
        <v>1248</v>
      </c>
      <c r="E255" s="66" t="s">
        <v>1897</v>
      </c>
      <c r="F255" s="100"/>
      <c r="G255" s="100">
        <v>46085.0</v>
      </c>
      <c r="H255" s="58">
        <v>0.0</v>
      </c>
      <c r="I255" s="66" t="s">
        <v>302</v>
      </c>
      <c r="J255" s="66" t="s">
        <v>277</v>
      </c>
      <c r="K255" s="66" t="s">
        <v>314</v>
      </c>
      <c r="L255" s="104" t="s">
        <v>2003</v>
      </c>
      <c r="M255" s="66" t="s">
        <v>2004</v>
      </c>
      <c r="N255" s="100">
        <v>46085.0</v>
      </c>
      <c r="O255" s="55" t="str">
        <f t="shared" si="1"/>
        <v>CONCLUÍDO</v>
      </c>
      <c r="P255" s="105" t="s">
        <v>2005</v>
      </c>
      <c r="Q255" s="100">
        <v>46085.0</v>
      </c>
      <c r="R255" s="96"/>
      <c r="S255" s="96"/>
      <c r="T255" s="96"/>
      <c r="U255" s="96"/>
      <c r="V255" s="96"/>
      <c r="W255" s="96"/>
      <c r="X255" s="96"/>
      <c r="Y255" s="96"/>
      <c r="Z255" s="96"/>
      <c r="AA255" s="96"/>
      <c r="AB255" s="96"/>
      <c r="AC255" s="96"/>
      <c r="AD255" s="96"/>
    </row>
    <row r="256">
      <c r="A256" s="190" t="s">
        <v>2008</v>
      </c>
      <c r="B256" s="103" t="s">
        <v>276</v>
      </c>
      <c r="C256" s="54" t="s">
        <v>277</v>
      </c>
      <c r="D256" s="66" t="s">
        <v>328</v>
      </c>
      <c r="E256" s="66" t="s">
        <v>392</v>
      </c>
      <c r="F256" s="100"/>
      <c r="G256" s="100">
        <v>46085.0</v>
      </c>
      <c r="H256" s="58">
        <v>0.0</v>
      </c>
      <c r="I256" s="66" t="s">
        <v>302</v>
      </c>
      <c r="J256" s="66" t="s">
        <v>277</v>
      </c>
      <c r="K256" s="66" t="s">
        <v>314</v>
      </c>
      <c r="L256" s="104" t="s">
        <v>2009</v>
      </c>
      <c r="M256" s="66"/>
      <c r="N256" s="100">
        <v>46085.0</v>
      </c>
      <c r="O256" s="55" t="str">
        <f t="shared" si="1"/>
        <v>CONCLUÍDO</v>
      </c>
      <c r="P256" s="105" t="s">
        <v>2012</v>
      </c>
      <c r="Q256" s="100">
        <v>46085.0</v>
      </c>
      <c r="R256" s="96"/>
      <c r="S256" s="96"/>
      <c r="T256" s="96"/>
      <c r="U256" s="96"/>
      <c r="V256" s="96"/>
      <c r="W256" s="96"/>
      <c r="X256" s="96"/>
      <c r="Y256" s="96"/>
      <c r="Z256" s="96"/>
      <c r="AA256" s="96"/>
      <c r="AB256" s="96"/>
      <c r="AC256" s="96"/>
      <c r="AD256" s="96"/>
    </row>
    <row r="257">
      <c r="A257" s="190" t="s">
        <v>2013</v>
      </c>
      <c r="B257" s="103" t="s">
        <v>276</v>
      </c>
      <c r="C257" s="54" t="s">
        <v>277</v>
      </c>
      <c r="D257" s="66" t="s">
        <v>328</v>
      </c>
      <c r="E257" s="66" t="s">
        <v>1867</v>
      </c>
      <c r="F257" s="100"/>
      <c r="G257" s="100">
        <v>46087.0</v>
      </c>
      <c r="H257" s="58">
        <v>0.0</v>
      </c>
      <c r="I257" s="66" t="s">
        <v>302</v>
      </c>
      <c r="J257" s="66" t="s">
        <v>473</v>
      </c>
      <c r="K257" s="66" t="s">
        <v>474</v>
      </c>
      <c r="L257" s="104" t="s">
        <v>2015</v>
      </c>
      <c r="M257" s="66"/>
      <c r="N257" s="100">
        <v>46091.0</v>
      </c>
      <c r="O257" s="55" t="str">
        <f t="shared" si="1"/>
        <v>CONCLUÍDO</v>
      </c>
      <c r="P257" s="105"/>
      <c r="Q257" s="84">
        <f>N257</f>
        <v>46091</v>
      </c>
      <c r="R257" s="96"/>
      <c r="S257" s="96"/>
      <c r="T257" s="96"/>
      <c r="U257" s="96"/>
      <c r="V257" s="96"/>
      <c r="W257" s="96"/>
      <c r="X257" s="96"/>
      <c r="Y257" s="96"/>
      <c r="Z257" s="96"/>
      <c r="AA257" s="96"/>
      <c r="AB257" s="96"/>
      <c r="AC257" s="96"/>
      <c r="AD257" s="96"/>
    </row>
    <row r="258">
      <c r="A258" s="190" t="s">
        <v>2017</v>
      </c>
      <c r="B258" s="103" t="s">
        <v>276</v>
      </c>
      <c r="C258" s="54" t="s">
        <v>277</v>
      </c>
      <c r="D258" s="66" t="s">
        <v>378</v>
      </c>
      <c r="E258" s="66" t="s">
        <v>1815</v>
      </c>
      <c r="F258" s="100"/>
      <c r="G258" s="100">
        <v>46087.0</v>
      </c>
      <c r="H258" s="58">
        <v>0.0</v>
      </c>
      <c r="I258" s="66" t="s">
        <v>302</v>
      </c>
      <c r="J258" s="66" t="s">
        <v>473</v>
      </c>
      <c r="K258" s="66" t="s">
        <v>474</v>
      </c>
      <c r="L258" s="104" t="s">
        <v>2020</v>
      </c>
      <c r="M258" s="66" t="s">
        <v>2021</v>
      </c>
      <c r="N258" s="100">
        <v>46094.0</v>
      </c>
      <c r="O258" s="55" t="str">
        <f t="shared" si="1"/>
        <v>CONCLUÍDO</v>
      </c>
      <c r="P258" s="215" t="s">
        <v>1915</v>
      </c>
      <c r="Q258" s="100">
        <v>46066.0</v>
      </c>
      <c r="R258" s="96"/>
      <c r="S258" s="96"/>
      <c r="T258" s="96"/>
      <c r="U258" s="96"/>
      <c r="V258" s="96"/>
      <c r="W258" s="96"/>
      <c r="X258" s="96"/>
      <c r="Y258" s="96"/>
      <c r="Z258" s="96"/>
      <c r="AA258" s="96"/>
      <c r="AB258" s="96"/>
      <c r="AC258" s="96"/>
      <c r="AD258" s="96"/>
    </row>
    <row r="259">
      <c r="A259" s="190" t="s">
        <v>2023</v>
      </c>
      <c r="B259" s="103" t="s">
        <v>276</v>
      </c>
      <c r="C259" s="54" t="s">
        <v>277</v>
      </c>
      <c r="D259" s="66" t="s">
        <v>378</v>
      </c>
      <c r="E259" s="66" t="s">
        <v>1815</v>
      </c>
      <c r="F259" s="100"/>
      <c r="G259" s="100">
        <v>46090.0</v>
      </c>
      <c r="H259" s="58">
        <v>0.0</v>
      </c>
      <c r="I259" s="66" t="s">
        <v>302</v>
      </c>
      <c r="J259" s="66" t="s">
        <v>473</v>
      </c>
      <c r="K259" s="66" t="s">
        <v>474</v>
      </c>
      <c r="L259" s="104" t="s">
        <v>2027</v>
      </c>
      <c r="M259" s="66"/>
      <c r="N259" s="100">
        <v>46094.0</v>
      </c>
      <c r="O259" s="55" t="str">
        <f t="shared" si="1"/>
        <v>CONCLUÍDO</v>
      </c>
      <c r="P259" s="215" t="s">
        <v>2028</v>
      </c>
      <c r="Q259" s="100">
        <v>46066.0</v>
      </c>
      <c r="R259" s="96"/>
      <c r="S259" s="96"/>
      <c r="T259" s="96"/>
      <c r="U259" s="96"/>
      <c r="V259" s="96"/>
      <c r="W259" s="96"/>
      <c r="X259" s="96"/>
      <c r="Y259" s="96"/>
      <c r="Z259" s="96"/>
      <c r="AA259" s="96"/>
      <c r="AB259" s="96"/>
      <c r="AC259" s="96"/>
      <c r="AD259" s="96"/>
    </row>
    <row r="260">
      <c r="A260" s="190" t="s">
        <v>2030</v>
      </c>
      <c r="B260" s="103" t="s">
        <v>276</v>
      </c>
      <c r="C260" s="54" t="s">
        <v>277</v>
      </c>
      <c r="D260" s="66" t="s">
        <v>819</v>
      </c>
      <c r="E260" s="66" t="s">
        <v>656</v>
      </c>
      <c r="F260" s="100"/>
      <c r="G260" s="100">
        <v>46090.0</v>
      </c>
      <c r="H260" s="58">
        <v>0.0</v>
      </c>
      <c r="I260" s="66" t="s">
        <v>302</v>
      </c>
      <c r="J260" s="66" t="s">
        <v>277</v>
      </c>
      <c r="K260" s="66" t="s">
        <v>314</v>
      </c>
      <c r="L260" s="104" t="s">
        <v>2031</v>
      </c>
      <c r="M260" s="66"/>
      <c r="N260" s="100">
        <v>46090.0</v>
      </c>
      <c r="O260" s="55" t="str">
        <f t="shared" si="1"/>
        <v>CONCLUÍDO</v>
      </c>
      <c r="P260" s="105" t="s">
        <v>1852</v>
      </c>
      <c r="Q260" s="100">
        <v>46090.0</v>
      </c>
      <c r="R260" s="96"/>
      <c r="S260" s="96"/>
      <c r="T260" s="96"/>
      <c r="U260" s="96"/>
      <c r="V260" s="96"/>
      <c r="W260" s="96"/>
      <c r="X260" s="96"/>
      <c r="Y260" s="96"/>
      <c r="Z260" s="96"/>
      <c r="AA260" s="96"/>
      <c r="AB260" s="96"/>
      <c r="AC260" s="96"/>
      <c r="AD260" s="96"/>
    </row>
    <row r="261">
      <c r="A261" s="190" t="s">
        <v>2033</v>
      </c>
      <c r="B261" s="103" t="s">
        <v>276</v>
      </c>
      <c r="C261" s="54" t="s">
        <v>277</v>
      </c>
      <c r="D261" s="66" t="s">
        <v>1248</v>
      </c>
      <c r="E261" s="66" t="s">
        <v>656</v>
      </c>
      <c r="F261" s="100"/>
      <c r="G261" s="100">
        <v>46090.0</v>
      </c>
      <c r="H261" s="58">
        <v>0.0</v>
      </c>
      <c r="I261" s="66" t="s">
        <v>302</v>
      </c>
      <c r="J261" s="66" t="s">
        <v>277</v>
      </c>
      <c r="K261" s="66" t="s">
        <v>314</v>
      </c>
      <c r="L261" s="104" t="s">
        <v>2034</v>
      </c>
      <c r="M261" s="66"/>
      <c r="N261" s="100">
        <v>46090.0</v>
      </c>
      <c r="O261" s="55" t="str">
        <f t="shared" si="1"/>
        <v>CONCLUÍDO</v>
      </c>
      <c r="P261" s="105" t="s">
        <v>1852</v>
      </c>
      <c r="Q261" s="100">
        <v>46090.0</v>
      </c>
      <c r="R261" s="96"/>
      <c r="S261" s="96"/>
      <c r="T261" s="96"/>
      <c r="U261" s="96"/>
      <c r="V261" s="96"/>
      <c r="W261" s="96"/>
      <c r="X261" s="96"/>
      <c r="Y261" s="96"/>
      <c r="Z261" s="96"/>
      <c r="AA261" s="96"/>
      <c r="AB261" s="96"/>
      <c r="AC261" s="96"/>
      <c r="AD261" s="96"/>
    </row>
    <row r="262">
      <c r="A262" s="190" t="s">
        <v>2037</v>
      </c>
      <c r="B262" s="103" t="s">
        <v>276</v>
      </c>
      <c r="C262" s="54" t="s">
        <v>277</v>
      </c>
      <c r="D262" s="66" t="s">
        <v>1248</v>
      </c>
      <c r="E262" s="66" t="s">
        <v>656</v>
      </c>
      <c r="F262" s="100"/>
      <c r="G262" s="100">
        <v>46090.0</v>
      </c>
      <c r="H262" s="58">
        <v>0.0</v>
      </c>
      <c r="I262" s="66" t="s">
        <v>302</v>
      </c>
      <c r="J262" s="66" t="s">
        <v>277</v>
      </c>
      <c r="K262" s="66" t="s">
        <v>314</v>
      </c>
      <c r="L262" s="104" t="s">
        <v>2040</v>
      </c>
      <c r="M262" s="66"/>
      <c r="N262" s="100">
        <v>46090.0</v>
      </c>
      <c r="O262" s="55" t="str">
        <f t="shared" si="1"/>
        <v>CONCLUÍDO</v>
      </c>
      <c r="P262" s="105" t="s">
        <v>1852</v>
      </c>
      <c r="Q262" s="100">
        <v>46090.0</v>
      </c>
      <c r="R262" s="96"/>
      <c r="S262" s="96"/>
      <c r="T262" s="96"/>
      <c r="U262" s="96"/>
      <c r="V262" s="96"/>
      <c r="W262" s="96"/>
      <c r="X262" s="96"/>
      <c r="Y262" s="96"/>
      <c r="Z262" s="96"/>
      <c r="AA262" s="96"/>
      <c r="AB262" s="96"/>
      <c r="AC262" s="96"/>
      <c r="AD262" s="96"/>
    </row>
    <row r="263">
      <c r="A263" s="190" t="s">
        <v>2041</v>
      </c>
      <c r="B263" s="103" t="s">
        <v>276</v>
      </c>
      <c r="C263" s="54" t="s">
        <v>277</v>
      </c>
      <c r="D263" s="66" t="s">
        <v>1248</v>
      </c>
      <c r="E263" s="66" t="s">
        <v>1283</v>
      </c>
      <c r="F263" s="100"/>
      <c r="G263" s="100">
        <v>46090.0</v>
      </c>
      <c r="H263" s="58">
        <v>0.0</v>
      </c>
      <c r="I263" s="66" t="s">
        <v>302</v>
      </c>
      <c r="J263" s="66" t="s">
        <v>277</v>
      </c>
      <c r="K263" s="66" t="s">
        <v>314</v>
      </c>
      <c r="L263" s="104" t="s">
        <v>2044</v>
      </c>
      <c r="M263" s="66"/>
      <c r="N263" s="100">
        <v>46183.0</v>
      </c>
      <c r="O263" s="55" t="str">
        <f t="shared" si="1"/>
        <v>CONCLUÍDO</v>
      </c>
      <c r="P263" s="105" t="s">
        <v>2045</v>
      </c>
      <c r="Q263" s="100">
        <v>46097.0</v>
      </c>
      <c r="R263" s="96"/>
      <c r="S263" s="96"/>
      <c r="T263" s="96"/>
      <c r="U263" s="96"/>
      <c r="V263" s="96"/>
      <c r="W263" s="96"/>
      <c r="X263" s="96"/>
      <c r="Y263" s="96"/>
      <c r="Z263" s="96"/>
      <c r="AA263" s="96"/>
      <c r="AB263" s="96"/>
      <c r="AC263" s="96"/>
      <c r="AD263" s="96"/>
    </row>
    <row r="264">
      <c r="A264" s="190" t="s">
        <v>2047</v>
      </c>
      <c r="B264" s="103" t="s">
        <v>276</v>
      </c>
      <c r="C264" s="54" t="s">
        <v>277</v>
      </c>
      <c r="D264" s="66" t="s">
        <v>1248</v>
      </c>
      <c r="E264" s="66" t="s">
        <v>2048</v>
      </c>
      <c r="F264" s="100"/>
      <c r="G264" s="100">
        <v>46090.0</v>
      </c>
      <c r="H264" s="58">
        <v>0.0</v>
      </c>
      <c r="I264" s="66" t="s">
        <v>302</v>
      </c>
      <c r="J264" s="66" t="s">
        <v>277</v>
      </c>
      <c r="K264" s="66" t="s">
        <v>314</v>
      </c>
      <c r="L264" s="104" t="s">
        <v>2050</v>
      </c>
      <c r="M264" s="66"/>
      <c r="N264" s="100">
        <v>46183.0</v>
      </c>
      <c r="O264" s="55" t="str">
        <f t="shared" si="1"/>
        <v>CONCLUÍDO</v>
      </c>
      <c r="P264" s="105" t="s">
        <v>2051</v>
      </c>
      <c r="Q264" s="84">
        <f>N264</f>
        <v>46183</v>
      </c>
      <c r="R264" s="96"/>
      <c r="S264" s="96"/>
      <c r="T264" s="96"/>
      <c r="U264" s="96"/>
      <c r="V264" s="96"/>
      <c r="W264" s="96"/>
      <c r="X264" s="96"/>
      <c r="Y264" s="96"/>
      <c r="Z264" s="96"/>
      <c r="AA264" s="96"/>
      <c r="AB264" s="96"/>
      <c r="AC264" s="96"/>
      <c r="AD264" s="96"/>
    </row>
    <row r="265">
      <c r="A265" s="190" t="s">
        <v>2053</v>
      </c>
      <c r="B265" s="103" t="s">
        <v>276</v>
      </c>
      <c r="C265" s="54" t="s">
        <v>277</v>
      </c>
      <c r="D265" s="66" t="s">
        <v>271</v>
      </c>
      <c r="E265" s="66" t="s">
        <v>2055</v>
      </c>
      <c r="F265" s="100"/>
      <c r="G265" s="100">
        <v>46091.0</v>
      </c>
      <c r="H265" s="58">
        <v>0.0</v>
      </c>
      <c r="I265" s="66" t="s">
        <v>302</v>
      </c>
      <c r="J265" s="66" t="s">
        <v>692</v>
      </c>
      <c r="K265" s="66" t="s">
        <v>407</v>
      </c>
      <c r="L265" s="104" t="s">
        <v>2056</v>
      </c>
      <c r="M265" s="66"/>
      <c r="N265" s="100">
        <v>46097.0</v>
      </c>
      <c r="O265" s="55" t="str">
        <f t="shared" si="1"/>
        <v>CONCLUÍDO</v>
      </c>
      <c r="P265" s="215" t="s">
        <v>2058</v>
      </c>
      <c r="Q265" s="100">
        <v>46097.0</v>
      </c>
      <c r="R265" s="96"/>
      <c r="S265" s="96"/>
      <c r="T265" s="96"/>
      <c r="U265" s="96"/>
      <c r="V265" s="96"/>
      <c r="W265" s="96"/>
      <c r="X265" s="96"/>
      <c r="Y265" s="96"/>
      <c r="Z265" s="96"/>
      <c r="AA265" s="96"/>
      <c r="AB265" s="96"/>
      <c r="AC265" s="96"/>
      <c r="AD265" s="96"/>
    </row>
    <row r="266">
      <c r="A266" s="190" t="s">
        <v>2061</v>
      </c>
      <c r="B266" s="103" t="s">
        <v>276</v>
      </c>
      <c r="C266" s="54" t="s">
        <v>277</v>
      </c>
      <c r="D266" s="66" t="s">
        <v>1248</v>
      </c>
      <c r="E266" s="66" t="s">
        <v>2062</v>
      </c>
      <c r="F266" s="100"/>
      <c r="G266" s="100">
        <v>46091.0</v>
      </c>
      <c r="H266" s="58">
        <v>0.0</v>
      </c>
      <c r="I266" s="66" t="s">
        <v>302</v>
      </c>
      <c r="J266" s="66" t="s">
        <v>473</v>
      </c>
      <c r="K266" s="66" t="s">
        <v>474</v>
      </c>
      <c r="L266" s="104" t="s">
        <v>2064</v>
      </c>
      <c r="M266" s="66"/>
      <c r="N266" s="100">
        <v>46092.0</v>
      </c>
      <c r="O266" s="55" t="str">
        <f t="shared" si="1"/>
        <v>CONCLUÍDO</v>
      </c>
      <c r="P266" s="105" t="s">
        <v>2066</v>
      </c>
      <c r="Q266" s="100">
        <v>46092.0</v>
      </c>
      <c r="R266" s="96"/>
      <c r="S266" s="96"/>
      <c r="T266" s="96"/>
      <c r="U266" s="96"/>
      <c r="V266" s="96"/>
      <c r="W266" s="96"/>
      <c r="X266" s="96"/>
      <c r="Y266" s="96"/>
      <c r="Z266" s="96"/>
      <c r="AA266" s="96"/>
      <c r="AB266" s="96"/>
      <c r="AC266" s="96"/>
      <c r="AD266" s="96"/>
    </row>
    <row r="267">
      <c r="A267" s="190" t="s">
        <v>2068</v>
      </c>
      <c r="B267" s="103" t="s">
        <v>276</v>
      </c>
      <c r="C267" s="54" t="s">
        <v>277</v>
      </c>
      <c r="D267" s="66" t="s">
        <v>328</v>
      </c>
      <c r="E267" s="66" t="s">
        <v>2069</v>
      </c>
      <c r="F267" s="100"/>
      <c r="G267" s="100">
        <v>46093.0</v>
      </c>
      <c r="H267" s="58">
        <v>0.0</v>
      </c>
      <c r="I267" s="66" t="s">
        <v>302</v>
      </c>
      <c r="J267" s="66" t="s">
        <v>473</v>
      </c>
      <c r="K267" s="66" t="s">
        <v>474</v>
      </c>
      <c r="L267" s="104" t="s">
        <v>2071</v>
      </c>
      <c r="M267" s="66"/>
      <c r="N267" s="100">
        <v>46097.0</v>
      </c>
      <c r="O267" s="55" t="str">
        <f t="shared" si="1"/>
        <v>CONCLUÍDO</v>
      </c>
      <c r="P267" s="215" t="s">
        <v>2072</v>
      </c>
      <c r="Q267" s="100">
        <v>46107.0</v>
      </c>
      <c r="R267" s="96"/>
      <c r="S267" s="96"/>
      <c r="T267" s="96"/>
      <c r="U267" s="96"/>
      <c r="V267" s="96"/>
      <c r="W267" s="96"/>
      <c r="X267" s="96"/>
      <c r="Y267" s="96"/>
      <c r="Z267" s="96"/>
      <c r="AA267" s="96"/>
      <c r="AB267" s="96"/>
      <c r="AC267" s="96"/>
      <c r="AD267" s="96"/>
    </row>
    <row r="268">
      <c r="A268" s="190" t="s">
        <v>2074</v>
      </c>
      <c r="B268" s="103" t="s">
        <v>276</v>
      </c>
      <c r="C268" s="54" t="s">
        <v>277</v>
      </c>
      <c r="D268" s="66" t="s">
        <v>328</v>
      </c>
      <c r="E268" s="66" t="s">
        <v>2075</v>
      </c>
      <c r="F268" s="100"/>
      <c r="G268" s="100">
        <v>46093.0</v>
      </c>
      <c r="H268" s="58">
        <v>0.0</v>
      </c>
      <c r="I268" s="66" t="s">
        <v>302</v>
      </c>
      <c r="J268" s="66" t="s">
        <v>277</v>
      </c>
      <c r="K268" s="66" t="s">
        <v>314</v>
      </c>
      <c r="L268" s="104" t="s">
        <v>2077</v>
      </c>
      <c r="M268" s="66" t="s">
        <v>2078</v>
      </c>
      <c r="N268" s="100">
        <v>46093.0</v>
      </c>
      <c r="O268" s="55" t="str">
        <f t="shared" si="1"/>
        <v>CONCLUÍDO</v>
      </c>
      <c r="P268" s="105" t="s">
        <v>2079</v>
      </c>
      <c r="Q268" s="100">
        <v>46093.0</v>
      </c>
      <c r="R268" s="96"/>
      <c r="S268" s="96"/>
      <c r="T268" s="96"/>
      <c r="U268" s="96"/>
      <c r="V268" s="96"/>
      <c r="W268" s="96"/>
      <c r="X268" s="96"/>
      <c r="Y268" s="96"/>
      <c r="Z268" s="96"/>
      <c r="AA268" s="96"/>
      <c r="AB268" s="96"/>
      <c r="AC268" s="96"/>
      <c r="AD268" s="96"/>
    </row>
    <row r="269">
      <c r="A269" s="190" t="s">
        <v>2080</v>
      </c>
      <c r="B269" s="103" t="s">
        <v>276</v>
      </c>
      <c r="C269" s="54" t="s">
        <v>277</v>
      </c>
      <c r="D269" s="66" t="s">
        <v>328</v>
      </c>
      <c r="E269" s="66" t="s">
        <v>2082</v>
      </c>
      <c r="F269" s="100"/>
      <c r="G269" s="100">
        <v>46093.0</v>
      </c>
      <c r="H269" s="58">
        <v>0.0</v>
      </c>
      <c r="I269" s="66" t="s">
        <v>302</v>
      </c>
      <c r="J269" s="66" t="s">
        <v>473</v>
      </c>
      <c r="K269" s="66" t="s">
        <v>474</v>
      </c>
      <c r="L269" s="104" t="s">
        <v>2085</v>
      </c>
      <c r="M269" s="66" t="s">
        <v>2086</v>
      </c>
      <c r="N269" s="100">
        <v>46093.0</v>
      </c>
      <c r="O269" s="55" t="str">
        <f t="shared" si="1"/>
        <v>CONCLUÍDO</v>
      </c>
      <c r="P269" s="105" t="s">
        <v>2087</v>
      </c>
      <c r="Q269" s="100">
        <v>46093.0</v>
      </c>
      <c r="R269" s="96"/>
      <c r="S269" s="96"/>
      <c r="T269" s="96"/>
      <c r="U269" s="96"/>
      <c r="V269" s="96"/>
      <c r="W269" s="96"/>
      <c r="X269" s="96"/>
      <c r="Y269" s="96"/>
      <c r="Z269" s="96"/>
      <c r="AA269" s="96"/>
      <c r="AB269" s="96"/>
      <c r="AC269" s="96"/>
      <c r="AD269" s="96"/>
    </row>
    <row r="270">
      <c r="A270" s="190" t="s">
        <v>2089</v>
      </c>
      <c r="B270" s="103" t="s">
        <v>276</v>
      </c>
      <c r="C270" s="54" t="s">
        <v>277</v>
      </c>
      <c r="D270" s="66" t="s">
        <v>328</v>
      </c>
      <c r="E270" s="66" t="s">
        <v>2091</v>
      </c>
      <c r="F270" s="100"/>
      <c r="G270" s="100">
        <v>46093.0</v>
      </c>
      <c r="H270" s="58">
        <v>0.0</v>
      </c>
      <c r="I270" s="66" t="s">
        <v>302</v>
      </c>
      <c r="J270" s="66" t="s">
        <v>277</v>
      </c>
      <c r="K270" s="66" t="s">
        <v>314</v>
      </c>
      <c r="L270" s="104" t="s">
        <v>2077</v>
      </c>
      <c r="M270" s="66" t="s">
        <v>2092</v>
      </c>
      <c r="N270" s="100">
        <v>46093.0</v>
      </c>
      <c r="O270" s="55" t="str">
        <f t="shared" si="1"/>
        <v>CONCLUÍDO</v>
      </c>
      <c r="P270" s="105" t="s">
        <v>418</v>
      </c>
      <c r="Q270" s="100">
        <v>46093.0</v>
      </c>
      <c r="R270" s="96"/>
      <c r="S270" s="96"/>
      <c r="T270" s="96"/>
      <c r="U270" s="96"/>
      <c r="V270" s="96"/>
      <c r="W270" s="96"/>
      <c r="X270" s="96"/>
      <c r="Y270" s="96"/>
      <c r="Z270" s="96"/>
      <c r="AA270" s="96"/>
      <c r="AB270" s="96"/>
      <c r="AC270" s="96"/>
      <c r="AD270" s="96"/>
    </row>
    <row r="271">
      <c r="A271" s="190" t="s">
        <v>2095</v>
      </c>
      <c r="B271" s="103" t="s">
        <v>276</v>
      </c>
      <c r="C271" s="54" t="s">
        <v>277</v>
      </c>
      <c r="D271" s="66" t="s">
        <v>328</v>
      </c>
      <c r="E271" s="66" t="s">
        <v>2082</v>
      </c>
      <c r="F271" s="100"/>
      <c r="G271" s="100">
        <v>46093.0</v>
      </c>
      <c r="H271" s="58">
        <v>0.0</v>
      </c>
      <c r="I271" s="66" t="s">
        <v>302</v>
      </c>
      <c r="J271" s="66" t="s">
        <v>473</v>
      </c>
      <c r="K271" s="66" t="s">
        <v>474</v>
      </c>
      <c r="L271" s="104" t="s">
        <v>2098</v>
      </c>
      <c r="M271" s="66"/>
      <c r="N271" s="100">
        <v>46101.0</v>
      </c>
      <c r="O271" s="55" t="str">
        <f t="shared" si="1"/>
        <v>CONCLUÍDO</v>
      </c>
      <c r="P271" s="215" t="s">
        <v>2100</v>
      </c>
      <c r="Q271" s="100">
        <v>46097.0</v>
      </c>
      <c r="R271" s="96"/>
      <c r="S271" s="96"/>
      <c r="T271" s="96"/>
      <c r="U271" s="96"/>
      <c r="V271" s="96"/>
      <c r="W271" s="96"/>
      <c r="X271" s="96"/>
      <c r="Y271" s="96"/>
      <c r="Z271" s="96"/>
      <c r="AA271" s="96"/>
      <c r="AB271" s="96"/>
      <c r="AC271" s="96"/>
      <c r="AD271" s="96"/>
    </row>
    <row r="272">
      <c r="A272" s="190" t="s">
        <v>2102</v>
      </c>
      <c r="B272" s="103" t="s">
        <v>276</v>
      </c>
      <c r="C272" s="54" t="s">
        <v>277</v>
      </c>
      <c r="D272" s="66" t="s">
        <v>378</v>
      </c>
      <c r="E272" s="66" t="s">
        <v>2103</v>
      </c>
      <c r="F272" s="100"/>
      <c r="G272" s="100">
        <v>46094.0</v>
      </c>
      <c r="H272" s="58">
        <v>0.0</v>
      </c>
      <c r="I272" s="66" t="s">
        <v>302</v>
      </c>
      <c r="J272" s="66" t="s">
        <v>473</v>
      </c>
      <c r="K272" s="66" t="s">
        <v>474</v>
      </c>
      <c r="L272" s="104" t="s">
        <v>2105</v>
      </c>
      <c r="M272" s="66" t="s">
        <v>2106</v>
      </c>
      <c r="N272" s="100">
        <v>46101.0</v>
      </c>
      <c r="O272" s="55" t="str">
        <f t="shared" si="1"/>
        <v>CONCLUÍDO</v>
      </c>
      <c r="P272" s="105"/>
      <c r="Q272" s="100">
        <v>46101.0</v>
      </c>
      <c r="R272" s="96"/>
      <c r="S272" s="96"/>
      <c r="T272" s="96"/>
      <c r="U272" s="96"/>
      <c r="V272" s="96"/>
      <c r="W272" s="96"/>
      <c r="X272" s="96"/>
      <c r="Y272" s="96"/>
      <c r="Z272" s="96"/>
      <c r="AA272" s="96"/>
      <c r="AB272" s="96"/>
      <c r="AC272" s="96"/>
      <c r="AD272" s="96"/>
    </row>
    <row r="273">
      <c r="A273" s="190" t="s">
        <v>2108</v>
      </c>
      <c r="B273" s="103" t="s">
        <v>276</v>
      </c>
      <c r="C273" s="54" t="s">
        <v>277</v>
      </c>
      <c r="D273" s="66" t="s">
        <v>328</v>
      </c>
      <c r="E273" s="66" t="s">
        <v>2082</v>
      </c>
      <c r="F273" s="100"/>
      <c r="G273" s="100">
        <v>46093.0</v>
      </c>
      <c r="H273" s="58">
        <v>0.0</v>
      </c>
      <c r="I273" s="66" t="s">
        <v>302</v>
      </c>
      <c r="J273" s="66" t="s">
        <v>473</v>
      </c>
      <c r="K273" s="66" t="s">
        <v>474</v>
      </c>
      <c r="L273" s="104" t="s">
        <v>2110</v>
      </c>
      <c r="M273" s="66" t="s">
        <v>2086</v>
      </c>
      <c r="N273" s="100">
        <v>46101.0</v>
      </c>
      <c r="O273" s="55" t="str">
        <f t="shared" si="1"/>
        <v>CONCLUÍDO</v>
      </c>
      <c r="P273" s="105" t="s">
        <v>2112</v>
      </c>
      <c r="Q273" s="66" t="s">
        <v>2113</v>
      </c>
      <c r="R273" s="96"/>
      <c r="S273" s="96"/>
      <c r="T273" s="96"/>
      <c r="U273" s="96"/>
      <c r="V273" s="96"/>
      <c r="W273" s="96"/>
      <c r="X273" s="96"/>
      <c r="Y273" s="96"/>
      <c r="Z273" s="96"/>
      <c r="AA273" s="96"/>
      <c r="AB273" s="96"/>
      <c r="AC273" s="96"/>
      <c r="AD273" s="96"/>
    </row>
    <row r="274">
      <c r="A274" s="190" t="s">
        <v>2114</v>
      </c>
      <c r="B274" s="103" t="s">
        <v>276</v>
      </c>
      <c r="C274" s="54" t="s">
        <v>277</v>
      </c>
      <c r="D274" s="66" t="s">
        <v>404</v>
      </c>
      <c r="E274" s="66" t="s">
        <v>2116</v>
      </c>
      <c r="F274" s="100"/>
      <c r="G274" s="100">
        <v>46094.0</v>
      </c>
      <c r="H274" s="58">
        <v>0.0</v>
      </c>
      <c r="I274" s="66" t="s">
        <v>302</v>
      </c>
      <c r="J274" s="66" t="s">
        <v>277</v>
      </c>
      <c r="K274" s="66" t="s">
        <v>314</v>
      </c>
      <c r="L274" s="104" t="s">
        <v>2117</v>
      </c>
      <c r="M274" s="66" t="s">
        <v>2118</v>
      </c>
      <c r="N274" s="100">
        <v>46101.0</v>
      </c>
      <c r="O274" s="55" t="str">
        <f t="shared" si="1"/>
        <v>CONCLUÍDO</v>
      </c>
      <c r="P274" s="215" t="s">
        <v>2120</v>
      </c>
      <c r="Q274" s="100">
        <v>46101.0</v>
      </c>
      <c r="R274" s="96"/>
      <c r="S274" s="96"/>
      <c r="T274" s="96"/>
      <c r="U274" s="96"/>
      <c r="V274" s="96"/>
      <c r="W274" s="96"/>
      <c r="X274" s="96"/>
      <c r="Y274" s="96"/>
      <c r="Z274" s="96"/>
      <c r="AA274" s="96"/>
      <c r="AB274" s="96"/>
      <c r="AC274" s="96"/>
      <c r="AD274" s="96"/>
    </row>
    <row r="275">
      <c r="A275" s="190" t="s">
        <v>2121</v>
      </c>
      <c r="B275" s="103" t="s">
        <v>276</v>
      </c>
      <c r="C275" s="54" t="s">
        <v>277</v>
      </c>
      <c r="D275" s="66" t="s">
        <v>784</v>
      </c>
      <c r="E275" s="66" t="s">
        <v>2116</v>
      </c>
      <c r="F275" s="100"/>
      <c r="G275" s="100">
        <v>46097.0</v>
      </c>
      <c r="H275" s="58">
        <v>0.0</v>
      </c>
      <c r="I275" s="66" t="s">
        <v>302</v>
      </c>
      <c r="J275" s="66" t="s">
        <v>692</v>
      </c>
      <c r="K275" s="66" t="s">
        <v>407</v>
      </c>
      <c r="L275" s="104" t="s">
        <v>2123</v>
      </c>
      <c r="M275" s="66"/>
      <c r="N275" s="100">
        <v>46104.0</v>
      </c>
      <c r="O275" s="55" t="str">
        <f t="shared" si="1"/>
        <v>CONCLUÍDO</v>
      </c>
      <c r="P275" s="105" t="s">
        <v>2125</v>
      </c>
      <c r="Q275" s="100">
        <v>46104.0</v>
      </c>
      <c r="R275" s="96"/>
      <c r="S275" s="96"/>
      <c r="T275" s="96"/>
      <c r="U275" s="96"/>
      <c r="V275" s="96"/>
      <c r="W275" s="96"/>
      <c r="X275" s="96"/>
      <c r="Y275" s="96"/>
      <c r="Z275" s="96"/>
      <c r="AA275" s="96"/>
      <c r="AB275" s="96"/>
      <c r="AC275" s="96"/>
      <c r="AD275" s="96"/>
    </row>
    <row r="276">
      <c r="A276" s="190" t="s">
        <v>2126</v>
      </c>
      <c r="B276" s="103" t="s">
        <v>276</v>
      </c>
      <c r="C276" s="54" t="s">
        <v>277</v>
      </c>
      <c r="D276" s="66" t="s">
        <v>328</v>
      </c>
      <c r="E276" s="66" t="s">
        <v>2069</v>
      </c>
      <c r="F276" s="100"/>
      <c r="G276" s="100">
        <v>46097.0</v>
      </c>
      <c r="H276" s="58">
        <v>0.0</v>
      </c>
      <c r="I276" s="66" t="s">
        <v>302</v>
      </c>
      <c r="J276" s="66" t="s">
        <v>277</v>
      </c>
      <c r="K276" s="66" t="s">
        <v>314</v>
      </c>
      <c r="L276" s="104" t="s">
        <v>2128</v>
      </c>
      <c r="M276" s="66"/>
      <c r="N276" s="100">
        <v>46101.0</v>
      </c>
      <c r="O276" s="55" t="str">
        <f t="shared" si="1"/>
        <v>CONCLUÍDO</v>
      </c>
      <c r="P276" s="105" t="s">
        <v>2130</v>
      </c>
      <c r="Q276" s="100">
        <v>46105.0</v>
      </c>
      <c r="R276" s="96"/>
      <c r="S276" s="96"/>
      <c r="T276" s="96"/>
      <c r="U276" s="96"/>
      <c r="V276" s="96"/>
      <c r="W276" s="96"/>
      <c r="X276" s="96"/>
      <c r="Y276" s="96"/>
      <c r="Z276" s="96"/>
      <c r="AA276" s="96"/>
      <c r="AB276" s="96"/>
      <c r="AC276" s="96"/>
      <c r="AD276" s="96"/>
    </row>
    <row r="277">
      <c r="A277" s="190" t="s">
        <v>2131</v>
      </c>
      <c r="B277" s="103" t="s">
        <v>276</v>
      </c>
      <c r="C277" s="54" t="s">
        <v>277</v>
      </c>
      <c r="D277" s="66" t="s">
        <v>328</v>
      </c>
      <c r="E277" s="66" t="s">
        <v>1256</v>
      </c>
      <c r="F277" s="100"/>
      <c r="G277" s="100">
        <v>46098.0</v>
      </c>
      <c r="H277" s="58">
        <v>0.0</v>
      </c>
      <c r="I277" s="66" t="s">
        <v>302</v>
      </c>
      <c r="J277" s="66" t="s">
        <v>277</v>
      </c>
      <c r="K277" s="66" t="s">
        <v>314</v>
      </c>
      <c r="L277" s="104" t="s">
        <v>2133</v>
      </c>
      <c r="M277" s="66"/>
      <c r="N277" s="100">
        <v>46098.0</v>
      </c>
      <c r="O277" s="55" t="str">
        <f t="shared" si="1"/>
        <v>CONCLUÍDO</v>
      </c>
      <c r="P277" s="105" t="s">
        <v>2135</v>
      </c>
      <c r="Q277" s="178">
        <v>46098.0</v>
      </c>
      <c r="R277" s="96"/>
      <c r="S277" s="96"/>
      <c r="T277" s="96"/>
      <c r="U277" s="96"/>
      <c r="V277" s="96"/>
      <c r="W277" s="96"/>
      <c r="X277" s="96"/>
      <c r="Y277" s="96"/>
      <c r="Z277" s="96"/>
      <c r="AA277" s="96"/>
      <c r="AB277" s="96"/>
      <c r="AC277" s="96"/>
      <c r="AD277" s="96"/>
    </row>
    <row r="278">
      <c r="A278" s="190" t="s">
        <v>2136</v>
      </c>
      <c r="B278" s="103" t="s">
        <v>276</v>
      </c>
      <c r="C278" s="54" t="s">
        <v>277</v>
      </c>
      <c r="D278" s="66" t="s">
        <v>378</v>
      </c>
      <c r="E278" s="66" t="s">
        <v>1815</v>
      </c>
      <c r="F278" s="100"/>
      <c r="G278" s="100">
        <v>46098.0</v>
      </c>
      <c r="H278" s="58">
        <v>0.0</v>
      </c>
      <c r="I278" s="66" t="s">
        <v>302</v>
      </c>
      <c r="J278" s="66" t="s">
        <v>277</v>
      </c>
      <c r="K278" s="66" t="s">
        <v>314</v>
      </c>
      <c r="L278" s="104" t="s">
        <v>2138</v>
      </c>
      <c r="M278" s="66"/>
      <c r="N278" s="100"/>
      <c r="O278" s="55" t="str">
        <f t="shared" si="1"/>
        <v>SEM DATA APONTADA</v>
      </c>
      <c r="P278" s="105" t="s">
        <v>2139</v>
      </c>
      <c r="Q278" s="100">
        <v>46098.0</v>
      </c>
      <c r="R278" s="96"/>
      <c r="S278" s="96"/>
      <c r="T278" s="96"/>
      <c r="U278" s="96"/>
      <c r="V278" s="96"/>
      <c r="W278" s="96"/>
      <c r="X278" s="96"/>
      <c r="Y278" s="96"/>
      <c r="Z278" s="96"/>
      <c r="AA278" s="96"/>
      <c r="AB278" s="96"/>
      <c r="AC278" s="96"/>
      <c r="AD278" s="96"/>
    </row>
    <row r="279">
      <c r="A279" s="190" t="s">
        <v>2141</v>
      </c>
      <c r="B279" s="103" t="s">
        <v>765</v>
      </c>
      <c r="C279" s="54" t="s">
        <v>277</v>
      </c>
      <c r="D279" s="66" t="s">
        <v>328</v>
      </c>
      <c r="E279" s="66" t="s">
        <v>2082</v>
      </c>
      <c r="F279" s="100"/>
      <c r="G279" s="100">
        <v>46098.0</v>
      </c>
      <c r="H279" s="58">
        <v>0.0</v>
      </c>
      <c r="I279" s="66" t="s">
        <v>771</v>
      </c>
      <c r="J279" s="66" t="s">
        <v>772</v>
      </c>
      <c r="K279" s="66" t="s">
        <v>776</v>
      </c>
      <c r="L279" s="104" t="s">
        <v>2144</v>
      </c>
      <c r="M279" s="178"/>
      <c r="N279" s="178">
        <v>46599.0</v>
      </c>
      <c r="O279" s="55" t="str">
        <f t="shared" si="1"/>
        <v>NO PRAZO</v>
      </c>
      <c r="P279" s="105"/>
      <c r="Q279" s="100"/>
      <c r="R279" s="96"/>
      <c r="S279" s="96"/>
      <c r="T279" s="96"/>
      <c r="U279" s="96"/>
      <c r="V279" s="96"/>
      <c r="W279" s="96"/>
      <c r="X279" s="96"/>
      <c r="Y279" s="96"/>
      <c r="Z279" s="96"/>
      <c r="AA279" s="96"/>
      <c r="AB279" s="96"/>
      <c r="AC279" s="96"/>
      <c r="AD279" s="96"/>
    </row>
    <row r="280">
      <c r="A280" s="190" t="s">
        <v>2146</v>
      </c>
      <c r="B280" s="103" t="s">
        <v>765</v>
      </c>
      <c r="C280" s="54" t="s">
        <v>277</v>
      </c>
      <c r="D280" s="66" t="s">
        <v>328</v>
      </c>
      <c r="E280" s="66" t="s">
        <v>2148</v>
      </c>
      <c r="F280" s="100"/>
      <c r="G280" s="100">
        <v>46098.0</v>
      </c>
      <c r="H280" s="58">
        <v>0.0</v>
      </c>
      <c r="I280" s="66" t="s">
        <v>771</v>
      </c>
      <c r="J280" s="66" t="s">
        <v>772</v>
      </c>
      <c r="K280" s="66" t="s">
        <v>776</v>
      </c>
      <c r="L280" s="104" t="s">
        <v>2150</v>
      </c>
      <c r="M280" s="178"/>
      <c r="N280" s="100">
        <v>46234.0</v>
      </c>
      <c r="O280" s="55" t="str">
        <f t="shared" si="1"/>
        <v>VENCIDO</v>
      </c>
      <c r="P280" s="105"/>
      <c r="Q280" s="100"/>
      <c r="R280" s="96"/>
      <c r="S280" s="96"/>
      <c r="T280" s="96"/>
      <c r="U280" s="96"/>
      <c r="V280" s="96"/>
      <c r="W280" s="96"/>
      <c r="X280" s="96"/>
      <c r="Y280" s="96"/>
      <c r="Z280" s="96"/>
      <c r="AA280" s="96"/>
      <c r="AB280" s="96"/>
      <c r="AC280" s="96"/>
      <c r="AD280" s="96"/>
    </row>
    <row r="281">
      <c r="A281" s="190" t="s">
        <v>2152</v>
      </c>
      <c r="B281" s="103" t="s">
        <v>276</v>
      </c>
      <c r="C281" s="54" t="s">
        <v>277</v>
      </c>
      <c r="D281" s="66" t="s">
        <v>471</v>
      </c>
      <c r="E281" s="66" t="s">
        <v>2153</v>
      </c>
      <c r="F281" s="100"/>
      <c r="G281" s="100">
        <v>46099.0</v>
      </c>
      <c r="H281" s="58">
        <v>0.0</v>
      </c>
      <c r="I281" s="66" t="s">
        <v>302</v>
      </c>
      <c r="J281" s="66" t="s">
        <v>692</v>
      </c>
      <c r="K281" s="66" t="s">
        <v>407</v>
      </c>
      <c r="L281" s="104" t="s">
        <v>2155</v>
      </c>
      <c r="M281" s="66" t="s">
        <v>2156</v>
      </c>
      <c r="N281" s="100">
        <v>46107.0</v>
      </c>
      <c r="O281" s="55" t="str">
        <f t="shared" si="1"/>
        <v>CONCLUÍDO</v>
      </c>
      <c r="P281" s="105"/>
      <c r="Q281" s="84">
        <f>N281</f>
        <v>46107</v>
      </c>
      <c r="R281" s="96"/>
      <c r="S281" s="96"/>
      <c r="T281" s="96"/>
      <c r="U281" s="96"/>
      <c r="V281" s="96"/>
      <c r="W281" s="96"/>
      <c r="X281" s="96"/>
      <c r="Y281" s="96"/>
      <c r="Z281" s="96"/>
      <c r="AA281" s="96"/>
      <c r="AB281" s="96"/>
      <c r="AC281" s="96"/>
      <c r="AD281" s="96"/>
    </row>
    <row r="282">
      <c r="A282" s="190" t="s">
        <v>2159</v>
      </c>
      <c r="B282" s="103" t="s">
        <v>276</v>
      </c>
      <c r="C282" s="54" t="s">
        <v>277</v>
      </c>
      <c r="D282" s="66" t="s">
        <v>328</v>
      </c>
      <c r="E282" s="66" t="s">
        <v>2160</v>
      </c>
      <c r="F282" s="100"/>
      <c r="G282" s="100">
        <v>46100.0</v>
      </c>
      <c r="H282" s="58">
        <v>0.0</v>
      </c>
      <c r="I282" s="66" t="s">
        <v>302</v>
      </c>
      <c r="J282" s="66" t="s">
        <v>473</v>
      </c>
      <c r="K282" s="66" t="s">
        <v>474</v>
      </c>
      <c r="L282" s="104" t="s">
        <v>2162</v>
      </c>
      <c r="M282" s="66" t="s">
        <v>2163</v>
      </c>
      <c r="N282" s="100">
        <v>46106.0</v>
      </c>
      <c r="O282" s="55" t="str">
        <f t="shared" si="1"/>
        <v>CONCLUÍDO</v>
      </c>
      <c r="P282" s="215" t="s">
        <v>2165</v>
      </c>
      <c r="Q282" s="100">
        <v>46107.0</v>
      </c>
      <c r="R282" s="96"/>
      <c r="S282" s="96"/>
      <c r="T282" s="96"/>
      <c r="U282" s="96"/>
      <c r="V282" s="96"/>
      <c r="W282" s="96"/>
      <c r="X282" s="96"/>
      <c r="Y282" s="96"/>
      <c r="Z282" s="96"/>
      <c r="AA282" s="96"/>
      <c r="AB282" s="96"/>
      <c r="AC282" s="96"/>
      <c r="AD282" s="96"/>
    </row>
    <row r="283">
      <c r="A283" s="190" t="s">
        <v>2166</v>
      </c>
      <c r="B283" s="103" t="s">
        <v>276</v>
      </c>
      <c r="C283" s="54" t="s">
        <v>277</v>
      </c>
      <c r="D283" s="66" t="s">
        <v>328</v>
      </c>
      <c r="E283" s="66" t="s">
        <v>605</v>
      </c>
      <c r="F283" s="100"/>
      <c r="G283" s="100">
        <v>46100.0</v>
      </c>
      <c r="H283" s="58">
        <v>0.0</v>
      </c>
      <c r="I283" s="66" t="s">
        <v>302</v>
      </c>
      <c r="J283" s="66" t="s">
        <v>473</v>
      </c>
      <c r="K283" s="66" t="s">
        <v>474</v>
      </c>
      <c r="L283" s="104" t="s">
        <v>2168</v>
      </c>
      <c r="M283" s="66" t="s">
        <v>2169</v>
      </c>
      <c r="N283" s="100">
        <v>46106.0</v>
      </c>
      <c r="O283" s="55" t="str">
        <f t="shared" si="1"/>
        <v>CONCLUÍDO</v>
      </c>
      <c r="P283" s="105" t="s">
        <v>2171</v>
      </c>
      <c r="Q283" s="100">
        <v>46107.0</v>
      </c>
      <c r="R283" s="96"/>
      <c r="S283" s="96"/>
      <c r="T283" s="96"/>
      <c r="U283" s="96"/>
      <c r="V283" s="96"/>
      <c r="W283" s="96"/>
      <c r="X283" s="96"/>
      <c r="Y283" s="96"/>
      <c r="Z283" s="96"/>
      <c r="AA283" s="96"/>
      <c r="AB283" s="96"/>
      <c r="AC283" s="96"/>
      <c r="AD283" s="96"/>
    </row>
    <row r="284">
      <c r="A284" s="190" t="s">
        <v>2172</v>
      </c>
      <c r="B284" s="103" t="s">
        <v>276</v>
      </c>
      <c r="C284" s="54" t="s">
        <v>277</v>
      </c>
      <c r="D284" s="66" t="s">
        <v>328</v>
      </c>
      <c r="E284" s="66" t="s">
        <v>605</v>
      </c>
      <c r="F284" s="100"/>
      <c r="G284" s="100">
        <v>46101.0</v>
      </c>
      <c r="H284" s="58">
        <v>0.0</v>
      </c>
      <c r="I284" s="66" t="s">
        <v>889</v>
      </c>
      <c r="J284" s="66" t="s">
        <v>692</v>
      </c>
      <c r="K284" s="66" t="s">
        <v>407</v>
      </c>
      <c r="L284" s="104" t="s">
        <v>2175</v>
      </c>
      <c r="M284" s="66" t="s">
        <v>1218</v>
      </c>
      <c r="N284" s="100">
        <v>46114.0</v>
      </c>
      <c r="O284" s="55" t="str">
        <f t="shared" si="1"/>
        <v>CONCLUÍDO</v>
      </c>
      <c r="P284" s="215" t="s">
        <v>2177</v>
      </c>
      <c r="Q284" s="84">
        <f>N284</f>
        <v>46114</v>
      </c>
      <c r="R284" s="96"/>
      <c r="S284" s="96"/>
      <c r="T284" s="96"/>
      <c r="U284" s="96"/>
      <c r="V284" s="96"/>
      <c r="W284" s="96"/>
      <c r="X284" s="96"/>
      <c r="Y284" s="96"/>
      <c r="Z284" s="96"/>
      <c r="AA284" s="96"/>
      <c r="AB284" s="96"/>
      <c r="AC284" s="96"/>
      <c r="AD284" s="96"/>
    </row>
    <row r="285">
      <c r="A285" s="190" t="s">
        <v>2180</v>
      </c>
      <c r="B285" s="103" t="s">
        <v>276</v>
      </c>
      <c r="C285" s="54" t="s">
        <v>277</v>
      </c>
      <c r="D285" s="66" t="s">
        <v>328</v>
      </c>
      <c r="E285" s="66" t="s">
        <v>2182</v>
      </c>
      <c r="F285" s="100"/>
      <c r="G285" s="100">
        <v>46104.0</v>
      </c>
      <c r="H285" s="58">
        <v>0.0</v>
      </c>
      <c r="I285" s="66" t="s">
        <v>302</v>
      </c>
      <c r="J285" s="66" t="s">
        <v>473</v>
      </c>
      <c r="K285" s="66" t="s">
        <v>474</v>
      </c>
      <c r="L285" s="104" t="s">
        <v>2184</v>
      </c>
      <c r="M285" s="66" t="s">
        <v>2169</v>
      </c>
      <c r="N285" s="100">
        <v>46112.0</v>
      </c>
      <c r="O285" s="55" t="str">
        <f t="shared" si="1"/>
        <v>CONCLUÍDO</v>
      </c>
      <c r="P285" s="105" t="s">
        <v>2171</v>
      </c>
      <c r="Q285" s="100">
        <v>46107.0</v>
      </c>
      <c r="R285" s="96"/>
      <c r="S285" s="96"/>
      <c r="T285" s="96"/>
      <c r="U285" s="96"/>
      <c r="V285" s="96"/>
      <c r="W285" s="96"/>
      <c r="X285" s="96"/>
      <c r="Y285" s="96"/>
      <c r="Z285" s="96"/>
      <c r="AA285" s="96"/>
      <c r="AB285" s="96"/>
      <c r="AC285" s="96"/>
      <c r="AD285" s="96"/>
    </row>
    <row r="286">
      <c r="A286" s="190" t="s">
        <v>2186</v>
      </c>
      <c r="B286" s="103" t="s">
        <v>276</v>
      </c>
      <c r="C286" s="54" t="s">
        <v>277</v>
      </c>
      <c r="D286" s="66" t="s">
        <v>328</v>
      </c>
      <c r="E286" s="66" t="s">
        <v>708</v>
      </c>
      <c r="F286" s="100"/>
      <c r="G286" s="100">
        <v>46105.0</v>
      </c>
      <c r="H286" s="58">
        <v>0.0</v>
      </c>
      <c r="I286" s="66" t="s">
        <v>302</v>
      </c>
      <c r="J286" s="66" t="s">
        <v>473</v>
      </c>
      <c r="K286" s="66" t="s">
        <v>474</v>
      </c>
      <c r="L286" s="104" t="s">
        <v>2188</v>
      </c>
      <c r="M286" s="66" t="s">
        <v>2189</v>
      </c>
      <c r="N286" s="100">
        <v>46112.0</v>
      </c>
      <c r="O286" s="55" t="str">
        <f t="shared" si="1"/>
        <v>CONCLUÍDO</v>
      </c>
      <c r="P286" s="105" t="s">
        <v>2191</v>
      </c>
      <c r="Q286" s="100">
        <v>46107.0</v>
      </c>
      <c r="R286" s="96"/>
      <c r="S286" s="96"/>
      <c r="T286" s="96"/>
      <c r="U286" s="96"/>
      <c r="V286" s="96"/>
      <c r="W286" s="96"/>
      <c r="X286" s="96"/>
      <c r="Y286" s="96"/>
      <c r="Z286" s="96"/>
      <c r="AA286" s="96"/>
      <c r="AB286" s="96"/>
      <c r="AC286" s="96"/>
      <c r="AD286" s="96"/>
    </row>
    <row r="287">
      <c r="A287" s="190" t="s">
        <v>2192</v>
      </c>
      <c r="B287" s="103" t="s">
        <v>276</v>
      </c>
      <c r="C287" s="54" t="s">
        <v>277</v>
      </c>
      <c r="D287" s="66" t="s">
        <v>328</v>
      </c>
      <c r="E287" s="66" t="s">
        <v>605</v>
      </c>
      <c r="F287" s="100"/>
      <c r="G287" s="100">
        <v>46105.0</v>
      </c>
      <c r="H287" s="58">
        <v>0.0</v>
      </c>
      <c r="I287" s="66" t="s">
        <v>889</v>
      </c>
      <c r="J287" s="66" t="s">
        <v>473</v>
      </c>
      <c r="K287" s="66" t="s">
        <v>474</v>
      </c>
      <c r="L287" s="104" t="s">
        <v>2194</v>
      </c>
      <c r="M287" s="66" t="s">
        <v>2195</v>
      </c>
      <c r="N287" s="100">
        <v>46114.0</v>
      </c>
      <c r="O287" s="55" t="str">
        <f t="shared" si="1"/>
        <v>CONCLUÍDO</v>
      </c>
      <c r="P287" s="215" t="s">
        <v>2197</v>
      </c>
      <c r="Q287" s="84">
        <f>N287</f>
        <v>46114</v>
      </c>
      <c r="R287" s="96"/>
      <c r="S287" s="96"/>
      <c r="T287" s="96"/>
      <c r="U287" s="96"/>
      <c r="V287" s="96"/>
      <c r="W287" s="96"/>
      <c r="X287" s="96"/>
      <c r="Y287" s="96"/>
      <c r="Z287" s="96"/>
      <c r="AA287" s="96"/>
      <c r="AB287" s="96"/>
      <c r="AC287" s="96"/>
      <c r="AD287" s="96"/>
    </row>
    <row r="288">
      <c r="A288" s="190" t="s">
        <v>2199</v>
      </c>
      <c r="B288" s="103" t="s">
        <v>276</v>
      </c>
      <c r="C288" s="54" t="s">
        <v>277</v>
      </c>
      <c r="D288" s="66" t="s">
        <v>328</v>
      </c>
      <c r="E288" s="66" t="s">
        <v>1256</v>
      </c>
      <c r="F288" s="100"/>
      <c r="G288" s="100">
        <v>46106.0</v>
      </c>
      <c r="H288" s="58">
        <v>0.0</v>
      </c>
      <c r="I288" s="66" t="s">
        <v>302</v>
      </c>
      <c r="J288" s="66" t="s">
        <v>473</v>
      </c>
      <c r="K288" s="66" t="s">
        <v>474</v>
      </c>
      <c r="L288" s="104" t="s">
        <v>2201</v>
      </c>
      <c r="M288" s="66" t="s">
        <v>2202</v>
      </c>
      <c r="N288" s="100">
        <v>46112.0</v>
      </c>
      <c r="O288" s="55" t="str">
        <f t="shared" si="1"/>
        <v>CONCLUÍDO</v>
      </c>
      <c r="P288" s="215" t="s">
        <v>2205</v>
      </c>
      <c r="Q288" s="100">
        <v>46107.0</v>
      </c>
      <c r="R288" s="96"/>
      <c r="S288" s="96"/>
      <c r="T288" s="96"/>
      <c r="U288" s="96"/>
      <c r="V288" s="96"/>
      <c r="W288" s="96"/>
      <c r="X288" s="96"/>
      <c r="Y288" s="96"/>
      <c r="Z288" s="96"/>
      <c r="AA288" s="96"/>
      <c r="AB288" s="96"/>
      <c r="AC288" s="96"/>
      <c r="AD288" s="96"/>
    </row>
    <row r="289">
      <c r="A289" s="190" t="s">
        <v>2206</v>
      </c>
      <c r="B289" s="103" t="s">
        <v>276</v>
      </c>
      <c r="C289" s="54" t="s">
        <v>277</v>
      </c>
      <c r="D289" s="66" t="s">
        <v>230</v>
      </c>
      <c r="E289" s="66" t="s">
        <v>2116</v>
      </c>
      <c r="F289" s="100"/>
      <c r="G289" s="100">
        <v>46106.0</v>
      </c>
      <c r="H289" s="58">
        <v>0.0</v>
      </c>
      <c r="I289" s="66" t="s">
        <v>302</v>
      </c>
      <c r="J289" s="66" t="s">
        <v>473</v>
      </c>
      <c r="K289" s="66" t="s">
        <v>474</v>
      </c>
      <c r="L289" s="104" t="s">
        <v>2208</v>
      </c>
      <c r="M289" s="66"/>
      <c r="N289" s="100">
        <v>46112.0</v>
      </c>
      <c r="O289" s="55" t="str">
        <f t="shared" si="1"/>
        <v>CONCLUÍDO</v>
      </c>
      <c r="P289" s="105" t="s">
        <v>2210</v>
      </c>
      <c r="Q289" s="100">
        <v>46107.0</v>
      </c>
      <c r="R289" s="96"/>
      <c r="S289" s="96"/>
      <c r="T289" s="96"/>
      <c r="U289" s="96"/>
      <c r="V289" s="96"/>
      <c r="W289" s="96"/>
      <c r="X289" s="96"/>
      <c r="Y289" s="96"/>
      <c r="Z289" s="96"/>
      <c r="AA289" s="96"/>
      <c r="AB289" s="96"/>
      <c r="AC289" s="96"/>
      <c r="AD289" s="96"/>
    </row>
    <row r="290">
      <c r="A290" s="190" t="s">
        <v>2212</v>
      </c>
      <c r="B290" s="103" t="s">
        <v>276</v>
      </c>
      <c r="C290" s="54" t="s">
        <v>277</v>
      </c>
      <c r="D290" s="66" t="s">
        <v>328</v>
      </c>
      <c r="E290" s="66" t="s">
        <v>2213</v>
      </c>
      <c r="F290" s="100"/>
      <c r="G290" s="100">
        <v>46106.0</v>
      </c>
      <c r="H290" s="58">
        <v>0.0</v>
      </c>
      <c r="I290" s="66" t="s">
        <v>302</v>
      </c>
      <c r="J290" s="66" t="s">
        <v>473</v>
      </c>
      <c r="K290" s="66" t="s">
        <v>474</v>
      </c>
      <c r="L290" s="104" t="s">
        <v>2215</v>
      </c>
      <c r="M290" s="66" t="s">
        <v>2216</v>
      </c>
      <c r="N290" s="100">
        <v>46112.0</v>
      </c>
      <c r="O290" s="55" t="str">
        <f t="shared" si="1"/>
        <v>CONCLUÍDO</v>
      </c>
      <c r="P290" s="215" t="s">
        <v>2217</v>
      </c>
      <c r="Q290" s="100">
        <v>46107.0</v>
      </c>
      <c r="R290" s="96"/>
      <c r="S290" s="96"/>
      <c r="T290" s="96"/>
      <c r="U290" s="96"/>
      <c r="V290" s="96"/>
      <c r="W290" s="96"/>
      <c r="X290" s="96"/>
      <c r="Y290" s="96"/>
      <c r="Z290" s="96"/>
      <c r="AA290" s="96"/>
      <c r="AB290" s="96"/>
      <c r="AC290" s="96"/>
      <c r="AD290" s="96"/>
    </row>
    <row r="291">
      <c r="A291" s="190" t="s">
        <v>2219</v>
      </c>
      <c r="B291" s="103" t="s">
        <v>276</v>
      </c>
      <c r="C291" s="54" t="s">
        <v>277</v>
      </c>
      <c r="D291" s="66" t="s">
        <v>328</v>
      </c>
      <c r="E291" s="66" t="s">
        <v>1315</v>
      </c>
      <c r="F291" s="100"/>
      <c r="G291" s="100">
        <v>46106.0</v>
      </c>
      <c r="H291" s="58">
        <v>0.0</v>
      </c>
      <c r="I291" s="66" t="s">
        <v>302</v>
      </c>
      <c r="J291" s="66" t="s">
        <v>473</v>
      </c>
      <c r="K291" s="66" t="s">
        <v>474</v>
      </c>
      <c r="L291" s="104" t="s">
        <v>2221</v>
      </c>
      <c r="M291" s="66" t="s">
        <v>2222</v>
      </c>
      <c r="N291" s="100">
        <v>46112.0</v>
      </c>
      <c r="O291" s="55" t="str">
        <f t="shared" si="1"/>
        <v>CONCLUÍDO</v>
      </c>
      <c r="P291" s="105" t="s">
        <v>2224</v>
      </c>
      <c r="Q291" s="100">
        <v>46107.0</v>
      </c>
      <c r="R291" s="96"/>
      <c r="S291" s="96"/>
      <c r="T291" s="96"/>
      <c r="U291" s="96"/>
      <c r="V291" s="96"/>
      <c r="W291" s="96"/>
      <c r="X291" s="96"/>
      <c r="Y291" s="96"/>
      <c r="Z291" s="96"/>
      <c r="AA291" s="96"/>
      <c r="AB291" s="96"/>
      <c r="AC291" s="96"/>
      <c r="AD291" s="96"/>
    </row>
    <row r="292">
      <c r="A292" s="190" t="s">
        <v>2226</v>
      </c>
      <c r="B292" s="103" t="s">
        <v>276</v>
      </c>
      <c r="C292" s="54" t="s">
        <v>277</v>
      </c>
      <c r="D292" s="66" t="s">
        <v>328</v>
      </c>
      <c r="E292" s="66" t="s">
        <v>2228</v>
      </c>
      <c r="F292" s="178"/>
      <c r="G292" s="178">
        <v>46107.0</v>
      </c>
      <c r="H292" s="58">
        <v>0.0</v>
      </c>
      <c r="I292" s="66" t="s">
        <v>302</v>
      </c>
      <c r="J292" s="66" t="s">
        <v>473</v>
      </c>
      <c r="K292" s="66" t="s">
        <v>474</v>
      </c>
      <c r="L292" s="104" t="s">
        <v>2231</v>
      </c>
      <c r="M292" s="66" t="s">
        <v>2232</v>
      </c>
      <c r="N292" s="100">
        <v>46112.0</v>
      </c>
      <c r="O292" s="55" t="str">
        <f t="shared" si="1"/>
        <v>CONCLUÍDO</v>
      </c>
      <c r="P292" s="105"/>
      <c r="Q292" s="84">
        <f t="shared" ref="Q292:Q293" si="2">N292</f>
        <v>46112</v>
      </c>
      <c r="R292" s="96"/>
      <c r="S292" s="96"/>
      <c r="T292" s="96"/>
      <c r="U292" s="96"/>
      <c r="V292" s="96"/>
      <c r="W292" s="96"/>
      <c r="X292" s="96"/>
      <c r="Y292" s="96"/>
      <c r="Z292" s="96"/>
      <c r="AA292" s="96"/>
      <c r="AB292" s="96"/>
      <c r="AC292" s="96"/>
      <c r="AD292" s="96"/>
    </row>
    <row r="293">
      <c r="A293" s="190" t="s">
        <v>2235</v>
      </c>
      <c r="B293" s="103" t="s">
        <v>276</v>
      </c>
      <c r="C293" s="54" t="s">
        <v>277</v>
      </c>
      <c r="D293" s="66" t="s">
        <v>328</v>
      </c>
      <c r="E293" s="66" t="s">
        <v>1315</v>
      </c>
      <c r="F293" s="100"/>
      <c r="G293" s="100">
        <v>46107.0</v>
      </c>
      <c r="H293" s="58">
        <v>0.0</v>
      </c>
      <c r="I293" s="66" t="s">
        <v>889</v>
      </c>
      <c r="J293" s="66" t="s">
        <v>473</v>
      </c>
      <c r="K293" s="66" t="s">
        <v>474</v>
      </c>
      <c r="L293" s="104" t="s">
        <v>2245</v>
      </c>
      <c r="M293" s="66" t="s">
        <v>2246</v>
      </c>
      <c r="N293" s="100">
        <v>46112.0</v>
      </c>
      <c r="O293" s="55" t="str">
        <f t="shared" si="1"/>
        <v>CONCLUÍDO</v>
      </c>
      <c r="P293" s="105"/>
      <c r="Q293" s="84">
        <f t="shared" si="2"/>
        <v>46112</v>
      </c>
      <c r="R293" s="96"/>
      <c r="S293" s="96"/>
      <c r="T293" s="96"/>
      <c r="U293" s="96"/>
      <c r="V293" s="96"/>
      <c r="W293" s="96"/>
      <c r="X293" s="96"/>
      <c r="Y293" s="96"/>
      <c r="Z293" s="96"/>
      <c r="AA293" s="96"/>
      <c r="AB293" s="96"/>
      <c r="AC293" s="96"/>
      <c r="AD293" s="96"/>
    </row>
    <row r="294">
      <c r="A294" s="190" t="s">
        <v>2248</v>
      </c>
      <c r="B294" s="103" t="s">
        <v>276</v>
      </c>
      <c r="C294" s="54" t="s">
        <v>277</v>
      </c>
      <c r="D294" s="66" t="s">
        <v>328</v>
      </c>
      <c r="E294" s="66" t="s">
        <v>1315</v>
      </c>
      <c r="F294" s="100"/>
      <c r="G294" s="100">
        <v>46108.0</v>
      </c>
      <c r="H294" s="58">
        <v>0.0</v>
      </c>
      <c r="I294" s="66" t="s">
        <v>302</v>
      </c>
      <c r="J294" s="66" t="s">
        <v>473</v>
      </c>
      <c r="K294" s="66" t="s">
        <v>474</v>
      </c>
      <c r="L294" s="104" t="s">
        <v>2251</v>
      </c>
      <c r="M294" s="66" t="s">
        <v>2252</v>
      </c>
      <c r="N294" s="100">
        <v>46112.0</v>
      </c>
      <c r="O294" s="55" t="str">
        <f t="shared" si="1"/>
        <v>CONCLUÍDO</v>
      </c>
      <c r="P294" s="105" t="s">
        <v>2254</v>
      </c>
      <c r="Q294" s="100">
        <v>46111.0</v>
      </c>
      <c r="R294" s="96"/>
      <c r="S294" s="96"/>
      <c r="T294" s="96"/>
      <c r="U294" s="96"/>
      <c r="V294" s="96"/>
      <c r="W294" s="96"/>
      <c r="X294" s="96"/>
      <c r="Y294" s="96"/>
      <c r="Z294" s="96"/>
      <c r="AA294" s="96"/>
      <c r="AB294" s="96"/>
      <c r="AC294" s="96"/>
      <c r="AD294" s="96"/>
    </row>
    <row r="295">
      <c r="A295" s="190" t="s">
        <v>2256</v>
      </c>
      <c r="B295" s="103" t="s">
        <v>276</v>
      </c>
      <c r="C295" s="54" t="s">
        <v>277</v>
      </c>
      <c r="D295" s="66" t="s">
        <v>328</v>
      </c>
      <c r="E295" s="66" t="s">
        <v>708</v>
      </c>
      <c r="F295" s="100"/>
      <c r="G295" s="100">
        <v>46108.0</v>
      </c>
      <c r="H295" s="58">
        <v>0.0</v>
      </c>
      <c r="I295" s="66" t="s">
        <v>889</v>
      </c>
      <c r="J295" s="66" t="s">
        <v>277</v>
      </c>
      <c r="K295" s="66" t="s">
        <v>2258</v>
      </c>
      <c r="L295" s="104" t="s">
        <v>2259</v>
      </c>
      <c r="M295" s="66" t="s">
        <v>2261</v>
      </c>
      <c r="N295" s="100">
        <v>46118.0</v>
      </c>
      <c r="O295" s="55" t="str">
        <f t="shared" si="1"/>
        <v>CONCLUÍDO</v>
      </c>
      <c r="P295" s="105" t="s">
        <v>2262</v>
      </c>
      <c r="Q295" s="84">
        <f t="shared" ref="Q295:Q297" si="3">N295</f>
        <v>46118</v>
      </c>
      <c r="R295" s="96"/>
      <c r="S295" s="96"/>
      <c r="T295" s="96"/>
      <c r="U295" s="96"/>
      <c r="V295" s="96"/>
      <c r="W295" s="96"/>
      <c r="X295" s="96"/>
      <c r="Y295" s="96"/>
      <c r="Z295" s="96"/>
      <c r="AA295" s="96"/>
      <c r="AB295" s="96"/>
      <c r="AC295" s="96"/>
      <c r="AD295" s="96"/>
    </row>
    <row r="296">
      <c r="A296" s="190" t="s">
        <v>2264</v>
      </c>
      <c r="B296" s="103" t="s">
        <v>276</v>
      </c>
      <c r="C296" s="54" t="s">
        <v>277</v>
      </c>
      <c r="D296" s="66" t="s">
        <v>285</v>
      </c>
      <c r="E296" s="66" t="s">
        <v>2116</v>
      </c>
      <c r="F296" s="100"/>
      <c r="G296" s="100">
        <v>46111.0</v>
      </c>
      <c r="H296" s="58">
        <v>0.0</v>
      </c>
      <c r="I296" s="66" t="s">
        <v>889</v>
      </c>
      <c r="J296" s="66" t="s">
        <v>692</v>
      </c>
      <c r="K296" s="66" t="s">
        <v>407</v>
      </c>
      <c r="L296" s="104" t="s">
        <v>2266</v>
      </c>
      <c r="M296" s="66" t="s">
        <v>2267</v>
      </c>
      <c r="N296" s="100">
        <v>46118.0</v>
      </c>
      <c r="O296" s="55" t="str">
        <f t="shared" si="1"/>
        <v>CONCLUÍDO</v>
      </c>
      <c r="P296" s="105"/>
      <c r="Q296" s="84">
        <f t="shared" si="3"/>
        <v>46118</v>
      </c>
      <c r="R296" s="96"/>
      <c r="S296" s="96"/>
      <c r="T296" s="96"/>
      <c r="U296" s="96"/>
      <c r="V296" s="96"/>
      <c r="W296" s="96"/>
      <c r="X296" s="96"/>
      <c r="Y296" s="96"/>
      <c r="Z296" s="96"/>
      <c r="AA296" s="96"/>
      <c r="AB296" s="96"/>
      <c r="AC296" s="96"/>
      <c r="AD296" s="96"/>
    </row>
    <row r="297">
      <c r="A297" s="190" t="s">
        <v>2269</v>
      </c>
      <c r="B297" s="103" t="s">
        <v>276</v>
      </c>
      <c r="C297" s="54" t="s">
        <v>277</v>
      </c>
      <c r="D297" s="66" t="s">
        <v>328</v>
      </c>
      <c r="E297" s="66" t="s">
        <v>2270</v>
      </c>
      <c r="F297" s="100"/>
      <c r="G297" s="100">
        <v>46111.0</v>
      </c>
      <c r="H297" s="58">
        <v>0.0</v>
      </c>
      <c r="I297" s="66" t="s">
        <v>302</v>
      </c>
      <c r="J297" s="66" t="s">
        <v>277</v>
      </c>
      <c r="K297" s="66" t="s">
        <v>2258</v>
      </c>
      <c r="L297" s="104" t="s">
        <v>2271</v>
      </c>
      <c r="M297" s="66" t="s">
        <v>2272</v>
      </c>
      <c r="N297" s="100">
        <v>46118.0</v>
      </c>
      <c r="O297" s="55" t="str">
        <f t="shared" si="1"/>
        <v>CONCLUÍDO</v>
      </c>
      <c r="P297" s="105" t="s">
        <v>2274</v>
      </c>
      <c r="Q297" s="84">
        <f t="shared" si="3"/>
        <v>46118</v>
      </c>
      <c r="R297" s="96"/>
      <c r="S297" s="96"/>
      <c r="T297" s="96"/>
      <c r="U297" s="96"/>
      <c r="V297" s="96"/>
      <c r="W297" s="96"/>
      <c r="X297" s="96"/>
      <c r="Y297" s="96"/>
      <c r="Z297" s="96"/>
      <c r="AA297" s="96"/>
      <c r="AB297" s="96"/>
      <c r="AC297" s="96"/>
      <c r="AD297" s="96"/>
    </row>
    <row r="298">
      <c r="A298" s="190" t="s">
        <v>2275</v>
      </c>
      <c r="B298" s="103" t="s">
        <v>276</v>
      </c>
      <c r="C298" s="54" t="s">
        <v>277</v>
      </c>
      <c r="D298" s="66" t="s">
        <v>328</v>
      </c>
      <c r="E298" s="66" t="s">
        <v>2082</v>
      </c>
      <c r="F298" s="66">
        <v>3.1995083248E10</v>
      </c>
      <c r="G298" s="100">
        <v>46113.0</v>
      </c>
      <c r="H298" s="58">
        <v>0.4597222222222222</v>
      </c>
      <c r="I298" s="66" t="s">
        <v>889</v>
      </c>
      <c r="J298" s="66" t="s">
        <v>473</v>
      </c>
      <c r="K298" s="66" t="s">
        <v>474</v>
      </c>
      <c r="L298" s="104" t="s">
        <v>2278</v>
      </c>
      <c r="M298" s="66" t="s">
        <v>2279</v>
      </c>
      <c r="N298" s="100">
        <v>46120.0</v>
      </c>
      <c r="O298" s="55" t="str">
        <f t="shared" si="1"/>
        <v>CONCLUÍDO</v>
      </c>
      <c r="P298" s="215" t="s">
        <v>2280</v>
      </c>
      <c r="Q298" s="100">
        <v>46118.0</v>
      </c>
      <c r="R298" s="96"/>
      <c r="S298" s="96"/>
      <c r="T298" s="96"/>
      <c r="U298" s="96"/>
      <c r="V298" s="96"/>
      <c r="W298" s="96"/>
      <c r="X298" s="96"/>
      <c r="Y298" s="96"/>
      <c r="Z298" s="96"/>
      <c r="AA298" s="96"/>
      <c r="AB298" s="96"/>
      <c r="AC298" s="96"/>
      <c r="AD298" s="96"/>
    </row>
    <row r="299">
      <c r="A299" s="190" t="s">
        <v>2282</v>
      </c>
      <c r="B299" s="103" t="s">
        <v>276</v>
      </c>
      <c r="C299" s="54" t="s">
        <v>277</v>
      </c>
      <c r="D299" s="66" t="s">
        <v>328</v>
      </c>
      <c r="E299" s="66" t="s">
        <v>2082</v>
      </c>
      <c r="F299" s="66">
        <v>3.1995083248E10</v>
      </c>
      <c r="G299" s="100">
        <v>46113.0</v>
      </c>
      <c r="H299" s="58">
        <v>0.4597222222222222</v>
      </c>
      <c r="I299" s="66" t="s">
        <v>889</v>
      </c>
      <c r="J299" s="66" t="s">
        <v>473</v>
      </c>
      <c r="K299" s="66" t="s">
        <v>474</v>
      </c>
      <c r="L299" s="104" t="s">
        <v>2284</v>
      </c>
      <c r="M299" s="66" t="s">
        <v>2285</v>
      </c>
      <c r="N299" s="100">
        <v>46120.0</v>
      </c>
      <c r="O299" s="55" t="str">
        <f t="shared" si="1"/>
        <v>CONCLUÍDO</v>
      </c>
      <c r="P299" s="215" t="s">
        <v>2286</v>
      </c>
      <c r="Q299" s="100">
        <v>46118.0</v>
      </c>
      <c r="R299" s="96"/>
      <c r="S299" s="96"/>
      <c r="T299" s="96"/>
      <c r="U299" s="96"/>
      <c r="V299" s="96"/>
      <c r="W299" s="96"/>
      <c r="X299" s="96"/>
      <c r="Y299" s="96"/>
      <c r="Z299" s="96"/>
      <c r="AA299" s="96"/>
      <c r="AB299" s="96"/>
      <c r="AC299" s="96"/>
      <c r="AD299" s="96"/>
    </row>
    <row r="300">
      <c r="A300" s="190" t="s">
        <v>2287</v>
      </c>
      <c r="B300" s="103" t="s">
        <v>276</v>
      </c>
      <c r="C300" s="54" t="s">
        <v>277</v>
      </c>
      <c r="D300" s="66" t="s">
        <v>328</v>
      </c>
      <c r="E300" s="66" t="s">
        <v>2082</v>
      </c>
      <c r="F300" s="66">
        <v>3.1995083248E10</v>
      </c>
      <c r="G300" s="100">
        <v>46113.0</v>
      </c>
      <c r="H300" s="58">
        <v>0.4597222222222222</v>
      </c>
      <c r="I300" s="66" t="s">
        <v>889</v>
      </c>
      <c r="J300" s="66" t="s">
        <v>473</v>
      </c>
      <c r="K300" s="66" t="s">
        <v>474</v>
      </c>
      <c r="L300" s="104" t="s">
        <v>2289</v>
      </c>
      <c r="M300" s="66" t="s">
        <v>2290</v>
      </c>
      <c r="N300" s="100">
        <v>46120.0</v>
      </c>
      <c r="O300" s="55" t="str">
        <f t="shared" si="1"/>
        <v>CONCLUÍDO</v>
      </c>
      <c r="P300" s="215" t="s">
        <v>2280</v>
      </c>
      <c r="Q300" s="100">
        <v>46118.0</v>
      </c>
      <c r="R300" s="96"/>
      <c r="S300" s="96"/>
      <c r="T300" s="96"/>
      <c r="U300" s="96"/>
      <c r="V300" s="96"/>
      <c r="W300" s="96"/>
      <c r="X300" s="96"/>
      <c r="Y300" s="96"/>
      <c r="Z300" s="96"/>
      <c r="AA300" s="96"/>
      <c r="AB300" s="96"/>
      <c r="AC300" s="96"/>
      <c r="AD300" s="96"/>
    </row>
    <row r="301">
      <c r="A301" s="190" t="s">
        <v>2292</v>
      </c>
      <c r="B301" s="103" t="s">
        <v>276</v>
      </c>
      <c r="C301" s="54" t="s">
        <v>277</v>
      </c>
      <c r="D301" s="66" t="s">
        <v>538</v>
      </c>
      <c r="E301" s="66" t="s">
        <v>542</v>
      </c>
      <c r="F301" s="66">
        <v>3.1999593176E10</v>
      </c>
      <c r="G301" s="100">
        <v>46113.0</v>
      </c>
      <c r="H301" s="58">
        <v>0.5083333333333333</v>
      </c>
      <c r="I301" s="66" t="s">
        <v>302</v>
      </c>
      <c r="J301" s="66" t="s">
        <v>277</v>
      </c>
      <c r="K301" s="66" t="s">
        <v>314</v>
      </c>
      <c r="L301" s="104" t="s">
        <v>2295</v>
      </c>
      <c r="M301" s="66"/>
      <c r="N301" s="100">
        <v>46113.0</v>
      </c>
      <c r="O301" s="55" t="str">
        <f t="shared" si="1"/>
        <v>CONCLUÍDO</v>
      </c>
      <c r="P301" s="105" t="s">
        <v>2296</v>
      </c>
      <c r="Q301" s="84">
        <f>N301</f>
        <v>46113</v>
      </c>
      <c r="R301" s="96"/>
      <c r="S301" s="96"/>
      <c r="T301" s="96"/>
      <c r="U301" s="96"/>
      <c r="V301" s="96"/>
      <c r="W301" s="96"/>
      <c r="X301" s="96"/>
      <c r="Y301" s="96"/>
      <c r="Z301" s="96"/>
      <c r="AA301" s="96"/>
      <c r="AB301" s="96"/>
      <c r="AC301" s="96"/>
      <c r="AD301" s="96"/>
    </row>
    <row r="302">
      <c r="A302" s="190" t="s">
        <v>2298</v>
      </c>
      <c r="B302" s="103" t="s">
        <v>276</v>
      </c>
      <c r="C302" s="54" t="s">
        <v>277</v>
      </c>
      <c r="D302" s="66" t="s">
        <v>328</v>
      </c>
      <c r="E302" s="66" t="s">
        <v>2082</v>
      </c>
      <c r="F302" s="66">
        <v>3.1995083248E10</v>
      </c>
      <c r="G302" s="100">
        <v>46114.0</v>
      </c>
      <c r="H302" s="58">
        <v>0.6326388888888889</v>
      </c>
      <c r="I302" s="66" t="s">
        <v>2299</v>
      </c>
      <c r="J302" s="66" t="s">
        <v>473</v>
      </c>
      <c r="K302" s="66" t="s">
        <v>474</v>
      </c>
      <c r="L302" s="104" t="s">
        <v>2301</v>
      </c>
      <c r="M302" s="66" t="s">
        <v>2302</v>
      </c>
      <c r="N302" s="100">
        <v>46120.0</v>
      </c>
      <c r="O302" s="55" t="str">
        <f t="shared" si="1"/>
        <v>CONCLUÍDO</v>
      </c>
      <c r="P302" s="215" t="s">
        <v>2280</v>
      </c>
      <c r="Q302" s="100">
        <v>46113.0</v>
      </c>
      <c r="R302" s="96"/>
      <c r="S302" s="96"/>
      <c r="T302" s="96"/>
      <c r="U302" s="96"/>
      <c r="V302" s="96"/>
      <c r="W302" s="96"/>
      <c r="X302" s="96"/>
      <c r="Y302" s="96"/>
      <c r="Z302" s="96"/>
      <c r="AA302" s="96"/>
      <c r="AB302" s="96"/>
      <c r="AC302" s="96"/>
      <c r="AD302" s="96"/>
    </row>
    <row r="303">
      <c r="A303" s="190" t="s">
        <v>2304</v>
      </c>
      <c r="B303" s="103" t="s">
        <v>276</v>
      </c>
      <c r="C303" s="54" t="s">
        <v>277</v>
      </c>
      <c r="D303" s="66" t="s">
        <v>328</v>
      </c>
      <c r="E303" s="66" t="s">
        <v>515</v>
      </c>
      <c r="F303" s="66">
        <v>3.1971302701E10</v>
      </c>
      <c r="G303" s="100">
        <v>46115.0</v>
      </c>
      <c r="H303" s="58">
        <v>0.41597222222222224</v>
      </c>
      <c r="I303" s="66" t="s">
        <v>2299</v>
      </c>
      <c r="J303" s="66" t="s">
        <v>277</v>
      </c>
      <c r="K303" s="66" t="s">
        <v>2307</v>
      </c>
      <c r="L303" s="104" t="s">
        <v>2308</v>
      </c>
      <c r="M303" s="66"/>
      <c r="N303" s="100">
        <v>46118.0</v>
      </c>
      <c r="O303" s="55" t="str">
        <f t="shared" si="1"/>
        <v>CONCLUÍDO</v>
      </c>
      <c r="P303" s="105" t="s">
        <v>2309</v>
      </c>
      <c r="Q303" s="100">
        <v>46115.0</v>
      </c>
      <c r="R303" s="96"/>
      <c r="S303" s="96"/>
      <c r="T303" s="96"/>
      <c r="U303" s="96"/>
      <c r="V303" s="96"/>
      <c r="W303" s="96"/>
      <c r="X303" s="96"/>
      <c r="Y303" s="96"/>
      <c r="Z303" s="96"/>
      <c r="AA303" s="96"/>
      <c r="AB303" s="96"/>
      <c r="AC303" s="96"/>
      <c r="AD303" s="96"/>
    </row>
    <row r="304">
      <c r="A304" s="190" t="s">
        <v>2311</v>
      </c>
      <c r="B304" s="103" t="s">
        <v>276</v>
      </c>
      <c r="C304" s="54" t="s">
        <v>277</v>
      </c>
      <c r="D304" s="66" t="s">
        <v>230</v>
      </c>
      <c r="E304" s="66" t="s">
        <v>2312</v>
      </c>
      <c r="F304" s="66">
        <v>3.199079375E10</v>
      </c>
      <c r="G304" s="100">
        <v>46118.0</v>
      </c>
      <c r="H304" s="58">
        <v>0.3611111111111111</v>
      </c>
      <c r="I304" s="66" t="s">
        <v>2313</v>
      </c>
      <c r="J304" s="66" t="s">
        <v>473</v>
      </c>
      <c r="K304" s="66" t="s">
        <v>474</v>
      </c>
      <c r="L304" s="104" t="s">
        <v>2315</v>
      </c>
      <c r="M304" s="66"/>
      <c r="N304" s="100">
        <v>46122.0</v>
      </c>
      <c r="O304" s="55" t="str">
        <f t="shared" si="1"/>
        <v>CONCLUÍDO</v>
      </c>
      <c r="P304" s="105" t="s">
        <v>2316</v>
      </c>
      <c r="Q304" s="100">
        <v>46118.0</v>
      </c>
      <c r="R304" s="96"/>
      <c r="S304" s="96"/>
      <c r="T304" s="96"/>
      <c r="U304" s="96"/>
      <c r="V304" s="96"/>
      <c r="W304" s="96"/>
      <c r="X304" s="96"/>
      <c r="Y304" s="96"/>
      <c r="Z304" s="96"/>
      <c r="AA304" s="96"/>
      <c r="AB304" s="96"/>
      <c r="AC304" s="96"/>
      <c r="AD304" s="96"/>
    </row>
    <row r="305">
      <c r="A305" s="190" t="s">
        <v>2269</v>
      </c>
      <c r="B305" s="103" t="s">
        <v>276</v>
      </c>
      <c r="C305" s="54" t="s">
        <v>277</v>
      </c>
      <c r="D305" s="66" t="s">
        <v>571</v>
      </c>
      <c r="E305" s="66" t="s">
        <v>2116</v>
      </c>
      <c r="F305" s="66">
        <v>3.199079375E10</v>
      </c>
      <c r="G305" s="100">
        <v>46119.0</v>
      </c>
      <c r="H305" s="58">
        <v>0.6159722222222223</v>
      </c>
      <c r="I305" s="66" t="s">
        <v>2299</v>
      </c>
      <c r="J305" s="66" t="s">
        <v>692</v>
      </c>
      <c r="K305" s="66" t="s">
        <v>407</v>
      </c>
      <c r="L305" s="104" t="s">
        <v>2320</v>
      </c>
      <c r="M305" s="66"/>
      <c r="N305" s="100">
        <v>46122.0</v>
      </c>
      <c r="O305" s="55" t="str">
        <f t="shared" si="1"/>
        <v>CONCLUÍDO</v>
      </c>
      <c r="P305" s="66" t="s">
        <v>2321</v>
      </c>
      <c r="Q305" s="84">
        <f>N305</f>
        <v>46122</v>
      </c>
      <c r="R305" s="96"/>
      <c r="S305" s="96"/>
      <c r="T305" s="96"/>
      <c r="U305" s="96"/>
      <c r="V305" s="96"/>
      <c r="W305" s="96"/>
      <c r="X305" s="96"/>
      <c r="Y305" s="96"/>
      <c r="Z305" s="96"/>
      <c r="AA305" s="96"/>
      <c r="AB305" s="96"/>
      <c r="AC305" s="96"/>
      <c r="AD305" s="96"/>
    </row>
    <row r="306">
      <c r="A306" s="190" t="s">
        <v>2275</v>
      </c>
      <c r="B306" s="103" t="s">
        <v>276</v>
      </c>
      <c r="C306" s="54" t="s">
        <v>277</v>
      </c>
      <c r="D306" s="66" t="s">
        <v>328</v>
      </c>
      <c r="E306" s="66" t="s">
        <v>2323</v>
      </c>
      <c r="F306" s="66" t="s">
        <v>2324</v>
      </c>
      <c r="G306" s="100">
        <v>46120.0</v>
      </c>
      <c r="H306" s="58">
        <v>0.4395833333333333</v>
      </c>
      <c r="I306" s="66" t="s">
        <v>771</v>
      </c>
      <c r="J306" s="66" t="s">
        <v>473</v>
      </c>
      <c r="K306" s="66" t="s">
        <v>474</v>
      </c>
      <c r="L306" s="104" t="s">
        <v>2326</v>
      </c>
      <c r="M306" s="66"/>
      <c r="N306" s="100"/>
      <c r="O306" s="55" t="str">
        <f t="shared" si="1"/>
        <v>SEM DATA APONTADA</v>
      </c>
      <c r="P306" s="105" t="s">
        <v>2327</v>
      </c>
      <c r="Q306" s="100">
        <v>46125.0</v>
      </c>
      <c r="R306" s="96"/>
      <c r="S306" s="96"/>
      <c r="T306" s="96"/>
      <c r="U306" s="96"/>
      <c r="V306" s="96"/>
      <c r="W306" s="96"/>
      <c r="X306" s="96"/>
      <c r="Y306" s="96"/>
      <c r="Z306" s="96"/>
      <c r="AA306" s="96"/>
      <c r="AB306" s="96"/>
      <c r="AC306" s="96"/>
      <c r="AD306" s="96"/>
    </row>
    <row r="307">
      <c r="A307" s="190" t="s">
        <v>2282</v>
      </c>
      <c r="B307" s="103" t="s">
        <v>276</v>
      </c>
      <c r="C307" s="54" t="s">
        <v>277</v>
      </c>
      <c r="D307" s="66" t="s">
        <v>328</v>
      </c>
      <c r="E307" s="66" t="s">
        <v>605</v>
      </c>
      <c r="F307" s="66">
        <v>3.1971446221E10</v>
      </c>
      <c r="G307" s="100">
        <v>46120.0</v>
      </c>
      <c r="H307" s="58">
        <v>0.6013888888888889</v>
      </c>
      <c r="I307" s="66" t="s">
        <v>889</v>
      </c>
      <c r="J307" s="66" t="s">
        <v>277</v>
      </c>
      <c r="K307" s="66" t="s">
        <v>2258</v>
      </c>
      <c r="L307" s="104" t="s">
        <v>2330</v>
      </c>
      <c r="M307" s="66" t="s">
        <v>2331</v>
      </c>
      <c r="N307" s="100">
        <v>46127.0</v>
      </c>
      <c r="O307" s="55" t="str">
        <f t="shared" si="1"/>
        <v>CONCLUÍDO</v>
      </c>
      <c r="P307" s="66" t="s">
        <v>2332</v>
      </c>
      <c r="Q307" s="100">
        <v>46128.0</v>
      </c>
      <c r="R307" s="96"/>
      <c r="S307" s="96"/>
      <c r="T307" s="96"/>
      <c r="U307" s="96"/>
      <c r="V307" s="96"/>
      <c r="W307" s="96"/>
      <c r="X307" s="96"/>
      <c r="Y307" s="96"/>
      <c r="Z307" s="96"/>
      <c r="AA307" s="96"/>
      <c r="AB307" s="96"/>
      <c r="AC307" s="96"/>
      <c r="AD307" s="96"/>
    </row>
    <row r="308">
      <c r="A308" s="190" t="s">
        <v>2287</v>
      </c>
      <c r="B308" s="103" t="s">
        <v>276</v>
      </c>
      <c r="C308" s="54" t="s">
        <v>277</v>
      </c>
      <c r="D308" s="66" t="s">
        <v>328</v>
      </c>
      <c r="E308" s="66" t="s">
        <v>1256</v>
      </c>
      <c r="F308" s="66">
        <v>3.1971681227E10</v>
      </c>
      <c r="G308" s="100">
        <v>46120.0</v>
      </c>
      <c r="H308" s="58">
        <v>0.48055555555555557</v>
      </c>
      <c r="I308" s="66" t="s">
        <v>2299</v>
      </c>
      <c r="J308" s="66" t="s">
        <v>473</v>
      </c>
      <c r="K308" s="66" t="s">
        <v>474</v>
      </c>
      <c r="L308" s="104" t="s">
        <v>2334</v>
      </c>
      <c r="M308" s="66"/>
      <c r="N308" s="100"/>
      <c r="O308" s="55" t="str">
        <f t="shared" si="1"/>
        <v>SEM DATA APONTADA</v>
      </c>
      <c r="P308" s="105" t="s">
        <v>2335</v>
      </c>
      <c r="Q308" s="100">
        <v>46132.0</v>
      </c>
      <c r="R308" s="96"/>
      <c r="S308" s="96"/>
      <c r="T308" s="96"/>
      <c r="U308" s="96"/>
      <c r="V308" s="96"/>
      <c r="W308" s="96"/>
      <c r="X308" s="96"/>
      <c r="Y308" s="96"/>
      <c r="Z308" s="96"/>
      <c r="AA308" s="96"/>
      <c r="AB308" s="96"/>
      <c r="AC308" s="96"/>
      <c r="AD308" s="96"/>
    </row>
    <row r="309">
      <c r="A309" s="190" t="s">
        <v>2292</v>
      </c>
      <c r="B309" s="103" t="s">
        <v>276</v>
      </c>
      <c r="C309" s="54" t="s">
        <v>570</v>
      </c>
      <c r="D309" s="66" t="s">
        <v>50</v>
      </c>
      <c r="E309" s="66" t="s">
        <v>2270</v>
      </c>
      <c r="F309" s="66" t="s">
        <v>2337</v>
      </c>
      <c r="G309" s="100">
        <v>46122.0</v>
      </c>
      <c r="H309" s="58">
        <v>0.6333333333333333</v>
      </c>
      <c r="I309" s="66" t="s">
        <v>2299</v>
      </c>
      <c r="J309" s="66" t="s">
        <v>570</v>
      </c>
      <c r="K309" s="66" t="s">
        <v>407</v>
      </c>
      <c r="L309" s="104" t="s">
        <v>2338</v>
      </c>
      <c r="M309" s="104" t="s">
        <v>2339</v>
      </c>
      <c r="N309" s="100">
        <v>46122.0</v>
      </c>
      <c r="O309" s="55" t="str">
        <f t="shared" si="1"/>
        <v>CONCLUÍDO</v>
      </c>
      <c r="P309" s="66" t="s">
        <v>2342</v>
      </c>
      <c r="Q309" s="84">
        <f>N309</f>
        <v>46122</v>
      </c>
      <c r="R309" s="96"/>
      <c r="S309" s="96"/>
      <c r="T309" s="96"/>
      <c r="U309" s="96"/>
      <c r="V309" s="96"/>
      <c r="W309" s="96"/>
      <c r="X309" s="96"/>
      <c r="Y309" s="96"/>
      <c r="Z309" s="96"/>
      <c r="AA309" s="96"/>
      <c r="AB309" s="96"/>
      <c r="AC309" s="96"/>
      <c r="AD309" s="96"/>
    </row>
    <row r="310">
      <c r="A310" s="190" t="s">
        <v>2298</v>
      </c>
      <c r="B310" s="103" t="s">
        <v>276</v>
      </c>
      <c r="C310" s="54" t="s">
        <v>570</v>
      </c>
      <c r="D310" s="66" t="s">
        <v>362</v>
      </c>
      <c r="E310" s="66" t="s">
        <v>2270</v>
      </c>
      <c r="F310" s="66" t="s">
        <v>2337</v>
      </c>
      <c r="G310" s="100">
        <v>46122.0</v>
      </c>
      <c r="H310" s="58">
        <v>0.6354166666666666</v>
      </c>
      <c r="I310" s="66" t="s">
        <v>2299</v>
      </c>
      <c r="J310" s="66" t="s">
        <v>277</v>
      </c>
      <c r="K310" s="66" t="s">
        <v>2258</v>
      </c>
      <c r="L310" s="104" t="s">
        <v>2344</v>
      </c>
      <c r="M310" s="66" t="s">
        <v>428</v>
      </c>
      <c r="N310" s="100">
        <v>46126.0</v>
      </c>
      <c r="O310" s="55" t="str">
        <f t="shared" si="1"/>
        <v>CONCLUÍDO</v>
      </c>
      <c r="P310" s="66" t="s">
        <v>2345</v>
      </c>
      <c r="Q310" s="100">
        <v>46126.0</v>
      </c>
      <c r="R310" s="96"/>
      <c r="S310" s="96"/>
      <c r="T310" s="96"/>
      <c r="U310" s="96"/>
      <c r="V310" s="96"/>
      <c r="W310" s="96"/>
      <c r="X310" s="96"/>
      <c r="Y310" s="96"/>
      <c r="Z310" s="96"/>
      <c r="AA310" s="96"/>
      <c r="AB310" s="96"/>
      <c r="AC310" s="96"/>
      <c r="AD310" s="96"/>
    </row>
    <row r="311">
      <c r="A311" s="190" t="s">
        <v>2304</v>
      </c>
      <c r="B311" s="103" t="s">
        <v>276</v>
      </c>
      <c r="C311" s="54" t="s">
        <v>570</v>
      </c>
      <c r="D311" s="66" t="s">
        <v>404</v>
      </c>
      <c r="E311" s="66" t="s">
        <v>2270</v>
      </c>
      <c r="F311" s="66" t="s">
        <v>2337</v>
      </c>
      <c r="G311" s="100">
        <v>46122.0</v>
      </c>
      <c r="H311" s="58">
        <v>0.6375</v>
      </c>
      <c r="I311" s="66" t="s">
        <v>2299</v>
      </c>
      <c r="J311" s="66" t="s">
        <v>277</v>
      </c>
      <c r="K311" s="66" t="s">
        <v>2258</v>
      </c>
      <c r="L311" s="104" t="s">
        <v>2344</v>
      </c>
      <c r="M311" s="66" t="s">
        <v>2349</v>
      </c>
      <c r="N311" s="100">
        <v>46126.0</v>
      </c>
      <c r="O311" s="55" t="str">
        <f t="shared" si="1"/>
        <v>CONCLUÍDO</v>
      </c>
      <c r="P311" s="66" t="s">
        <v>2345</v>
      </c>
      <c r="Q311" s="100">
        <v>46126.0</v>
      </c>
      <c r="R311" s="96"/>
      <c r="S311" s="96"/>
      <c r="T311" s="96"/>
      <c r="U311" s="96"/>
      <c r="V311" s="96"/>
      <c r="W311" s="96"/>
      <c r="X311" s="96"/>
      <c r="Y311" s="96"/>
      <c r="Z311" s="96"/>
      <c r="AA311" s="96"/>
      <c r="AB311" s="96"/>
      <c r="AC311" s="96"/>
      <c r="AD311" s="96"/>
    </row>
    <row r="312">
      <c r="A312" s="190" t="s">
        <v>2311</v>
      </c>
      <c r="B312" s="103" t="s">
        <v>276</v>
      </c>
      <c r="C312" s="54" t="s">
        <v>570</v>
      </c>
      <c r="D312" s="66" t="s">
        <v>538</v>
      </c>
      <c r="E312" s="66" t="s">
        <v>2270</v>
      </c>
      <c r="F312" s="66" t="s">
        <v>2337</v>
      </c>
      <c r="G312" s="100">
        <v>46122.0</v>
      </c>
      <c r="H312" s="58">
        <v>0.6375</v>
      </c>
      <c r="I312" s="66" t="s">
        <v>2299</v>
      </c>
      <c r="J312" s="66" t="s">
        <v>277</v>
      </c>
      <c r="K312" s="66" t="s">
        <v>2258</v>
      </c>
      <c r="L312" s="104" t="s">
        <v>2344</v>
      </c>
      <c r="M312" s="66" t="s">
        <v>2351</v>
      </c>
      <c r="N312" s="100">
        <v>46126.0</v>
      </c>
      <c r="O312" s="55" t="str">
        <f t="shared" si="1"/>
        <v>CONCLUÍDO</v>
      </c>
      <c r="P312" s="66" t="s">
        <v>2345</v>
      </c>
      <c r="Q312" s="100">
        <v>46126.0</v>
      </c>
      <c r="R312" s="96"/>
      <c r="S312" s="96"/>
      <c r="T312" s="96"/>
      <c r="U312" s="96"/>
      <c r="V312" s="96"/>
      <c r="W312" s="96"/>
      <c r="X312" s="96"/>
      <c r="Y312" s="96"/>
      <c r="Z312" s="96"/>
      <c r="AA312" s="96"/>
      <c r="AB312" s="96"/>
      <c r="AC312" s="96"/>
      <c r="AD312" s="96"/>
    </row>
    <row r="313">
      <c r="A313" s="190" t="s">
        <v>2353</v>
      </c>
      <c r="B313" s="103" t="s">
        <v>276</v>
      </c>
      <c r="C313" s="54" t="s">
        <v>570</v>
      </c>
      <c r="D313" s="66" t="s">
        <v>538</v>
      </c>
      <c r="E313" s="66" t="s">
        <v>2270</v>
      </c>
      <c r="F313" s="66" t="s">
        <v>2337</v>
      </c>
      <c r="G313" s="100">
        <v>46122.0</v>
      </c>
      <c r="H313" s="58">
        <v>0.6381944444444444</v>
      </c>
      <c r="I313" s="66" t="s">
        <v>2299</v>
      </c>
      <c r="J313" s="66" t="s">
        <v>277</v>
      </c>
      <c r="K313" s="66" t="s">
        <v>2258</v>
      </c>
      <c r="L313" s="104" t="s">
        <v>2344</v>
      </c>
      <c r="M313" s="66" t="s">
        <v>2355</v>
      </c>
      <c r="N313" s="100">
        <v>46126.0</v>
      </c>
      <c r="O313" s="55" t="str">
        <f t="shared" si="1"/>
        <v>CONCLUÍDO</v>
      </c>
      <c r="P313" s="66" t="s">
        <v>2345</v>
      </c>
      <c r="Q313" s="100">
        <v>46126.0</v>
      </c>
      <c r="R313" s="96"/>
      <c r="S313" s="96"/>
      <c r="T313" s="96"/>
      <c r="U313" s="96"/>
      <c r="V313" s="96"/>
      <c r="W313" s="96"/>
      <c r="X313" s="96"/>
      <c r="Y313" s="96"/>
      <c r="Z313" s="96"/>
      <c r="AA313" s="96"/>
      <c r="AB313" s="96"/>
      <c r="AC313" s="96"/>
      <c r="AD313" s="96"/>
    </row>
    <row r="314">
      <c r="A314" s="190" t="s">
        <v>2357</v>
      </c>
      <c r="B314" s="103" t="s">
        <v>276</v>
      </c>
      <c r="C314" s="54" t="s">
        <v>570</v>
      </c>
      <c r="D314" s="66" t="s">
        <v>664</v>
      </c>
      <c r="E314" s="66" t="s">
        <v>2270</v>
      </c>
      <c r="F314" s="66" t="s">
        <v>2337</v>
      </c>
      <c r="G314" s="100">
        <v>46122.0</v>
      </c>
      <c r="H314" s="58">
        <v>0.6486111111111111</v>
      </c>
      <c r="I314" s="66" t="s">
        <v>2299</v>
      </c>
      <c r="J314" s="66" t="s">
        <v>277</v>
      </c>
      <c r="K314" s="66" t="s">
        <v>2258</v>
      </c>
      <c r="L314" s="104" t="s">
        <v>2344</v>
      </c>
      <c r="M314" s="66" t="s">
        <v>2360</v>
      </c>
      <c r="N314" s="100">
        <v>46126.0</v>
      </c>
      <c r="O314" s="55" t="str">
        <f t="shared" si="1"/>
        <v>CONCLUÍDO</v>
      </c>
      <c r="P314" s="66" t="s">
        <v>2345</v>
      </c>
      <c r="Q314" s="100">
        <v>46126.0</v>
      </c>
      <c r="R314" s="96"/>
      <c r="S314" s="96"/>
      <c r="T314" s="96"/>
      <c r="U314" s="96"/>
      <c r="V314" s="96"/>
      <c r="W314" s="96"/>
      <c r="X314" s="96"/>
      <c r="Y314" s="96"/>
      <c r="Z314" s="96"/>
      <c r="AA314" s="96"/>
      <c r="AB314" s="96"/>
      <c r="AC314" s="96"/>
      <c r="AD314" s="96"/>
    </row>
    <row r="315">
      <c r="A315" s="190" t="s">
        <v>2362</v>
      </c>
      <c r="B315" s="103" t="s">
        <v>276</v>
      </c>
      <c r="C315" s="54" t="s">
        <v>570</v>
      </c>
      <c r="D315" s="66" t="s">
        <v>271</v>
      </c>
      <c r="E315" s="66" t="s">
        <v>2270</v>
      </c>
      <c r="F315" s="66" t="s">
        <v>2337</v>
      </c>
      <c r="G315" s="100">
        <v>46122.0</v>
      </c>
      <c r="H315" s="58">
        <v>0.65625</v>
      </c>
      <c r="I315" s="66" t="s">
        <v>2299</v>
      </c>
      <c r="J315" s="66" t="s">
        <v>277</v>
      </c>
      <c r="K315" s="66" t="s">
        <v>2258</v>
      </c>
      <c r="L315" s="104" t="s">
        <v>2344</v>
      </c>
      <c r="M315" s="66" t="s">
        <v>2364</v>
      </c>
      <c r="N315" s="100">
        <v>46126.0</v>
      </c>
      <c r="O315" s="55" t="str">
        <f t="shared" si="1"/>
        <v>CONCLUÍDO</v>
      </c>
      <c r="P315" s="66" t="s">
        <v>2345</v>
      </c>
      <c r="Q315" s="100">
        <v>46126.0</v>
      </c>
      <c r="R315" s="96"/>
      <c r="S315" s="96"/>
      <c r="T315" s="96"/>
      <c r="U315" s="96"/>
      <c r="V315" s="96"/>
      <c r="W315" s="96"/>
      <c r="X315" s="96"/>
      <c r="Y315" s="96"/>
      <c r="Z315" s="96"/>
      <c r="AA315" s="96"/>
      <c r="AB315" s="96"/>
      <c r="AC315" s="96"/>
      <c r="AD315" s="96"/>
    </row>
    <row r="316">
      <c r="A316" s="190" t="s">
        <v>2366</v>
      </c>
      <c r="B316" s="103" t="s">
        <v>276</v>
      </c>
      <c r="C316" s="54" t="s">
        <v>570</v>
      </c>
      <c r="D316" s="66" t="s">
        <v>387</v>
      </c>
      <c r="E316" s="66" t="s">
        <v>2270</v>
      </c>
      <c r="F316" s="66" t="s">
        <v>2337</v>
      </c>
      <c r="G316" s="100">
        <v>46122.0</v>
      </c>
      <c r="H316" s="58">
        <v>0.6604166666666667</v>
      </c>
      <c r="I316" s="66" t="s">
        <v>2299</v>
      </c>
      <c r="J316" s="66" t="s">
        <v>277</v>
      </c>
      <c r="K316" s="66" t="s">
        <v>2258</v>
      </c>
      <c r="L316" s="104" t="s">
        <v>2368</v>
      </c>
      <c r="M316" s="66" t="s">
        <v>2369</v>
      </c>
      <c r="N316" s="100">
        <v>46126.0</v>
      </c>
      <c r="O316" s="55" t="str">
        <f t="shared" si="1"/>
        <v>CONCLUÍDO</v>
      </c>
      <c r="P316" s="66" t="s">
        <v>2345</v>
      </c>
      <c r="Q316" s="100">
        <v>46126.0</v>
      </c>
      <c r="R316" s="96"/>
      <c r="S316" s="96"/>
      <c r="T316" s="96"/>
      <c r="U316" s="96"/>
      <c r="V316" s="96"/>
      <c r="W316" s="96"/>
      <c r="X316" s="96"/>
      <c r="Y316" s="96"/>
      <c r="Z316" s="96"/>
      <c r="AA316" s="96"/>
      <c r="AB316" s="96"/>
      <c r="AC316" s="96"/>
      <c r="AD316" s="96"/>
    </row>
    <row r="317">
      <c r="A317" s="190" t="s">
        <v>2371</v>
      </c>
      <c r="B317" s="103" t="s">
        <v>276</v>
      </c>
      <c r="C317" s="54" t="s">
        <v>570</v>
      </c>
      <c r="D317" s="66" t="s">
        <v>387</v>
      </c>
      <c r="E317" s="66" t="s">
        <v>2270</v>
      </c>
      <c r="F317" s="66" t="s">
        <v>2337</v>
      </c>
      <c r="G317" s="100">
        <v>46122.0</v>
      </c>
      <c r="H317" s="58">
        <v>0.6625</v>
      </c>
      <c r="I317" s="66" t="s">
        <v>2299</v>
      </c>
      <c r="J317" s="66" t="s">
        <v>277</v>
      </c>
      <c r="K317" s="66" t="s">
        <v>2258</v>
      </c>
      <c r="L317" s="104" t="s">
        <v>2374</v>
      </c>
      <c r="M317" s="104" t="s">
        <v>2375</v>
      </c>
      <c r="N317" s="100">
        <v>46126.0</v>
      </c>
      <c r="O317" s="55" t="str">
        <f t="shared" si="1"/>
        <v>CONCLUÍDO</v>
      </c>
      <c r="P317" s="66" t="s">
        <v>2345</v>
      </c>
      <c r="Q317" s="100">
        <v>46126.0</v>
      </c>
      <c r="R317" s="96"/>
      <c r="S317" s="96"/>
      <c r="T317" s="96"/>
      <c r="U317" s="96"/>
      <c r="V317" s="96"/>
      <c r="W317" s="96"/>
      <c r="X317" s="96"/>
      <c r="Y317" s="96"/>
      <c r="Z317" s="96"/>
      <c r="AA317" s="96"/>
      <c r="AB317" s="96"/>
      <c r="AC317" s="96"/>
      <c r="AD317" s="96"/>
    </row>
    <row r="318">
      <c r="A318" s="190" t="s">
        <v>2377</v>
      </c>
      <c r="B318" s="103" t="s">
        <v>276</v>
      </c>
      <c r="C318" s="54" t="s">
        <v>277</v>
      </c>
      <c r="D318" s="66" t="s">
        <v>538</v>
      </c>
      <c r="E318" s="66" t="s">
        <v>542</v>
      </c>
      <c r="F318" s="66" t="s">
        <v>2378</v>
      </c>
      <c r="G318" s="100">
        <v>46125.0</v>
      </c>
      <c r="H318" s="58">
        <v>0.49930555555555556</v>
      </c>
      <c r="I318" s="66" t="s">
        <v>2313</v>
      </c>
      <c r="J318" s="66" t="s">
        <v>692</v>
      </c>
      <c r="K318" s="66" t="s">
        <v>407</v>
      </c>
      <c r="L318" s="104" t="s">
        <v>2381</v>
      </c>
      <c r="M318" s="66" t="s">
        <v>2382</v>
      </c>
      <c r="N318" s="100">
        <v>46128.0</v>
      </c>
      <c r="O318" s="55" t="str">
        <f t="shared" si="1"/>
        <v>CONCLUÍDO</v>
      </c>
      <c r="P318" s="66" t="s">
        <v>2383</v>
      </c>
      <c r="Q318" s="84">
        <f>N318</f>
        <v>46128</v>
      </c>
      <c r="R318" s="96"/>
      <c r="S318" s="96"/>
      <c r="T318" s="96"/>
      <c r="U318" s="96"/>
      <c r="V318" s="96"/>
      <c r="W318" s="96"/>
      <c r="X318" s="96"/>
      <c r="Y318" s="96"/>
      <c r="Z318" s="96"/>
      <c r="AA318" s="96"/>
      <c r="AB318" s="96"/>
      <c r="AC318" s="96"/>
      <c r="AD318" s="96"/>
    </row>
    <row r="319">
      <c r="A319" s="190" t="s">
        <v>2385</v>
      </c>
      <c r="B319" s="103" t="s">
        <v>276</v>
      </c>
      <c r="C319" s="54" t="s">
        <v>277</v>
      </c>
      <c r="D319" s="66" t="s">
        <v>378</v>
      </c>
      <c r="E319" s="66" t="s">
        <v>676</v>
      </c>
      <c r="F319" s="66">
        <v>3.1999878777E10</v>
      </c>
      <c r="G319" s="100">
        <v>46023.0</v>
      </c>
      <c r="H319" s="58">
        <v>0.0</v>
      </c>
      <c r="I319" s="66" t="s">
        <v>889</v>
      </c>
      <c r="J319" s="66" t="s">
        <v>473</v>
      </c>
      <c r="K319" s="66" t="s">
        <v>474</v>
      </c>
      <c r="L319" s="104" t="s">
        <v>2387</v>
      </c>
      <c r="M319" s="66"/>
      <c r="N319" s="100"/>
      <c r="O319" s="55" t="str">
        <f t="shared" si="1"/>
        <v>SEM DATA APONTADA</v>
      </c>
      <c r="P319" s="105" t="s">
        <v>2389</v>
      </c>
      <c r="Q319" s="100">
        <v>46139.0</v>
      </c>
      <c r="R319" s="96"/>
      <c r="S319" s="96"/>
      <c r="T319" s="96"/>
      <c r="U319" s="96"/>
      <c r="V319" s="96"/>
      <c r="W319" s="96"/>
      <c r="X319" s="96"/>
      <c r="Y319" s="96"/>
      <c r="Z319" s="96"/>
      <c r="AA319" s="96"/>
      <c r="AB319" s="96"/>
      <c r="AC319" s="96"/>
      <c r="AD319" s="96"/>
    </row>
    <row r="320">
      <c r="A320" s="190" t="s">
        <v>2391</v>
      </c>
      <c r="B320" s="103" t="s">
        <v>276</v>
      </c>
      <c r="C320" s="54" t="s">
        <v>277</v>
      </c>
      <c r="D320" s="66" t="s">
        <v>328</v>
      </c>
      <c r="E320" s="66" t="s">
        <v>2394</v>
      </c>
      <c r="F320" s="66">
        <v>3.1999013031E10</v>
      </c>
      <c r="G320" s="100">
        <v>46125.0</v>
      </c>
      <c r="H320" s="58">
        <v>0.7340277777777777</v>
      </c>
      <c r="I320" s="66" t="s">
        <v>1749</v>
      </c>
      <c r="J320" s="66" t="s">
        <v>277</v>
      </c>
      <c r="K320" s="66" t="s">
        <v>2307</v>
      </c>
      <c r="L320" s="104" t="s">
        <v>2395</v>
      </c>
      <c r="M320" s="66"/>
      <c r="N320" s="66" t="s">
        <v>2396</v>
      </c>
      <c r="O320" s="55" t="str">
        <f t="shared" si="1"/>
        <v>CONCLUÍDO</v>
      </c>
      <c r="P320" s="66" t="s">
        <v>2398</v>
      </c>
      <c r="Q320" s="100">
        <v>46126.0</v>
      </c>
      <c r="R320" s="96"/>
      <c r="S320" s="96"/>
      <c r="T320" s="96"/>
      <c r="U320" s="96"/>
      <c r="V320" s="96"/>
      <c r="W320" s="96"/>
      <c r="X320" s="96"/>
      <c r="Y320" s="96"/>
      <c r="Z320" s="96"/>
      <c r="AA320" s="96"/>
      <c r="AB320" s="96"/>
      <c r="AC320" s="96"/>
      <c r="AD320" s="96"/>
    </row>
    <row r="321">
      <c r="A321" s="190" t="s">
        <v>2399</v>
      </c>
      <c r="B321" s="103" t="s">
        <v>276</v>
      </c>
      <c r="C321" s="54" t="s">
        <v>277</v>
      </c>
      <c r="D321" s="66" t="s">
        <v>571</v>
      </c>
      <c r="E321" s="66" t="s">
        <v>656</v>
      </c>
      <c r="F321" s="66">
        <v>3.199079375E10</v>
      </c>
      <c r="G321" s="100">
        <v>46126.0</v>
      </c>
      <c r="H321" s="58">
        <v>0.3909722222222222</v>
      </c>
      <c r="I321" s="66" t="s">
        <v>2299</v>
      </c>
      <c r="J321" s="66" t="s">
        <v>692</v>
      </c>
      <c r="K321" s="66" t="s">
        <v>407</v>
      </c>
      <c r="L321" s="104" t="s">
        <v>2402</v>
      </c>
      <c r="M321" s="66" t="s">
        <v>2403</v>
      </c>
      <c r="N321" s="100">
        <v>46128.0</v>
      </c>
      <c r="O321" s="55" t="str">
        <f t="shared" si="1"/>
        <v>CONCLUÍDO</v>
      </c>
      <c r="P321" s="66" t="s">
        <v>2405</v>
      </c>
      <c r="Q321" s="84">
        <f t="shared" ref="Q321:Q322" si="4">N321</f>
        <v>46128</v>
      </c>
      <c r="R321" s="96"/>
      <c r="S321" s="96"/>
      <c r="T321" s="96"/>
      <c r="U321" s="96"/>
      <c r="V321" s="96"/>
      <c r="W321" s="96"/>
      <c r="X321" s="96"/>
      <c r="Y321" s="96"/>
      <c r="Z321" s="96"/>
      <c r="AA321" s="96"/>
      <c r="AB321" s="96"/>
      <c r="AC321" s="96"/>
      <c r="AD321" s="96"/>
    </row>
    <row r="322">
      <c r="A322" s="190" t="s">
        <v>2407</v>
      </c>
      <c r="B322" s="103" t="s">
        <v>276</v>
      </c>
      <c r="C322" s="54" t="s">
        <v>277</v>
      </c>
      <c r="D322" s="66" t="s">
        <v>271</v>
      </c>
      <c r="E322" s="66" t="s">
        <v>2408</v>
      </c>
      <c r="F322" s="66">
        <v>3.199079375E10</v>
      </c>
      <c r="G322" s="100">
        <v>46126.0</v>
      </c>
      <c r="H322" s="58">
        <v>0.5909722222222222</v>
      </c>
      <c r="I322" s="66" t="s">
        <v>2313</v>
      </c>
      <c r="J322" s="66" t="s">
        <v>692</v>
      </c>
      <c r="K322" s="230" t="s">
        <v>407</v>
      </c>
      <c r="L322" s="104" t="s">
        <v>2413</v>
      </c>
      <c r="M322" s="66" t="s">
        <v>2414</v>
      </c>
      <c r="N322" s="100">
        <v>46126.0</v>
      </c>
      <c r="O322" s="55" t="str">
        <f t="shared" si="1"/>
        <v>CONCLUÍDO</v>
      </c>
      <c r="P322" s="104" t="s">
        <v>2416</v>
      </c>
      <c r="Q322" s="84">
        <f t="shared" si="4"/>
        <v>46126</v>
      </c>
      <c r="R322" s="96"/>
      <c r="S322" s="96"/>
      <c r="T322" s="96"/>
      <c r="U322" s="96"/>
      <c r="V322" s="96"/>
      <c r="W322" s="96"/>
      <c r="X322" s="96"/>
      <c r="Y322" s="96"/>
      <c r="Z322" s="96"/>
      <c r="AA322" s="96"/>
      <c r="AB322" s="96"/>
      <c r="AC322" s="96"/>
      <c r="AD322" s="96"/>
    </row>
    <row r="323">
      <c r="A323" s="190" t="s">
        <v>2417</v>
      </c>
      <c r="B323" s="103" t="s">
        <v>276</v>
      </c>
      <c r="C323" s="54" t="s">
        <v>277</v>
      </c>
      <c r="D323" s="66" t="s">
        <v>328</v>
      </c>
      <c r="E323" s="66" t="s">
        <v>2419</v>
      </c>
      <c r="F323" s="66">
        <v>3.1995794205E10</v>
      </c>
      <c r="G323" s="100">
        <v>46127.0</v>
      </c>
      <c r="H323" s="58">
        <v>0.4895833333333333</v>
      </c>
      <c r="I323" s="66" t="s">
        <v>2299</v>
      </c>
      <c r="J323" s="66" t="s">
        <v>692</v>
      </c>
      <c r="K323" s="66" t="s">
        <v>407</v>
      </c>
      <c r="L323" s="104" t="s">
        <v>2421</v>
      </c>
      <c r="M323" s="66" t="s">
        <v>1028</v>
      </c>
      <c r="N323" s="100"/>
      <c r="O323" s="55" t="str">
        <f t="shared" si="1"/>
        <v>SEM DATA APONTADA</v>
      </c>
      <c r="P323" s="66" t="s">
        <v>2422</v>
      </c>
      <c r="Q323" s="100">
        <v>46139.0</v>
      </c>
      <c r="R323" s="96"/>
      <c r="S323" s="96"/>
      <c r="T323" s="96"/>
      <c r="U323" s="96"/>
      <c r="V323" s="96"/>
      <c r="W323" s="96"/>
      <c r="X323" s="96"/>
      <c r="Y323" s="96"/>
      <c r="Z323" s="96"/>
      <c r="AA323" s="96"/>
      <c r="AB323" s="96"/>
      <c r="AC323" s="96"/>
      <c r="AD323" s="96"/>
    </row>
    <row r="324">
      <c r="A324" s="190" t="s">
        <v>1405</v>
      </c>
      <c r="B324" s="103" t="s">
        <v>276</v>
      </c>
      <c r="C324" s="54" t="s">
        <v>277</v>
      </c>
      <c r="D324" s="66" t="s">
        <v>271</v>
      </c>
      <c r="E324" s="66" t="s">
        <v>2153</v>
      </c>
      <c r="F324" s="66">
        <v>3.1999079375E11</v>
      </c>
      <c r="G324" s="100">
        <v>46127.0</v>
      </c>
      <c r="H324" s="58">
        <v>0.7083333333333334</v>
      </c>
      <c r="I324" s="66" t="s">
        <v>2299</v>
      </c>
      <c r="J324" s="66" t="s">
        <v>692</v>
      </c>
      <c r="K324" s="66" t="s">
        <v>407</v>
      </c>
      <c r="L324" s="104" t="s">
        <v>2425</v>
      </c>
      <c r="M324" s="66" t="s">
        <v>2414</v>
      </c>
      <c r="N324" s="178">
        <v>46129.0</v>
      </c>
      <c r="O324" s="62"/>
      <c r="P324" s="66" t="s">
        <v>2428</v>
      </c>
      <c r="Q324" s="100">
        <v>46129.0</v>
      </c>
      <c r="R324" s="96"/>
      <c r="S324" s="96"/>
      <c r="T324" s="96"/>
      <c r="U324" s="96"/>
      <c r="V324" s="96"/>
      <c r="W324" s="96"/>
      <c r="X324" s="96"/>
      <c r="Y324" s="96"/>
      <c r="Z324" s="96"/>
      <c r="AA324" s="96"/>
      <c r="AB324" s="96"/>
      <c r="AC324" s="96"/>
      <c r="AD324" s="96"/>
    </row>
    <row r="325">
      <c r="A325" s="190" t="s">
        <v>2430</v>
      </c>
      <c r="B325" s="103" t="s">
        <v>276</v>
      </c>
      <c r="C325" s="54" t="s">
        <v>277</v>
      </c>
      <c r="D325" s="66" t="s">
        <v>328</v>
      </c>
      <c r="E325" s="66" t="s">
        <v>2432</v>
      </c>
      <c r="F325" s="66">
        <v>3.1998221493E10</v>
      </c>
      <c r="G325" s="100">
        <v>46128.0</v>
      </c>
      <c r="H325" s="58">
        <v>0.6388888888888888</v>
      </c>
      <c r="I325" s="66" t="s">
        <v>2299</v>
      </c>
      <c r="J325" s="66" t="s">
        <v>473</v>
      </c>
      <c r="K325" s="66" t="s">
        <v>474</v>
      </c>
      <c r="L325" s="104" t="s">
        <v>2433</v>
      </c>
      <c r="M325" s="66"/>
      <c r="N325" s="100"/>
      <c r="O325" s="55" t="str">
        <f>IF(N325="","SEM DATA APONTADA",(IF(B325="FINALIZADO", "CONCLUÍDO",(IF(B325="ANALISADO", "ANALISADO",IF(N325&lt;TODAY(), "VENCIDO", IF(N325=TODAY(), "VENCE HOJE", IF(N325&lt;=TODAY()+5,"VENCENDO", "NO PRAZO"))))))))</f>
        <v>SEM DATA APONTADA</v>
      </c>
      <c r="P325" s="187" t="s">
        <v>2438</v>
      </c>
      <c r="Q325" s="100">
        <v>46128.0</v>
      </c>
      <c r="R325" s="96"/>
      <c r="S325" s="96"/>
      <c r="T325" s="96"/>
      <c r="U325" s="96"/>
      <c r="V325" s="96"/>
      <c r="W325" s="96"/>
      <c r="X325" s="96"/>
      <c r="Y325" s="96"/>
      <c r="Z325" s="96"/>
      <c r="AA325" s="96"/>
      <c r="AB325" s="96"/>
      <c r="AC325" s="96"/>
      <c r="AD325" s="96"/>
    </row>
    <row r="326">
      <c r="A326" s="190" t="s">
        <v>2439</v>
      </c>
      <c r="B326" s="103" t="s">
        <v>276</v>
      </c>
      <c r="C326" s="54" t="s">
        <v>277</v>
      </c>
      <c r="D326" s="66" t="s">
        <v>328</v>
      </c>
      <c r="E326" s="66" t="s">
        <v>2082</v>
      </c>
      <c r="F326" s="66">
        <v>3.1995083248E10</v>
      </c>
      <c r="G326" s="100">
        <v>46128.0</v>
      </c>
      <c r="H326" s="58">
        <v>0.48333333333333334</v>
      </c>
      <c r="I326" s="66" t="s">
        <v>2299</v>
      </c>
      <c r="J326" s="66" t="s">
        <v>473</v>
      </c>
      <c r="K326" s="66" t="s">
        <v>474</v>
      </c>
      <c r="L326" s="104" t="s">
        <v>2441</v>
      </c>
      <c r="M326" s="66"/>
      <c r="N326" s="100"/>
      <c r="O326" s="158">
        <v>46136.0</v>
      </c>
      <c r="P326" s="215" t="s">
        <v>2443</v>
      </c>
      <c r="Q326" s="158">
        <v>46136.0</v>
      </c>
      <c r="R326" s="96"/>
      <c r="S326" s="96"/>
      <c r="T326" s="96"/>
      <c r="U326" s="96"/>
      <c r="V326" s="96"/>
      <c r="W326" s="96"/>
      <c r="X326" s="96"/>
      <c r="Y326" s="96"/>
      <c r="Z326" s="96"/>
      <c r="AA326" s="96"/>
      <c r="AB326" s="96"/>
      <c r="AC326" s="96"/>
      <c r="AD326" s="96"/>
    </row>
    <row r="327">
      <c r="A327" s="190" t="s">
        <v>2445</v>
      </c>
      <c r="B327" s="103" t="s">
        <v>276</v>
      </c>
      <c r="C327" s="54" t="s">
        <v>277</v>
      </c>
      <c r="D327" s="66" t="s">
        <v>328</v>
      </c>
      <c r="E327" s="66" t="s">
        <v>708</v>
      </c>
      <c r="F327" s="66">
        <v>3.1998745002E10</v>
      </c>
      <c r="G327" s="100">
        <v>46129.0</v>
      </c>
      <c r="H327" s="58">
        <v>0.6236111111111111</v>
      </c>
      <c r="I327" s="66" t="s">
        <v>2299</v>
      </c>
      <c r="J327" s="66" t="s">
        <v>473</v>
      </c>
      <c r="K327" s="66" t="s">
        <v>474</v>
      </c>
      <c r="L327" s="104" t="s">
        <v>2448</v>
      </c>
      <c r="M327" s="66" t="s">
        <v>2450</v>
      </c>
      <c r="N327" s="100">
        <v>46139.0</v>
      </c>
      <c r="O327" s="55" t="str">
        <f t="shared" ref="O327:O480" si="5">IF(N327="","SEM DATA APONTADA",(IF(B327="FINALIZADO", "CONCLUÍDO",(IF(B327="ANALISADO", "ANALISADO",IF(N327&lt;TODAY(), "VENCIDO", IF(N327=TODAY(), "VENCE HOJE", IF(N327&lt;=TODAY()+5,"VENCENDO", "NO PRAZO"))))))))</f>
        <v>CONCLUÍDO</v>
      </c>
      <c r="P327" s="231" t="s">
        <v>2455</v>
      </c>
      <c r="Q327" s="100">
        <v>46139.0</v>
      </c>
      <c r="R327" s="96"/>
      <c r="S327" s="96"/>
      <c r="T327" s="96"/>
      <c r="U327" s="96"/>
      <c r="V327" s="96"/>
      <c r="W327" s="96"/>
      <c r="X327" s="96"/>
      <c r="Y327" s="96"/>
      <c r="Z327" s="96"/>
      <c r="AA327" s="96"/>
      <c r="AB327" s="96"/>
      <c r="AC327" s="96"/>
      <c r="AD327" s="96"/>
    </row>
    <row r="328">
      <c r="A328" s="190" t="s">
        <v>2462</v>
      </c>
      <c r="B328" s="103" t="s">
        <v>276</v>
      </c>
      <c r="C328" s="54" t="s">
        <v>277</v>
      </c>
      <c r="D328" s="66" t="s">
        <v>387</v>
      </c>
      <c r="E328" s="66" t="s">
        <v>2153</v>
      </c>
      <c r="F328" s="66">
        <v>3.1999079375E11</v>
      </c>
      <c r="G328" s="100">
        <v>46134.0</v>
      </c>
      <c r="H328" s="58">
        <v>0.46458333333333335</v>
      </c>
      <c r="I328" s="66" t="s">
        <v>2299</v>
      </c>
      <c r="J328" s="66" t="s">
        <v>692</v>
      </c>
      <c r="K328" s="66" t="s">
        <v>407</v>
      </c>
      <c r="L328" s="104" t="s">
        <v>2465</v>
      </c>
      <c r="M328" s="66"/>
      <c r="N328" s="100"/>
      <c r="O328" s="55" t="str">
        <f t="shared" si="5"/>
        <v>SEM DATA APONTADA</v>
      </c>
      <c r="P328" s="66" t="s">
        <v>2468</v>
      </c>
      <c r="Q328" s="100"/>
      <c r="R328" s="96"/>
      <c r="S328" s="96"/>
      <c r="T328" s="96"/>
      <c r="U328" s="96"/>
      <c r="V328" s="96"/>
      <c r="W328" s="96"/>
      <c r="X328" s="96"/>
      <c r="Y328" s="96"/>
      <c r="Z328" s="96"/>
      <c r="AA328" s="96"/>
      <c r="AB328" s="96"/>
      <c r="AC328" s="96"/>
      <c r="AD328" s="96"/>
    </row>
    <row r="329">
      <c r="A329" s="190" t="s">
        <v>2469</v>
      </c>
      <c r="B329" s="103" t="s">
        <v>276</v>
      </c>
      <c r="C329" s="54" t="s">
        <v>277</v>
      </c>
      <c r="D329" s="66" t="s">
        <v>328</v>
      </c>
      <c r="E329" s="66" t="s">
        <v>2082</v>
      </c>
      <c r="F329" s="66">
        <v>3.1995083248E10</v>
      </c>
      <c r="G329" s="100">
        <v>46135.0</v>
      </c>
      <c r="H329" s="58">
        <v>0.3638888888888889</v>
      </c>
      <c r="I329" s="66" t="s">
        <v>889</v>
      </c>
      <c r="J329" s="66" t="s">
        <v>473</v>
      </c>
      <c r="K329" s="66" t="s">
        <v>474</v>
      </c>
      <c r="L329" s="104" t="s">
        <v>2472</v>
      </c>
      <c r="M329" s="66"/>
      <c r="N329" s="100">
        <v>46136.0</v>
      </c>
      <c r="O329" s="55" t="str">
        <f t="shared" si="5"/>
        <v>CONCLUÍDO</v>
      </c>
      <c r="P329" s="231" t="s">
        <v>2473</v>
      </c>
      <c r="Q329" s="100">
        <v>46136.0</v>
      </c>
      <c r="R329" s="96"/>
      <c r="S329" s="96"/>
      <c r="T329" s="96"/>
      <c r="U329" s="96"/>
      <c r="V329" s="96"/>
      <c r="W329" s="96"/>
      <c r="X329" s="96"/>
      <c r="Y329" s="96"/>
      <c r="Z329" s="96"/>
      <c r="AA329" s="96"/>
      <c r="AB329" s="96"/>
      <c r="AC329" s="96"/>
      <c r="AD329" s="96"/>
    </row>
    <row r="330">
      <c r="A330" s="190" t="s">
        <v>2476</v>
      </c>
      <c r="B330" s="103" t="s">
        <v>276</v>
      </c>
      <c r="C330" s="54" t="s">
        <v>277</v>
      </c>
      <c r="D330" s="66" t="s">
        <v>328</v>
      </c>
      <c r="E330" s="66" t="s">
        <v>2477</v>
      </c>
      <c r="F330" s="66" t="s">
        <v>2478</v>
      </c>
      <c r="G330" s="100">
        <v>46137.0</v>
      </c>
      <c r="H330" s="58">
        <v>0.30416666666666664</v>
      </c>
      <c r="I330" s="66" t="s">
        <v>2299</v>
      </c>
      <c r="J330" s="66" t="s">
        <v>277</v>
      </c>
      <c r="K330" s="66" t="s">
        <v>314</v>
      </c>
      <c r="L330" s="104" t="s">
        <v>2480</v>
      </c>
      <c r="M330" s="66"/>
      <c r="N330" s="100">
        <v>46137.0</v>
      </c>
      <c r="O330" s="55" t="str">
        <f t="shared" si="5"/>
        <v>CONCLUÍDO</v>
      </c>
      <c r="P330" s="104" t="s">
        <v>2482</v>
      </c>
      <c r="Q330" s="100">
        <v>46137.0</v>
      </c>
      <c r="R330" s="96"/>
      <c r="S330" s="96"/>
      <c r="T330" s="96"/>
      <c r="U330" s="96"/>
      <c r="V330" s="96"/>
      <c r="W330" s="96"/>
      <c r="X330" s="96"/>
      <c r="Y330" s="96"/>
      <c r="Z330" s="96"/>
      <c r="AA330" s="96"/>
      <c r="AB330" s="96"/>
      <c r="AC330" s="96"/>
      <c r="AD330" s="96"/>
    </row>
    <row r="331">
      <c r="A331" s="190" t="s">
        <v>2484</v>
      </c>
      <c r="B331" s="103" t="s">
        <v>276</v>
      </c>
      <c r="C331" s="54" t="s">
        <v>277</v>
      </c>
      <c r="D331" s="66" t="s">
        <v>328</v>
      </c>
      <c r="E331" s="66" t="s">
        <v>2477</v>
      </c>
      <c r="F331" s="66" t="s">
        <v>2485</v>
      </c>
      <c r="G331" s="100">
        <v>46137.0</v>
      </c>
      <c r="H331" s="58">
        <v>0.5256944444444445</v>
      </c>
      <c r="I331" s="66" t="s">
        <v>1749</v>
      </c>
      <c r="J331" s="66" t="s">
        <v>473</v>
      </c>
      <c r="K331" s="66" t="s">
        <v>474</v>
      </c>
      <c r="L331" s="104" t="s">
        <v>2488</v>
      </c>
      <c r="M331" s="66"/>
      <c r="N331" s="66" t="s">
        <v>2489</v>
      </c>
      <c r="O331" s="55" t="str">
        <f t="shared" si="5"/>
        <v>CONCLUÍDO</v>
      </c>
      <c r="P331" s="105" t="s">
        <v>2491</v>
      </c>
      <c r="Q331" s="178">
        <v>46139.0</v>
      </c>
      <c r="R331" s="96"/>
      <c r="S331" s="96"/>
      <c r="T331" s="96"/>
      <c r="U331" s="96"/>
      <c r="V331" s="96"/>
      <c r="W331" s="96"/>
      <c r="X331" s="96"/>
      <c r="Y331" s="96"/>
      <c r="Z331" s="96"/>
      <c r="AA331" s="96"/>
      <c r="AB331" s="96"/>
      <c r="AC331" s="96"/>
      <c r="AD331" s="96"/>
    </row>
    <row r="332">
      <c r="A332" s="190" t="s">
        <v>2493</v>
      </c>
      <c r="B332" s="103" t="s">
        <v>276</v>
      </c>
      <c r="C332" s="54" t="s">
        <v>277</v>
      </c>
      <c r="D332" s="66" t="s">
        <v>328</v>
      </c>
      <c r="E332" s="66" t="s">
        <v>2160</v>
      </c>
      <c r="F332" s="66" t="s">
        <v>2494</v>
      </c>
      <c r="G332" s="100">
        <v>46140.0</v>
      </c>
      <c r="H332" s="58">
        <v>0.38055555555555554</v>
      </c>
      <c r="I332" s="66" t="s">
        <v>2299</v>
      </c>
      <c r="J332" s="66" t="s">
        <v>473</v>
      </c>
      <c r="K332" s="66" t="s">
        <v>474</v>
      </c>
      <c r="L332" s="104" t="s">
        <v>2497</v>
      </c>
      <c r="M332" s="66" t="s">
        <v>2499</v>
      </c>
      <c r="N332" s="100">
        <v>46142.0</v>
      </c>
      <c r="O332" s="55" t="str">
        <f t="shared" si="5"/>
        <v>CONCLUÍDO</v>
      </c>
      <c r="P332" s="232" t="s">
        <v>2500</v>
      </c>
      <c r="Q332" s="100">
        <v>46148.0</v>
      </c>
      <c r="R332" s="96"/>
      <c r="S332" s="96"/>
      <c r="T332" s="96"/>
      <c r="U332" s="96"/>
      <c r="V332" s="96"/>
      <c r="W332" s="96"/>
      <c r="X332" s="96"/>
      <c r="Y332" s="96"/>
      <c r="Z332" s="96"/>
      <c r="AA332" s="96"/>
      <c r="AB332" s="96"/>
      <c r="AC332" s="96"/>
      <c r="AD332" s="96"/>
    </row>
    <row r="333">
      <c r="A333" s="190" t="s">
        <v>2505</v>
      </c>
      <c r="B333" s="103" t="s">
        <v>276</v>
      </c>
      <c r="C333" s="54" t="s">
        <v>277</v>
      </c>
      <c r="D333" s="66" t="s">
        <v>271</v>
      </c>
      <c r="E333" s="66" t="s">
        <v>2153</v>
      </c>
      <c r="F333" s="66" t="s">
        <v>2507</v>
      </c>
      <c r="G333" s="100">
        <v>46140.0</v>
      </c>
      <c r="H333" s="58">
        <v>0.46458333333333335</v>
      </c>
      <c r="I333" s="66" t="s">
        <v>2299</v>
      </c>
      <c r="J333" s="66" t="s">
        <v>692</v>
      </c>
      <c r="K333" s="66" t="s">
        <v>407</v>
      </c>
      <c r="L333" s="104" t="s">
        <v>2509</v>
      </c>
      <c r="M333" s="66"/>
      <c r="N333" s="100">
        <v>46142.0</v>
      </c>
      <c r="O333" s="55" t="str">
        <f t="shared" si="5"/>
        <v>CONCLUÍDO</v>
      </c>
      <c r="P333" s="66" t="s">
        <v>2511</v>
      </c>
      <c r="Q333" s="100"/>
      <c r="R333" s="96"/>
      <c r="S333" s="96"/>
      <c r="T333" s="96"/>
      <c r="U333" s="96"/>
      <c r="V333" s="96"/>
      <c r="W333" s="96"/>
      <c r="X333" s="96"/>
      <c r="Y333" s="96"/>
      <c r="Z333" s="96"/>
      <c r="AA333" s="96"/>
      <c r="AB333" s="96"/>
      <c r="AC333" s="96"/>
      <c r="AD333" s="96"/>
    </row>
    <row r="334">
      <c r="A334" s="190" t="s">
        <v>2512</v>
      </c>
      <c r="B334" s="103" t="s">
        <v>276</v>
      </c>
      <c r="C334" s="54" t="s">
        <v>277</v>
      </c>
      <c r="D334" s="66" t="s">
        <v>328</v>
      </c>
      <c r="E334" s="66" t="s">
        <v>2069</v>
      </c>
      <c r="F334" s="66" t="s">
        <v>2514</v>
      </c>
      <c r="G334" s="100">
        <v>46140.0</v>
      </c>
      <c r="H334" s="62" t="s">
        <v>2515</v>
      </c>
      <c r="I334" s="66" t="s">
        <v>2313</v>
      </c>
      <c r="J334" s="66" t="s">
        <v>473</v>
      </c>
      <c r="K334" s="66" t="s">
        <v>474</v>
      </c>
      <c r="L334" s="104" t="s">
        <v>2518</v>
      </c>
      <c r="M334" s="66" t="s">
        <v>2519</v>
      </c>
      <c r="N334" s="100">
        <v>46146.0</v>
      </c>
      <c r="O334" s="55" t="str">
        <f t="shared" si="5"/>
        <v>CONCLUÍDO</v>
      </c>
      <c r="P334" s="105"/>
      <c r="Q334" s="100"/>
      <c r="R334" s="96"/>
      <c r="S334" s="96"/>
      <c r="T334" s="96"/>
      <c r="U334" s="96"/>
      <c r="V334" s="96"/>
      <c r="W334" s="96"/>
      <c r="X334" s="96"/>
      <c r="Y334" s="96"/>
      <c r="Z334" s="96"/>
      <c r="AA334" s="96"/>
      <c r="AB334" s="96"/>
      <c r="AC334" s="96"/>
      <c r="AD334" s="96"/>
    </row>
    <row r="335">
      <c r="A335" s="190" t="s">
        <v>2521</v>
      </c>
      <c r="B335" s="103" t="s">
        <v>276</v>
      </c>
      <c r="C335" s="54" t="s">
        <v>277</v>
      </c>
      <c r="D335" s="66" t="s">
        <v>328</v>
      </c>
      <c r="E335" s="66" t="s">
        <v>1256</v>
      </c>
      <c r="F335" s="66" t="s">
        <v>2522</v>
      </c>
      <c r="G335" s="100">
        <v>46141.0</v>
      </c>
      <c r="H335" s="58">
        <v>0.36944444444444446</v>
      </c>
      <c r="I335" s="66" t="s">
        <v>1749</v>
      </c>
      <c r="J335" s="66" t="s">
        <v>473</v>
      </c>
      <c r="K335" s="66" t="s">
        <v>474</v>
      </c>
      <c r="L335" s="104" t="s">
        <v>2524</v>
      </c>
      <c r="M335" s="66" t="s">
        <v>2525</v>
      </c>
      <c r="N335" s="100">
        <v>46147.0</v>
      </c>
      <c r="O335" s="55" t="str">
        <f t="shared" si="5"/>
        <v>CONCLUÍDO</v>
      </c>
      <c r="P335" s="105" t="s">
        <v>2527</v>
      </c>
      <c r="Q335" s="100">
        <v>46156.0</v>
      </c>
      <c r="R335" s="96"/>
      <c r="S335" s="96"/>
      <c r="T335" s="96"/>
      <c r="U335" s="96"/>
      <c r="V335" s="96"/>
      <c r="W335" s="96"/>
      <c r="X335" s="96"/>
      <c r="Y335" s="96"/>
      <c r="Z335" s="96"/>
      <c r="AA335" s="96"/>
      <c r="AB335" s="96"/>
      <c r="AC335" s="96"/>
      <c r="AD335" s="96"/>
    </row>
    <row r="336">
      <c r="A336" s="190" t="s">
        <v>2528</v>
      </c>
      <c r="B336" s="103" t="s">
        <v>276</v>
      </c>
      <c r="C336" s="54" t="s">
        <v>277</v>
      </c>
      <c r="D336" s="66" t="s">
        <v>328</v>
      </c>
      <c r="E336" s="66" t="s">
        <v>2531</v>
      </c>
      <c r="F336" s="66" t="s">
        <v>2532</v>
      </c>
      <c r="G336" s="100">
        <v>46141.0</v>
      </c>
      <c r="H336" s="58">
        <v>0.38263888888888886</v>
      </c>
      <c r="I336" s="66" t="s">
        <v>2313</v>
      </c>
      <c r="J336" s="66" t="s">
        <v>473</v>
      </c>
      <c r="K336" s="66" t="s">
        <v>474</v>
      </c>
      <c r="L336" s="104" t="s">
        <v>2534</v>
      </c>
      <c r="M336" s="66"/>
      <c r="N336" s="100">
        <v>46147.0</v>
      </c>
      <c r="O336" s="55" t="str">
        <f t="shared" si="5"/>
        <v>CONCLUÍDO</v>
      </c>
      <c r="P336" s="233" t="s">
        <v>2536</v>
      </c>
      <c r="Q336" s="100">
        <v>46142.0</v>
      </c>
      <c r="R336" s="96"/>
      <c r="S336" s="96"/>
      <c r="T336" s="96"/>
      <c r="U336" s="96"/>
      <c r="V336" s="96"/>
      <c r="W336" s="96"/>
      <c r="X336" s="96"/>
      <c r="Y336" s="96"/>
      <c r="Z336" s="96"/>
      <c r="AA336" s="96"/>
      <c r="AB336" s="96"/>
      <c r="AC336" s="96"/>
      <c r="AD336" s="96"/>
    </row>
    <row r="337">
      <c r="A337" s="190" t="s">
        <v>2538</v>
      </c>
      <c r="B337" s="103" t="s">
        <v>765</v>
      </c>
      <c r="C337" s="54" t="s">
        <v>277</v>
      </c>
      <c r="D337" s="66" t="s">
        <v>328</v>
      </c>
      <c r="E337" s="66" t="s">
        <v>515</v>
      </c>
      <c r="F337" s="66" t="s">
        <v>2539</v>
      </c>
      <c r="G337" s="100">
        <v>46141.0</v>
      </c>
      <c r="H337" s="58">
        <v>0.40208333333333335</v>
      </c>
      <c r="I337" s="66" t="s">
        <v>2313</v>
      </c>
      <c r="J337" s="66" t="s">
        <v>1425</v>
      </c>
      <c r="K337" s="66" t="s">
        <v>1930</v>
      </c>
      <c r="L337" s="104" t="s">
        <v>2542</v>
      </c>
      <c r="M337" s="66"/>
      <c r="N337" s="100"/>
      <c r="O337" s="55" t="str">
        <f t="shared" si="5"/>
        <v>SEM DATA APONTADA</v>
      </c>
      <c r="P337" s="105"/>
      <c r="Q337" s="100"/>
      <c r="R337" s="96"/>
      <c r="S337" s="96"/>
      <c r="T337" s="96"/>
      <c r="U337" s="96"/>
      <c r="V337" s="96"/>
      <c r="W337" s="96"/>
      <c r="X337" s="96"/>
      <c r="Y337" s="96"/>
      <c r="Z337" s="96"/>
      <c r="AA337" s="96"/>
      <c r="AB337" s="96"/>
      <c r="AC337" s="96"/>
      <c r="AD337" s="96"/>
    </row>
    <row r="338">
      <c r="A338" s="190" t="s">
        <v>2545</v>
      </c>
      <c r="B338" s="103" t="s">
        <v>276</v>
      </c>
      <c r="C338" s="54" t="s">
        <v>277</v>
      </c>
      <c r="D338" s="66" t="s">
        <v>328</v>
      </c>
      <c r="E338" s="66" t="s">
        <v>1493</v>
      </c>
      <c r="F338" s="66" t="s">
        <v>2546</v>
      </c>
      <c r="G338" s="100">
        <v>46141.0</v>
      </c>
      <c r="H338" s="58">
        <v>0.44583333333333336</v>
      </c>
      <c r="I338" s="66" t="s">
        <v>889</v>
      </c>
      <c r="J338" s="66" t="s">
        <v>473</v>
      </c>
      <c r="K338" s="66" t="s">
        <v>474</v>
      </c>
      <c r="L338" s="104" t="s">
        <v>2549</v>
      </c>
      <c r="M338" s="66"/>
      <c r="N338" s="100">
        <v>46147.0</v>
      </c>
      <c r="O338" s="55" t="str">
        <f t="shared" si="5"/>
        <v>CONCLUÍDO</v>
      </c>
      <c r="P338" s="105" t="s">
        <v>2550</v>
      </c>
      <c r="Q338" s="100">
        <v>46142.0</v>
      </c>
      <c r="R338" s="96"/>
      <c r="S338" s="96"/>
      <c r="T338" s="96"/>
      <c r="U338" s="96"/>
      <c r="V338" s="96"/>
      <c r="W338" s="96"/>
      <c r="X338" s="96"/>
      <c r="Y338" s="96"/>
      <c r="Z338" s="96"/>
      <c r="AA338" s="96"/>
      <c r="AB338" s="96"/>
      <c r="AC338" s="96"/>
      <c r="AD338" s="96"/>
    </row>
    <row r="339">
      <c r="A339" s="190" t="s">
        <v>2552</v>
      </c>
      <c r="B339" s="103" t="s">
        <v>276</v>
      </c>
      <c r="C339" s="54" t="s">
        <v>277</v>
      </c>
      <c r="D339" s="66" t="s">
        <v>328</v>
      </c>
      <c r="E339" s="66" t="s">
        <v>1315</v>
      </c>
      <c r="F339" s="66" t="s">
        <v>2553</v>
      </c>
      <c r="G339" s="100">
        <v>46146.0</v>
      </c>
      <c r="H339" s="58">
        <v>0.4215277777777778</v>
      </c>
      <c r="I339" s="66" t="s">
        <v>889</v>
      </c>
      <c r="J339" s="66" t="s">
        <v>473</v>
      </c>
      <c r="K339" s="66" t="s">
        <v>474</v>
      </c>
      <c r="L339" s="104" t="s">
        <v>2555</v>
      </c>
      <c r="M339" s="66" t="s">
        <v>2557</v>
      </c>
      <c r="N339" s="100">
        <v>46152.0</v>
      </c>
      <c r="O339" s="55" t="str">
        <f t="shared" si="5"/>
        <v>CONCLUÍDO</v>
      </c>
      <c r="P339" s="105" t="s">
        <v>2558</v>
      </c>
      <c r="Q339" s="100">
        <v>46154.0</v>
      </c>
      <c r="R339" s="96"/>
      <c r="S339" s="96"/>
      <c r="T339" s="96"/>
      <c r="U339" s="96"/>
      <c r="V339" s="96"/>
      <c r="W339" s="96"/>
      <c r="X339" s="96"/>
      <c r="Y339" s="96"/>
      <c r="Z339" s="96"/>
      <c r="AA339" s="96"/>
      <c r="AB339" s="96"/>
      <c r="AC339" s="96"/>
      <c r="AD339" s="96"/>
    </row>
    <row r="340">
      <c r="A340" s="190" t="s">
        <v>2560</v>
      </c>
      <c r="B340" s="103" t="s">
        <v>276</v>
      </c>
      <c r="C340" s="54" t="s">
        <v>277</v>
      </c>
      <c r="D340" s="66" t="s">
        <v>378</v>
      </c>
      <c r="E340" s="66" t="s">
        <v>1815</v>
      </c>
      <c r="F340" s="66" t="s">
        <v>2562</v>
      </c>
      <c r="G340" s="100">
        <v>46146.0</v>
      </c>
      <c r="H340" s="58">
        <v>0.44166666666666665</v>
      </c>
      <c r="I340" s="66" t="s">
        <v>2313</v>
      </c>
      <c r="J340" s="66" t="s">
        <v>277</v>
      </c>
      <c r="K340" s="66" t="s">
        <v>314</v>
      </c>
      <c r="L340" s="104" t="s">
        <v>2564</v>
      </c>
      <c r="M340" s="66" t="s">
        <v>2565</v>
      </c>
      <c r="N340" s="100">
        <v>46152.0</v>
      </c>
      <c r="O340" s="55" t="str">
        <f t="shared" si="5"/>
        <v>CONCLUÍDO</v>
      </c>
      <c r="P340" s="66" t="s">
        <v>2566</v>
      </c>
      <c r="Q340" s="100">
        <v>46146.0</v>
      </c>
      <c r="R340" s="96"/>
      <c r="S340" s="96"/>
      <c r="T340" s="96"/>
      <c r="U340" s="96"/>
      <c r="V340" s="96"/>
      <c r="W340" s="96"/>
      <c r="X340" s="96"/>
      <c r="Y340" s="96"/>
      <c r="Z340" s="96"/>
      <c r="AA340" s="96"/>
      <c r="AB340" s="96"/>
      <c r="AC340" s="96"/>
      <c r="AD340" s="96"/>
    </row>
    <row r="341">
      <c r="A341" s="190" t="s">
        <v>2568</v>
      </c>
      <c r="B341" s="103" t="s">
        <v>276</v>
      </c>
      <c r="C341" s="54" t="s">
        <v>277</v>
      </c>
      <c r="D341" s="66" t="s">
        <v>328</v>
      </c>
      <c r="E341" s="66" t="s">
        <v>2082</v>
      </c>
      <c r="F341" s="66" t="s">
        <v>2569</v>
      </c>
      <c r="G341" s="100">
        <v>46146.0</v>
      </c>
      <c r="H341" s="58">
        <v>0.6034722222222222</v>
      </c>
      <c r="I341" s="66" t="s">
        <v>2299</v>
      </c>
      <c r="J341" s="66" t="s">
        <v>473</v>
      </c>
      <c r="K341" s="66" t="s">
        <v>474</v>
      </c>
      <c r="L341" s="104" t="s">
        <v>2572</v>
      </c>
      <c r="M341" s="66" t="s">
        <v>2574</v>
      </c>
      <c r="N341" s="100">
        <v>46152.0</v>
      </c>
      <c r="O341" s="55" t="str">
        <f t="shared" si="5"/>
        <v>CONCLUÍDO</v>
      </c>
      <c r="P341" s="234" t="s">
        <v>2575</v>
      </c>
      <c r="Q341" s="100">
        <v>46154.0</v>
      </c>
      <c r="R341" s="96"/>
      <c r="S341" s="96"/>
      <c r="T341" s="96"/>
      <c r="U341" s="96"/>
      <c r="V341" s="96"/>
      <c r="W341" s="96"/>
      <c r="X341" s="96"/>
      <c r="Y341" s="96"/>
      <c r="Z341" s="96"/>
      <c r="AA341" s="96"/>
      <c r="AB341" s="96"/>
      <c r="AC341" s="96"/>
      <c r="AD341" s="96"/>
    </row>
    <row r="342">
      <c r="A342" s="190" t="s">
        <v>2578</v>
      </c>
      <c r="B342" s="103" t="s">
        <v>276</v>
      </c>
      <c r="C342" s="54" t="s">
        <v>277</v>
      </c>
      <c r="D342" s="66" t="s">
        <v>328</v>
      </c>
      <c r="E342" s="66" t="s">
        <v>708</v>
      </c>
      <c r="F342" s="66" t="s">
        <v>2581</v>
      </c>
      <c r="G342" s="100">
        <v>46147.0</v>
      </c>
      <c r="H342" s="58">
        <v>0.3854166666666667</v>
      </c>
      <c r="I342" s="66" t="s">
        <v>2313</v>
      </c>
      <c r="J342" s="66" t="s">
        <v>473</v>
      </c>
      <c r="K342" s="66" t="s">
        <v>474</v>
      </c>
      <c r="L342" s="104" t="s">
        <v>2583</v>
      </c>
      <c r="M342" s="66" t="s">
        <v>2584</v>
      </c>
      <c r="N342" s="100">
        <v>46152.0</v>
      </c>
      <c r="O342" s="55" t="str">
        <f t="shared" si="5"/>
        <v>CONCLUÍDO</v>
      </c>
      <c r="P342" s="105" t="s">
        <v>2585</v>
      </c>
      <c r="Q342" s="100">
        <v>46154.0</v>
      </c>
      <c r="R342" s="96"/>
      <c r="S342" s="96"/>
      <c r="T342" s="96"/>
      <c r="U342" s="96"/>
      <c r="V342" s="96"/>
      <c r="W342" s="96"/>
      <c r="X342" s="96"/>
      <c r="Y342" s="96"/>
      <c r="Z342" s="96"/>
      <c r="AA342" s="96"/>
      <c r="AB342" s="96"/>
      <c r="AC342" s="96"/>
      <c r="AD342" s="96"/>
    </row>
    <row r="343">
      <c r="A343" s="190" t="s">
        <v>2512</v>
      </c>
      <c r="B343" s="103" t="s">
        <v>276</v>
      </c>
      <c r="C343" s="54" t="s">
        <v>277</v>
      </c>
      <c r="D343" s="66" t="s">
        <v>328</v>
      </c>
      <c r="E343" s="66" t="s">
        <v>605</v>
      </c>
      <c r="F343" s="66" t="s">
        <v>2588</v>
      </c>
      <c r="G343" s="100">
        <v>46148.0</v>
      </c>
      <c r="H343" s="58">
        <v>0.48819444444444443</v>
      </c>
      <c r="I343" s="66" t="s">
        <v>889</v>
      </c>
      <c r="J343" s="66" t="s">
        <v>473</v>
      </c>
      <c r="K343" s="66" t="s">
        <v>474</v>
      </c>
      <c r="L343" s="104" t="s">
        <v>2591</v>
      </c>
      <c r="M343" s="66" t="s">
        <v>2592</v>
      </c>
      <c r="N343" s="100">
        <v>46157.0</v>
      </c>
      <c r="O343" s="55" t="str">
        <f t="shared" si="5"/>
        <v>CONCLUÍDO</v>
      </c>
      <c r="P343" s="233" t="s">
        <v>2594</v>
      </c>
      <c r="Q343" s="100">
        <v>46157.0</v>
      </c>
      <c r="R343" s="96"/>
      <c r="S343" s="96"/>
      <c r="T343" s="96"/>
      <c r="U343" s="96"/>
      <c r="V343" s="96"/>
      <c r="W343" s="96"/>
      <c r="X343" s="96"/>
      <c r="Y343" s="96"/>
      <c r="Z343" s="96"/>
      <c r="AA343" s="96"/>
      <c r="AB343" s="96"/>
      <c r="AC343" s="96"/>
      <c r="AD343" s="96"/>
    </row>
    <row r="344">
      <c r="A344" s="190" t="s">
        <v>2521</v>
      </c>
      <c r="B344" s="103" t="s">
        <v>765</v>
      </c>
      <c r="C344" s="54" t="s">
        <v>570</v>
      </c>
      <c r="D344" s="66" t="s">
        <v>642</v>
      </c>
      <c r="E344" s="66" t="s">
        <v>646</v>
      </c>
      <c r="F344" s="66" t="s">
        <v>648</v>
      </c>
      <c r="G344" s="100">
        <v>46150.0</v>
      </c>
      <c r="H344" s="58">
        <v>0.7118055555555556</v>
      </c>
      <c r="I344" s="66" t="s">
        <v>889</v>
      </c>
      <c r="J344" s="66" t="s">
        <v>277</v>
      </c>
      <c r="K344" s="66" t="s">
        <v>2258</v>
      </c>
      <c r="L344" s="104" t="s">
        <v>2597</v>
      </c>
      <c r="M344" s="66" t="s">
        <v>2598</v>
      </c>
      <c r="N344" s="100"/>
      <c r="O344" s="55" t="str">
        <f t="shared" si="5"/>
        <v>SEM DATA APONTADA</v>
      </c>
      <c r="P344" s="105"/>
      <c r="Q344" s="100"/>
      <c r="R344" s="96"/>
      <c r="S344" s="96"/>
      <c r="T344" s="96"/>
      <c r="U344" s="96"/>
      <c r="V344" s="96"/>
      <c r="W344" s="96"/>
      <c r="X344" s="96"/>
      <c r="Y344" s="96"/>
      <c r="Z344" s="96"/>
      <c r="AA344" s="96"/>
      <c r="AB344" s="96"/>
      <c r="AC344" s="96"/>
      <c r="AD344" s="96"/>
    </row>
    <row r="345">
      <c r="A345" s="190" t="s">
        <v>2528</v>
      </c>
      <c r="B345" s="103" t="s">
        <v>2600</v>
      </c>
      <c r="C345" s="54" t="s">
        <v>277</v>
      </c>
      <c r="D345" s="66" t="s">
        <v>378</v>
      </c>
      <c r="E345" s="66" t="s">
        <v>676</v>
      </c>
      <c r="F345" s="66" t="s">
        <v>2601</v>
      </c>
      <c r="G345" s="100">
        <v>46154.0</v>
      </c>
      <c r="H345" s="58">
        <v>0.6388888888888888</v>
      </c>
      <c r="I345" s="66" t="s">
        <v>2313</v>
      </c>
      <c r="J345" s="66" t="s">
        <v>692</v>
      </c>
      <c r="K345" s="66" t="s">
        <v>407</v>
      </c>
      <c r="L345" s="104" t="s">
        <v>2603</v>
      </c>
      <c r="M345" s="66" t="s">
        <v>2604</v>
      </c>
      <c r="N345" s="100"/>
      <c r="O345" s="55" t="str">
        <f t="shared" si="5"/>
        <v>SEM DATA APONTADA</v>
      </c>
      <c r="P345" s="215" t="s">
        <v>2606</v>
      </c>
      <c r="Q345" s="100">
        <v>46182.0</v>
      </c>
      <c r="R345" s="96"/>
      <c r="S345" s="96"/>
      <c r="T345" s="96"/>
      <c r="U345" s="96"/>
      <c r="V345" s="96"/>
      <c r="W345" s="96"/>
      <c r="X345" s="96"/>
      <c r="Y345" s="96"/>
      <c r="Z345" s="96"/>
      <c r="AA345" s="96"/>
      <c r="AB345" s="96"/>
      <c r="AC345" s="96"/>
      <c r="AD345" s="96"/>
    </row>
    <row r="346">
      <c r="A346" s="190" t="s">
        <v>2538</v>
      </c>
      <c r="B346" s="103" t="s">
        <v>276</v>
      </c>
      <c r="C346" s="54" t="s">
        <v>570</v>
      </c>
      <c r="D346" s="66" t="s">
        <v>715</v>
      </c>
      <c r="E346" s="66" t="s">
        <v>718</v>
      </c>
      <c r="F346" s="66" t="s">
        <v>2608</v>
      </c>
      <c r="G346" s="100">
        <v>46155.0</v>
      </c>
      <c r="H346" s="58">
        <v>0.4444444444444444</v>
      </c>
      <c r="I346" s="66" t="s">
        <v>889</v>
      </c>
      <c r="J346" s="66" t="s">
        <v>277</v>
      </c>
      <c r="K346" s="66" t="s">
        <v>2258</v>
      </c>
      <c r="L346" s="104" t="s">
        <v>2609</v>
      </c>
      <c r="M346" s="66" t="s">
        <v>2611</v>
      </c>
      <c r="N346" s="100">
        <v>46155.0</v>
      </c>
      <c r="O346" s="55" t="str">
        <f t="shared" si="5"/>
        <v>CONCLUÍDO</v>
      </c>
      <c r="P346" s="105" t="s">
        <v>2612</v>
      </c>
      <c r="Q346" s="100">
        <v>46155.0</v>
      </c>
      <c r="R346" s="96"/>
      <c r="S346" s="96"/>
      <c r="T346" s="96"/>
      <c r="U346" s="96"/>
      <c r="V346" s="96"/>
      <c r="W346" s="96"/>
      <c r="X346" s="96"/>
      <c r="Y346" s="96"/>
      <c r="Z346" s="96"/>
      <c r="AA346" s="96"/>
      <c r="AB346" s="96"/>
      <c r="AC346" s="96"/>
      <c r="AD346" s="96"/>
    </row>
    <row r="347">
      <c r="A347" s="190" t="s">
        <v>2545</v>
      </c>
      <c r="B347" s="103" t="s">
        <v>276</v>
      </c>
      <c r="C347" s="54" t="s">
        <v>570</v>
      </c>
      <c r="D347" s="66" t="s">
        <v>715</v>
      </c>
      <c r="E347" s="66" t="s">
        <v>718</v>
      </c>
      <c r="F347" s="66" t="s">
        <v>2608</v>
      </c>
      <c r="G347" s="100">
        <v>46155.0</v>
      </c>
      <c r="H347" s="58">
        <v>0.4444444444444444</v>
      </c>
      <c r="I347" s="66" t="s">
        <v>889</v>
      </c>
      <c r="J347" s="66" t="s">
        <v>277</v>
      </c>
      <c r="K347" s="66" t="s">
        <v>2258</v>
      </c>
      <c r="L347" s="104" t="s">
        <v>2609</v>
      </c>
      <c r="M347" s="66" t="s">
        <v>2614</v>
      </c>
      <c r="N347" s="100">
        <v>46155.0</v>
      </c>
      <c r="O347" s="55" t="str">
        <f t="shared" si="5"/>
        <v>CONCLUÍDO</v>
      </c>
      <c r="P347" s="105" t="s">
        <v>2612</v>
      </c>
      <c r="Q347" s="100">
        <v>46155.0</v>
      </c>
      <c r="R347" s="96"/>
      <c r="S347" s="96"/>
      <c r="T347" s="96"/>
      <c r="U347" s="96"/>
      <c r="V347" s="96"/>
      <c r="W347" s="96"/>
      <c r="X347" s="96"/>
      <c r="Y347" s="96"/>
      <c r="Z347" s="96"/>
      <c r="AA347" s="96"/>
      <c r="AB347" s="96"/>
      <c r="AC347" s="96"/>
      <c r="AD347" s="96"/>
    </row>
    <row r="348">
      <c r="A348" s="190" t="s">
        <v>2552</v>
      </c>
      <c r="B348" s="103" t="s">
        <v>276</v>
      </c>
      <c r="C348" s="54" t="s">
        <v>277</v>
      </c>
      <c r="D348" s="66" t="s">
        <v>328</v>
      </c>
      <c r="E348" s="66" t="s">
        <v>605</v>
      </c>
      <c r="F348" s="100"/>
      <c r="G348" s="100">
        <v>46156.0</v>
      </c>
      <c r="H348" s="58">
        <v>0.47291666666666665</v>
      </c>
      <c r="I348" s="66" t="s">
        <v>2299</v>
      </c>
      <c r="J348" s="66" t="s">
        <v>473</v>
      </c>
      <c r="K348" s="66" t="s">
        <v>474</v>
      </c>
      <c r="L348" s="104" t="s">
        <v>2618</v>
      </c>
      <c r="M348" s="66" t="s">
        <v>2620</v>
      </c>
      <c r="N348" s="100">
        <v>6693575.0</v>
      </c>
      <c r="O348" s="55" t="str">
        <f t="shared" si="5"/>
        <v>CONCLUÍDO</v>
      </c>
      <c r="P348" s="105" t="s">
        <v>2621</v>
      </c>
      <c r="Q348" s="100">
        <v>46162.0</v>
      </c>
      <c r="R348" s="96"/>
      <c r="S348" s="96"/>
      <c r="T348" s="96"/>
      <c r="U348" s="96"/>
      <c r="V348" s="96"/>
      <c r="W348" s="96"/>
      <c r="X348" s="96"/>
      <c r="Y348" s="96"/>
      <c r="Z348" s="96"/>
      <c r="AA348" s="96"/>
      <c r="AB348" s="96"/>
      <c r="AC348" s="96"/>
      <c r="AD348" s="96"/>
    </row>
    <row r="349">
      <c r="A349" s="190" t="s">
        <v>2560</v>
      </c>
      <c r="B349" s="103" t="s">
        <v>2600</v>
      </c>
      <c r="C349" s="54" t="s">
        <v>2624</v>
      </c>
      <c r="D349" s="66" t="s">
        <v>328</v>
      </c>
      <c r="E349" s="66" t="s">
        <v>2082</v>
      </c>
      <c r="F349" s="100"/>
      <c r="G349" s="100">
        <v>46160.0</v>
      </c>
      <c r="H349" s="58">
        <v>0.4409722222222222</v>
      </c>
      <c r="I349" s="66" t="s">
        <v>2299</v>
      </c>
      <c r="J349" s="66" t="s">
        <v>473</v>
      </c>
      <c r="K349" s="66" t="s">
        <v>474</v>
      </c>
      <c r="L349" s="104" t="s">
        <v>2626</v>
      </c>
      <c r="M349" s="66"/>
      <c r="N349" s="100">
        <v>46167.0</v>
      </c>
      <c r="O349" s="55" t="str">
        <f t="shared" si="5"/>
        <v>ANALISADO</v>
      </c>
      <c r="P349" s="105" t="s">
        <v>2627</v>
      </c>
      <c r="Q349" s="100">
        <v>46161.0</v>
      </c>
      <c r="R349" s="96"/>
      <c r="S349" s="96"/>
      <c r="T349" s="96"/>
      <c r="U349" s="96"/>
      <c r="V349" s="96"/>
      <c r="W349" s="96"/>
      <c r="X349" s="96"/>
      <c r="Y349" s="96"/>
      <c r="Z349" s="96"/>
      <c r="AA349" s="96"/>
      <c r="AB349" s="96"/>
      <c r="AC349" s="96"/>
      <c r="AD349" s="96"/>
    </row>
    <row r="350">
      <c r="A350" s="190" t="s">
        <v>2568</v>
      </c>
      <c r="B350" s="103" t="s">
        <v>2600</v>
      </c>
      <c r="C350" s="54" t="s">
        <v>277</v>
      </c>
      <c r="D350" s="66" t="s">
        <v>328</v>
      </c>
      <c r="E350" s="66" t="s">
        <v>708</v>
      </c>
      <c r="F350" s="66" t="s">
        <v>2629</v>
      </c>
      <c r="G350" s="100">
        <v>46160.0</v>
      </c>
      <c r="H350" s="58">
        <v>0.5604166666666667</v>
      </c>
      <c r="I350" s="66" t="s">
        <v>1749</v>
      </c>
      <c r="J350" s="66" t="s">
        <v>473</v>
      </c>
      <c r="K350" s="66" t="s">
        <v>474</v>
      </c>
      <c r="L350" s="104" t="s">
        <v>2631</v>
      </c>
      <c r="M350" s="66" t="s">
        <v>2632</v>
      </c>
      <c r="N350" s="100">
        <v>46167.0</v>
      </c>
      <c r="O350" s="55" t="str">
        <f t="shared" si="5"/>
        <v>ANALISADO</v>
      </c>
      <c r="P350" s="187" t="s">
        <v>2633</v>
      </c>
      <c r="Q350" s="100"/>
      <c r="R350" s="96"/>
      <c r="S350" s="96"/>
      <c r="T350" s="96"/>
      <c r="U350" s="96"/>
      <c r="V350" s="96"/>
      <c r="W350" s="96"/>
      <c r="X350" s="96"/>
      <c r="Y350" s="96"/>
      <c r="Z350" s="96"/>
      <c r="AA350" s="96"/>
      <c r="AB350" s="96"/>
      <c r="AC350" s="96"/>
      <c r="AD350" s="96"/>
    </row>
    <row r="351">
      <c r="A351" s="190" t="s">
        <v>2578</v>
      </c>
      <c r="B351" s="103" t="s">
        <v>276</v>
      </c>
      <c r="C351" s="54" t="s">
        <v>277</v>
      </c>
      <c r="D351" s="66" t="s">
        <v>378</v>
      </c>
      <c r="E351" s="66" t="s">
        <v>676</v>
      </c>
      <c r="F351" s="66">
        <v>3.1999878777E10</v>
      </c>
      <c r="G351" s="100">
        <v>46162.0</v>
      </c>
      <c r="H351" s="58">
        <v>0.4166666666666667</v>
      </c>
      <c r="I351" s="66" t="s">
        <v>1749</v>
      </c>
      <c r="J351" s="66" t="s">
        <v>473</v>
      </c>
      <c r="K351" s="66" t="s">
        <v>474</v>
      </c>
      <c r="L351" s="104" t="s">
        <v>2637</v>
      </c>
      <c r="M351" s="66"/>
      <c r="N351" s="100"/>
      <c r="O351" s="55" t="str">
        <f t="shared" si="5"/>
        <v>SEM DATA APONTADA</v>
      </c>
      <c r="P351" s="105" t="s">
        <v>2638</v>
      </c>
      <c r="Q351" s="100">
        <v>46162.0</v>
      </c>
      <c r="R351" s="96"/>
      <c r="S351" s="96"/>
      <c r="T351" s="96"/>
      <c r="U351" s="96"/>
      <c r="V351" s="96"/>
      <c r="W351" s="96"/>
      <c r="X351" s="96"/>
      <c r="Y351" s="96"/>
      <c r="Z351" s="96"/>
      <c r="AA351" s="96"/>
      <c r="AB351" s="96"/>
      <c r="AC351" s="96"/>
      <c r="AD351" s="96"/>
    </row>
    <row r="352">
      <c r="A352" s="190" t="s">
        <v>2639</v>
      </c>
      <c r="B352" s="103" t="s">
        <v>276</v>
      </c>
      <c r="C352" s="54" t="s">
        <v>277</v>
      </c>
      <c r="D352" s="66" t="s">
        <v>378</v>
      </c>
      <c r="E352" s="66" t="s">
        <v>676</v>
      </c>
      <c r="F352" s="66">
        <v>3.1999878777E10</v>
      </c>
      <c r="G352" s="100">
        <v>46023.0</v>
      </c>
      <c r="H352" s="58">
        <v>0.0</v>
      </c>
      <c r="I352" s="66" t="s">
        <v>1749</v>
      </c>
      <c r="J352" s="66" t="s">
        <v>473</v>
      </c>
      <c r="K352" s="66" t="s">
        <v>474</v>
      </c>
      <c r="L352" s="104" t="s">
        <v>2642</v>
      </c>
      <c r="M352" s="66" t="s">
        <v>2643</v>
      </c>
      <c r="N352" s="100">
        <v>46167.0</v>
      </c>
      <c r="O352" s="55" t="str">
        <f t="shared" si="5"/>
        <v>CONCLUÍDO</v>
      </c>
      <c r="P352" s="187" t="s">
        <v>2644</v>
      </c>
      <c r="Q352" s="178">
        <v>46163.0</v>
      </c>
      <c r="R352" s="96"/>
      <c r="S352" s="96"/>
      <c r="T352" s="96"/>
      <c r="U352" s="96"/>
      <c r="V352" s="96"/>
      <c r="W352" s="96"/>
      <c r="X352" s="96"/>
      <c r="Y352" s="96"/>
      <c r="Z352" s="96"/>
      <c r="AA352" s="96"/>
      <c r="AB352" s="96"/>
      <c r="AC352" s="96"/>
      <c r="AD352" s="96"/>
    </row>
    <row r="353">
      <c r="A353" s="190" t="s">
        <v>2646</v>
      </c>
      <c r="B353" s="103" t="s">
        <v>2600</v>
      </c>
      <c r="C353" s="54" t="s">
        <v>277</v>
      </c>
      <c r="D353" s="66" t="s">
        <v>328</v>
      </c>
      <c r="E353" s="66" t="s">
        <v>1315</v>
      </c>
      <c r="F353" s="66" t="s">
        <v>2648</v>
      </c>
      <c r="G353" s="100">
        <v>46164.0</v>
      </c>
      <c r="H353" s="58">
        <v>0.4097222222222222</v>
      </c>
      <c r="I353" s="66" t="s">
        <v>2299</v>
      </c>
      <c r="J353" s="66" t="s">
        <v>473</v>
      </c>
      <c r="K353" s="66" t="s">
        <v>474</v>
      </c>
      <c r="L353" s="104" t="s">
        <v>2650</v>
      </c>
      <c r="M353" s="66" t="s">
        <v>2651</v>
      </c>
      <c r="N353" s="100">
        <v>46173.0</v>
      </c>
      <c r="O353" s="55" t="str">
        <f t="shared" si="5"/>
        <v>ANALISADO</v>
      </c>
      <c r="P353" s="233" t="s">
        <v>2653</v>
      </c>
      <c r="Q353" s="100">
        <v>46167.0</v>
      </c>
      <c r="R353" s="96"/>
      <c r="S353" s="96"/>
      <c r="T353" s="96"/>
      <c r="U353" s="96"/>
      <c r="V353" s="96"/>
      <c r="W353" s="96"/>
      <c r="X353" s="96"/>
      <c r="Y353" s="96"/>
      <c r="Z353" s="96"/>
      <c r="AA353" s="96"/>
      <c r="AB353" s="96"/>
      <c r="AC353" s="96"/>
      <c r="AD353" s="96"/>
    </row>
    <row r="354">
      <c r="A354" s="190" t="s">
        <v>2655</v>
      </c>
      <c r="B354" s="103" t="s">
        <v>276</v>
      </c>
      <c r="C354" s="54" t="s">
        <v>277</v>
      </c>
      <c r="D354" s="66" t="s">
        <v>328</v>
      </c>
      <c r="E354" s="66" t="s">
        <v>2323</v>
      </c>
      <c r="F354" s="66">
        <v>3.1971445211E10</v>
      </c>
      <c r="G354" s="100">
        <v>46164.0</v>
      </c>
      <c r="H354" s="58">
        <v>0.4513888888888889</v>
      </c>
      <c r="I354" s="66" t="s">
        <v>2299</v>
      </c>
      <c r="J354" s="66" t="s">
        <v>473</v>
      </c>
      <c r="K354" s="66" t="s">
        <v>474</v>
      </c>
      <c r="L354" s="104" t="s">
        <v>2657</v>
      </c>
      <c r="M354" s="66" t="s">
        <v>2658</v>
      </c>
      <c r="N354" s="100">
        <v>46170.0</v>
      </c>
      <c r="O354" s="55" t="str">
        <f t="shared" si="5"/>
        <v>CONCLUÍDO</v>
      </c>
      <c r="P354" s="215" t="s">
        <v>2659</v>
      </c>
      <c r="Q354" s="100">
        <v>46167.0</v>
      </c>
      <c r="R354" s="96"/>
      <c r="S354" s="96"/>
      <c r="T354" s="96"/>
      <c r="U354" s="96"/>
      <c r="V354" s="96"/>
      <c r="W354" s="96"/>
      <c r="X354" s="96"/>
      <c r="Y354" s="96"/>
      <c r="Z354" s="96"/>
      <c r="AA354" s="96"/>
      <c r="AB354" s="96"/>
      <c r="AC354" s="96"/>
      <c r="AD354" s="96"/>
    </row>
    <row r="355">
      <c r="A355" s="190" t="s">
        <v>2661</v>
      </c>
      <c r="B355" s="103" t="s">
        <v>276</v>
      </c>
      <c r="C355" s="54" t="s">
        <v>277</v>
      </c>
      <c r="D355" s="66" t="s">
        <v>715</v>
      </c>
      <c r="E355" s="66" t="s">
        <v>718</v>
      </c>
      <c r="F355" s="66">
        <v>3.199898172E10</v>
      </c>
      <c r="G355" s="100">
        <v>46167.0</v>
      </c>
      <c r="H355" s="58">
        <v>0.3680555555555556</v>
      </c>
      <c r="I355" s="66" t="s">
        <v>2662</v>
      </c>
      <c r="J355" s="66" t="s">
        <v>692</v>
      </c>
      <c r="K355" s="66" t="s">
        <v>407</v>
      </c>
      <c r="L355" s="104" t="s">
        <v>2666</v>
      </c>
      <c r="M355" s="66" t="s">
        <v>2667</v>
      </c>
      <c r="N355" s="100">
        <v>46173.0</v>
      </c>
      <c r="O355" s="55" t="str">
        <f t="shared" si="5"/>
        <v>CONCLUÍDO</v>
      </c>
      <c r="P355" s="66" t="s">
        <v>2669</v>
      </c>
      <c r="Q355" s="100"/>
      <c r="R355" s="96"/>
      <c r="S355" s="96"/>
      <c r="T355" s="96"/>
      <c r="U355" s="96"/>
      <c r="V355" s="96"/>
      <c r="W355" s="96"/>
      <c r="X355" s="96"/>
      <c r="Y355" s="96"/>
      <c r="Z355" s="96"/>
      <c r="AA355" s="96"/>
      <c r="AB355" s="96"/>
      <c r="AC355" s="96"/>
      <c r="AD355" s="96"/>
    </row>
    <row r="356">
      <c r="A356" s="190" t="s">
        <v>2671</v>
      </c>
      <c r="B356" s="103" t="s">
        <v>276</v>
      </c>
      <c r="C356" s="54" t="s">
        <v>277</v>
      </c>
      <c r="D356" s="66" t="s">
        <v>328</v>
      </c>
      <c r="E356" s="66" t="s">
        <v>593</v>
      </c>
      <c r="F356" s="66">
        <v>9.71681227E8</v>
      </c>
      <c r="G356" s="100">
        <v>46168.0</v>
      </c>
      <c r="H356" s="58">
        <v>0.37916666666666665</v>
      </c>
      <c r="I356" s="66" t="s">
        <v>2299</v>
      </c>
      <c r="J356" s="66" t="s">
        <v>473</v>
      </c>
      <c r="K356" s="66" t="s">
        <v>474</v>
      </c>
      <c r="L356" s="104" t="s">
        <v>2673</v>
      </c>
      <c r="M356" s="66" t="s">
        <v>2674</v>
      </c>
      <c r="N356" s="100">
        <v>46175.0</v>
      </c>
      <c r="O356" s="55" t="str">
        <f t="shared" si="5"/>
        <v>CONCLUÍDO</v>
      </c>
      <c r="P356" s="105" t="s">
        <v>2676</v>
      </c>
      <c r="Q356" s="100">
        <v>46176.0</v>
      </c>
      <c r="R356" s="96"/>
      <c r="S356" s="96"/>
      <c r="T356" s="96"/>
      <c r="U356" s="96"/>
      <c r="V356" s="96"/>
      <c r="W356" s="96"/>
      <c r="X356" s="96"/>
      <c r="Y356" s="96"/>
      <c r="Z356" s="96"/>
      <c r="AA356" s="96"/>
      <c r="AB356" s="96"/>
      <c r="AC356" s="96"/>
      <c r="AD356" s="96"/>
    </row>
    <row r="357">
      <c r="A357" s="190" t="s">
        <v>2678</v>
      </c>
      <c r="B357" s="103" t="s">
        <v>276</v>
      </c>
      <c r="C357" s="54" t="s">
        <v>277</v>
      </c>
      <c r="D357" s="66" t="s">
        <v>715</v>
      </c>
      <c r="E357" s="66" t="s">
        <v>718</v>
      </c>
      <c r="F357" s="66">
        <v>3.199898172E10</v>
      </c>
      <c r="G357" s="100">
        <v>46170.0</v>
      </c>
      <c r="H357" s="58">
        <v>0.3645833333333333</v>
      </c>
      <c r="I357" s="66" t="s">
        <v>2313</v>
      </c>
      <c r="J357" s="66" t="s">
        <v>692</v>
      </c>
      <c r="K357" s="66" t="s">
        <v>407</v>
      </c>
      <c r="L357" s="104" t="s">
        <v>2680</v>
      </c>
      <c r="M357" s="66" t="s">
        <v>2682</v>
      </c>
      <c r="N357" s="100">
        <v>46177.0</v>
      </c>
      <c r="O357" s="55" t="str">
        <f t="shared" si="5"/>
        <v>CONCLUÍDO</v>
      </c>
      <c r="P357" s="66" t="s">
        <v>2683</v>
      </c>
      <c r="Q357" s="100"/>
      <c r="R357" s="96"/>
      <c r="S357" s="96"/>
      <c r="T357" s="96"/>
      <c r="U357" s="96"/>
      <c r="V357" s="96"/>
      <c r="W357" s="96"/>
      <c r="X357" s="96"/>
      <c r="Y357" s="96"/>
      <c r="Z357" s="96"/>
      <c r="AA357" s="96"/>
      <c r="AB357" s="96"/>
      <c r="AC357" s="96"/>
      <c r="AD357" s="96"/>
    </row>
    <row r="358">
      <c r="A358" s="190" t="s">
        <v>2685</v>
      </c>
      <c r="B358" s="103" t="s">
        <v>276</v>
      </c>
      <c r="C358" s="54" t="s">
        <v>570</v>
      </c>
      <c r="D358" s="66" t="s">
        <v>538</v>
      </c>
      <c r="E358" s="66" t="s">
        <v>542</v>
      </c>
      <c r="F358" s="66" t="s">
        <v>543</v>
      </c>
      <c r="G358" s="100">
        <v>46170.0</v>
      </c>
      <c r="H358" s="58">
        <v>0.5291666666666667</v>
      </c>
      <c r="I358" s="66" t="s">
        <v>889</v>
      </c>
      <c r="J358" s="66" t="s">
        <v>277</v>
      </c>
      <c r="K358" s="66" t="s">
        <v>2258</v>
      </c>
      <c r="L358" s="104" t="s">
        <v>2344</v>
      </c>
      <c r="M358" s="66" t="s">
        <v>2382</v>
      </c>
      <c r="N358" s="100">
        <v>46175.0</v>
      </c>
      <c r="O358" s="55" t="str">
        <f t="shared" si="5"/>
        <v>CONCLUÍDO</v>
      </c>
      <c r="P358" s="66" t="s">
        <v>2687</v>
      </c>
      <c r="Q358" s="100">
        <v>46171.0</v>
      </c>
      <c r="R358" s="96"/>
      <c r="S358" s="96"/>
      <c r="T358" s="96"/>
      <c r="U358" s="96"/>
      <c r="V358" s="96"/>
      <c r="W358" s="96"/>
      <c r="X358" s="96"/>
      <c r="Y358" s="96"/>
      <c r="Z358" s="96"/>
      <c r="AA358" s="96"/>
      <c r="AB358" s="96"/>
      <c r="AC358" s="96"/>
      <c r="AD358" s="96"/>
    </row>
    <row r="359">
      <c r="A359" s="190" t="s">
        <v>2690</v>
      </c>
      <c r="B359" s="103" t="s">
        <v>276</v>
      </c>
      <c r="C359" s="54" t="s">
        <v>570</v>
      </c>
      <c r="D359" s="66" t="s">
        <v>538</v>
      </c>
      <c r="E359" s="66" t="s">
        <v>542</v>
      </c>
      <c r="F359" s="66" t="s">
        <v>543</v>
      </c>
      <c r="G359" s="100">
        <v>46170.0</v>
      </c>
      <c r="H359" s="58">
        <v>0.5291666666666667</v>
      </c>
      <c r="I359" s="66" t="s">
        <v>889</v>
      </c>
      <c r="J359" s="66" t="s">
        <v>277</v>
      </c>
      <c r="K359" s="66" t="s">
        <v>2258</v>
      </c>
      <c r="L359" s="104" t="s">
        <v>2344</v>
      </c>
      <c r="M359" s="66" t="s">
        <v>2692</v>
      </c>
      <c r="N359" s="100">
        <v>46175.0</v>
      </c>
      <c r="O359" s="55" t="str">
        <f t="shared" si="5"/>
        <v>CONCLUÍDO</v>
      </c>
      <c r="P359" s="66" t="s">
        <v>2687</v>
      </c>
      <c r="Q359" s="100">
        <v>46171.0</v>
      </c>
      <c r="R359" s="96"/>
      <c r="S359" s="96"/>
      <c r="T359" s="96"/>
      <c r="U359" s="96"/>
      <c r="V359" s="96"/>
      <c r="W359" s="96"/>
      <c r="X359" s="96"/>
      <c r="Y359" s="96"/>
      <c r="Z359" s="96"/>
      <c r="AA359" s="96"/>
      <c r="AB359" s="96"/>
      <c r="AC359" s="96"/>
      <c r="AD359" s="96"/>
    </row>
    <row r="360">
      <c r="A360" s="190" t="s">
        <v>2694</v>
      </c>
      <c r="B360" s="103" t="s">
        <v>276</v>
      </c>
      <c r="C360" s="54" t="s">
        <v>570</v>
      </c>
      <c r="D360" s="66" t="s">
        <v>538</v>
      </c>
      <c r="E360" s="66" t="s">
        <v>542</v>
      </c>
      <c r="F360" s="66" t="s">
        <v>543</v>
      </c>
      <c r="G360" s="100">
        <v>46170.0</v>
      </c>
      <c r="H360" s="58">
        <v>0.5291666666666667</v>
      </c>
      <c r="I360" s="66" t="s">
        <v>889</v>
      </c>
      <c r="J360" s="66" t="s">
        <v>277</v>
      </c>
      <c r="K360" s="66" t="s">
        <v>2258</v>
      </c>
      <c r="L360" s="104" t="s">
        <v>2344</v>
      </c>
      <c r="M360" s="66" t="s">
        <v>2695</v>
      </c>
      <c r="N360" s="100">
        <v>46175.0</v>
      </c>
      <c r="O360" s="55" t="str">
        <f t="shared" si="5"/>
        <v>CONCLUÍDO</v>
      </c>
      <c r="P360" s="66" t="s">
        <v>2687</v>
      </c>
      <c r="Q360" s="100">
        <v>46171.0</v>
      </c>
      <c r="R360" s="96"/>
      <c r="S360" s="96"/>
      <c r="T360" s="96"/>
      <c r="U360" s="96"/>
      <c r="V360" s="96"/>
      <c r="W360" s="96"/>
      <c r="X360" s="96"/>
      <c r="Y360" s="96"/>
      <c r="Z360" s="96"/>
      <c r="AA360" s="96"/>
      <c r="AB360" s="96"/>
      <c r="AC360" s="96"/>
      <c r="AD360" s="96"/>
    </row>
    <row r="361">
      <c r="A361" s="190" t="s">
        <v>2697</v>
      </c>
      <c r="B361" s="103" t="s">
        <v>276</v>
      </c>
      <c r="C361" s="54" t="s">
        <v>570</v>
      </c>
      <c r="D361" s="66" t="s">
        <v>538</v>
      </c>
      <c r="E361" s="66" t="s">
        <v>542</v>
      </c>
      <c r="F361" s="66" t="s">
        <v>543</v>
      </c>
      <c r="G361" s="100">
        <v>46170.0</v>
      </c>
      <c r="H361" s="58">
        <v>0.5291666666666667</v>
      </c>
      <c r="I361" s="66" t="s">
        <v>889</v>
      </c>
      <c r="J361" s="66" t="s">
        <v>277</v>
      </c>
      <c r="K361" s="66" t="s">
        <v>2258</v>
      </c>
      <c r="L361" s="104" t="s">
        <v>2344</v>
      </c>
      <c r="M361" s="66" t="s">
        <v>2699</v>
      </c>
      <c r="N361" s="100">
        <v>46175.0</v>
      </c>
      <c r="O361" s="55" t="str">
        <f t="shared" si="5"/>
        <v>CONCLUÍDO</v>
      </c>
      <c r="P361" s="66" t="s">
        <v>2687</v>
      </c>
      <c r="Q361" s="100">
        <v>46171.0</v>
      </c>
      <c r="R361" s="96"/>
      <c r="S361" s="96"/>
      <c r="T361" s="96"/>
      <c r="U361" s="96"/>
      <c r="V361" s="96"/>
      <c r="W361" s="96"/>
      <c r="X361" s="96"/>
      <c r="Y361" s="96"/>
      <c r="Z361" s="96"/>
      <c r="AA361" s="96"/>
      <c r="AB361" s="96"/>
      <c r="AC361" s="96"/>
      <c r="AD361" s="96"/>
    </row>
    <row r="362">
      <c r="A362" s="190" t="s">
        <v>2700</v>
      </c>
      <c r="B362" s="103" t="s">
        <v>276</v>
      </c>
      <c r="C362" s="54" t="s">
        <v>570</v>
      </c>
      <c r="D362" s="66" t="s">
        <v>404</v>
      </c>
      <c r="E362" s="66" t="s">
        <v>2701</v>
      </c>
      <c r="F362" s="66" t="s">
        <v>2702</v>
      </c>
      <c r="G362" s="100">
        <v>46170.0</v>
      </c>
      <c r="H362" s="58">
        <v>0.5340277777777778</v>
      </c>
      <c r="I362" s="66" t="s">
        <v>889</v>
      </c>
      <c r="J362" s="66" t="s">
        <v>277</v>
      </c>
      <c r="K362" s="66" t="s">
        <v>2258</v>
      </c>
      <c r="L362" s="104" t="s">
        <v>2704</v>
      </c>
      <c r="M362" s="66" t="s">
        <v>2705</v>
      </c>
      <c r="N362" s="100">
        <v>46175.0</v>
      </c>
      <c r="O362" s="55" t="str">
        <f t="shared" si="5"/>
        <v>CONCLUÍDO</v>
      </c>
      <c r="P362" s="66" t="s">
        <v>2687</v>
      </c>
      <c r="Q362" s="100">
        <v>46171.0</v>
      </c>
      <c r="R362" s="96"/>
      <c r="S362" s="96"/>
      <c r="T362" s="96"/>
      <c r="U362" s="96"/>
      <c r="V362" s="96"/>
      <c r="W362" s="96"/>
      <c r="X362" s="96"/>
      <c r="Y362" s="96"/>
      <c r="Z362" s="96"/>
      <c r="AA362" s="96"/>
      <c r="AB362" s="96"/>
      <c r="AC362" s="96"/>
      <c r="AD362" s="96"/>
    </row>
    <row r="363">
      <c r="A363" s="190" t="s">
        <v>2707</v>
      </c>
      <c r="B363" s="103" t="s">
        <v>276</v>
      </c>
      <c r="C363" s="54" t="s">
        <v>570</v>
      </c>
      <c r="D363" s="66" t="s">
        <v>404</v>
      </c>
      <c r="E363" s="66" t="s">
        <v>2701</v>
      </c>
      <c r="F363" s="66" t="s">
        <v>2702</v>
      </c>
      <c r="G363" s="100">
        <v>46170.0</v>
      </c>
      <c r="H363" s="58">
        <v>0.5340277777777778</v>
      </c>
      <c r="I363" s="66" t="s">
        <v>889</v>
      </c>
      <c r="J363" s="66" t="s">
        <v>277</v>
      </c>
      <c r="K363" s="66" t="s">
        <v>2258</v>
      </c>
      <c r="L363" s="104" t="s">
        <v>2704</v>
      </c>
      <c r="M363" s="66" t="s">
        <v>2709</v>
      </c>
      <c r="N363" s="100">
        <v>46175.0</v>
      </c>
      <c r="O363" s="55" t="str">
        <f t="shared" si="5"/>
        <v>CONCLUÍDO</v>
      </c>
      <c r="P363" s="66" t="s">
        <v>2687</v>
      </c>
      <c r="Q363" s="100">
        <v>46171.0</v>
      </c>
      <c r="R363" s="96"/>
      <c r="S363" s="96"/>
      <c r="T363" s="96"/>
      <c r="U363" s="96"/>
      <c r="V363" s="96"/>
      <c r="W363" s="96"/>
      <c r="X363" s="96"/>
      <c r="Y363" s="96"/>
      <c r="Z363" s="96"/>
      <c r="AA363" s="96"/>
      <c r="AB363" s="96"/>
      <c r="AC363" s="96"/>
      <c r="AD363" s="96"/>
    </row>
    <row r="364">
      <c r="A364" s="190" t="s">
        <v>2710</v>
      </c>
      <c r="B364" s="103" t="s">
        <v>276</v>
      </c>
      <c r="C364" s="54" t="s">
        <v>570</v>
      </c>
      <c r="D364" s="66" t="s">
        <v>404</v>
      </c>
      <c r="E364" s="66" t="s">
        <v>2701</v>
      </c>
      <c r="F364" s="66" t="s">
        <v>2702</v>
      </c>
      <c r="G364" s="100">
        <v>46170.0</v>
      </c>
      <c r="H364" s="58">
        <v>0.5340277777777778</v>
      </c>
      <c r="I364" s="66" t="s">
        <v>889</v>
      </c>
      <c r="J364" s="66" t="s">
        <v>277</v>
      </c>
      <c r="K364" s="66" t="s">
        <v>2258</v>
      </c>
      <c r="L364" s="104" t="s">
        <v>2704</v>
      </c>
      <c r="M364" s="66" t="s">
        <v>2711</v>
      </c>
      <c r="N364" s="100">
        <v>46175.0</v>
      </c>
      <c r="O364" s="55" t="str">
        <f t="shared" si="5"/>
        <v>CONCLUÍDO</v>
      </c>
      <c r="P364" s="66" t="s">
        <v>2687</v>
      </c>
      <c r="Q364" s="100">
        <v>46171.0</v>
      </c>
      <c r="R364" s="96"/>
      <c r="S364" s="96"/>
      <c r="T364" s="96"/>
      <c r="U364" s="96"/>
      <c r="V364" s="96"/>
      <c r="W364" s="96"/>
      <c r="X364" s="96"/>
      <c r="Y364" s="96"/>
      <c r="Z364" s="96"/>
      <c r="AA364" s="96"/>
      <c r="AB364" s="96"/>
      <c r="AC364" s="96"/>
      <c r="AD364" s="96"/>
    </row>
    <row r="365">
      <c r="A365" s="190" t="s">
        <v>2713</v>
      </c>
      <c r="B365" s="103" t="s">
        <v>276</v>
      </c>
      <c r="C365" s="54" t="s">
        <v>570</v>
      </c>
      <c r="D365" s="66" t="s">
        <v>404</v>
      </c>
      <c r="E365" s="66" t="s">
        <v>2701</v>
      </c>
      <c r="F365" s="66" t="s">
        <v>2702</v>
      </c>
      <c r="G365" s="100">
        <v>46170.0</v>
      </c>
      <c r="H365" s="58">
        <v>0.5340277777777778</v>
      </c>
      <c r="I365" s="66" t="s">
        <v>889</v>
      </c>
      <c r="J365" s="66" t="s">
        <v>277</v>
      </c>
      <c r="K365" s="66" t="s">
        <v>2258</v>
      </c>
      <c r="L365" s="104" t="s">
        <v>2704</v>
      </c>
      <c r="M365" s="66" t="s">
        <v>2715</v>
      </c>
      <c r="N365" s="100">
        <v>46175.0</v>
      </c>
      <c r="O365" s="55" t="str">
        <f t="shared" si="5"/>
        <v>CONCLUÍDO</v>
      </c>
      <c r="P365" s="66" t="s">
        <v>2687</v>
      </c>
      <c r="Q365" s="100">
        <v>46171.0</v>
      </c>
      <c r="R365" s="96"/>
      <c r="S365" s="96"/>
      <c r="T365" s="96"/>
      <c r="U365" s="96"/>
      <c r="V365" s="96"/>
      <c r="W365" s="96"/>
      <c r="X365" s="96"/>
      <c r="Y365" s="96"/>
      <c r="Z365" s="96"/>
      <c r="AA365" s="96"/>
      <c r="AB365" s="96"/>
      <c r="AC365" s="96"/>
      <c r="AD365" s="96"/>
    </row>
    <row r="366">
      <c r="A366" s="190" t="s">
        <v>2716</v>
      </c>
      <c r="B366" s="103" t="s">
        <v>276</v>
      </c>
      <c r="C366" s="54" t="s">
        <v>570</v>
      </c>
      <c r="D366" s="66" t="s">
        <v>404</v>
      </c>
      <c r="E366" s="66" t="s">
        <v>2701</v>
      </c>
      <c r="F366" s="66" t="s">
        <v>2702</v>
      </c>
      <c r="G366" s="100">
        <v>46170.0</v>
      </c>
      <c r="H366" s="58">
        <v>0.5340277777777778</v>
      </c>
      <c r="I366" s="66" t="s">
        <v>889</v>
      </c>
      <c r="J366" s="66" t="s">
        <v>277</v>
      </c>
      <c r="K366" s="66" t="s">
        <v>2258</v>
      </c>
      <c r="L366" s="104" t="s">
        <v>2704</v>
      </c>
      <c r="M366" s="66" t="s">
        <v>2718</v>
      </c>
      <c r="N366" s="100">
        <v>46175.0</v>
      </c>
      <c r="O366" s="55" t="str">
        <f t="shared" si="5"/>
        <v>CONCLUÍDO</v>
      </c>
      <c r="P366" s="66" t="s">
        <v>2687</v>
      </c>
      <c r="Q366" s="100">
        <v>46171.0</v>
      </c>
      <c r="R366" s="96"/>
      <c r="S366" s="96"/>
      <c r="T366" s="96"/>
      <c r="U366" s="96"/>
      <c r="V366" s="96"/>
      <c r="W366" s="96"/>
      <c r="X366" s="96"/>
      <c r="Y366" s="96"/>
      <c r="Z366" s="96"/>
      <c r="AA366" s="96"/>
      <c r="AB366" s="96"/>
      <c r="AC366" s="96"/>
      <c r="AD366" s="96"/>
    </row>
    <row r="367">
      <c r="A367" s="190" t="s">
        <v>2719</v>
      </c>
      <c r="B367" s="103" t="s">
        <v>276</v>
      </c>
      <c r="C367" s="54" t="s">
        <v>570</v>
      </c>
      <c r="D367" s="66" t="s">
        <v>404</v>
      </c>
      <c r="E367" s="66" t="s">
        <v>2701</v>
      </c>
      <c r="F367" s="66" t="s">
        <v>2702</v>
      </c>
      <c r="G367" s="100">
        <v>46170.0</v>
      </c>
      <c r="H367" s="58">
        <v>0.5340277777777778</v>
      </c>
      <c r="I367" s="66" t="s">
        <v>889</v>
      </c>
      <c r="J367" s="66" t="s">
        <v>277</v>
      </c>
      <c r="K367" s="66" t="s">
        <v>2258</v>
      </c>
      <c r="L367" s="104" t="s">
        <v>2704</v>
      </c>
      <c r="M367" s="66" t="s">
        <v>2721</v>
      </c>
      <c r="N367" s="100">
        <v>46175.0</v>
      </c>
      <c r="O367" s="55" t="str">
        <f t="shared" si="5"/>
        <v>CONCLUÍDO</v>
      </c>
      <c r="P367" s="66" t="s">
        <v>2687</v>
      </c>
      <c r="Q367" s="100">
        <v>46171.0</v>
      </c>
      <c r="R367" s="96"/>
      <c r="S367" s="96"/>
      <c r="T367" s="96"/>
      <c r="U367" s="96"/>
      <c r="V367" s="96"/>
      <c r="W367" s="96"/>
      <c r="X367" s="96"/>
      <c r="Y367" s="96"/>
      <c r="Z367" s="96"/>
      <c r="AA367" s="96"/>
      <c r="AB367" s="96"/>
      <c r="AC367" s="96"/>
      <c r="AD367" s="96"/>
    </row>
    <row r="368">
      <c r="A368" s="190" t="s">
        <v>2723</v>
      </c>
      <c r="B368" s="103" t="s">
        <v>276</v>
      </c>
      <c r="C368" s="54" t="s">
        <v>570</v>
      </c>
      <c r="D368" s="66" t="s">
        <v>404</v>
      </c>
      <c r="E368" s="66" t="s">
        <v>2701</v>
      </c>
      <c r="F368" s="66" t="s">
        <v>2702</v>
      </c>
      <c r="G368" s="100">
        <v>46170.0</v>
      </c>
      <c r="H368" s="58">
        <v>0.5340277777777778</v>
      </c>
      <c r="I368" s="66" t="s">
        <v>889</v>
      </c>
      <c r="J368" s="66" t="s">
        <v>277</v>
      </c>
      <c r="K368" s="66" t="s">
        <v>2258</v>
      </c>
      <c r="L368" s="104" t="s">
        <v>2704</v>
      </c>
      <c r="M368" s="66" t="s">
        <v>2349</v>
      </c>
      <c r="N368" s="100">
        <v>46175.0</v>
      </c>
      <c r="O368" s="55" t="str">
        <f t="shared" si="5"/>
        <v>CONCLUÍDO</v>
      </c>
      <c r="P368" s="66" t="s">
        <v>2687</v>
      </c>
      <c r="Q368" s="100">
        <v>46171.0</v>
      </c>
      <c r="R368" s="96"/>
      <c r="S368" s="96"/>
      <c r="T368" s="96"/>
      <c r="U368" s="96"/>
      <c r="V368" s="96"/>
      <c r="W368" s="96"/>
      <c r="X368" s="96"/>
      <c r="Y368" s="96"/>
      <c r="Z368" s="96"/>
      <c r="AA368" s="96"/>
      <c r="AB368" s="96"/>
      <c r="AC368" s="96"/>
      <c r="AD368" s="96"/>
    </row>
    <row r="369">
      <c r="A369" s="190" t="s">
        <v>2726</v>
      </c>
      <c r="B369" s="103" t="s">
        <v>276</v>
      </c>
      <c r="C369" s="54" t="s">
        <v>570</v>
      </c>
      <c r="D369" s="66" t="s">
        <v>519</v>
      </c>
      <c r="E369" s="66" t="s">
        <v>2270</v>
      </c>
      <c r="F369" s="66" t="s">
        <v>2337</v>
      </c>
      <c r="G369" s="100">
        <v>46170.0</v>
      </c>
      <c r="H369" s="58">
        <v>0.6055555555555555</v>
      </c>
      <c r="I369" s="66" t="s">
        <v>889</v>
      </c>
      <c r="J369" s="66" t="s">
        <v>277</v>
      </c>
      <c r="K369" s="66" t="s">
        <v>2258</v>
      </c>
      <c r="L369" s="104" t="s">
        <v>2728</v>
      </c>
      <c r="M369" s="66" t="s">
        <v>2729</v>
      </c>
      <c r="N369" s="100">
        <v>46175.0</v>
      </c>
      <c r="O369" s="55" t="str">
        <f t="shared" si="5"/>
        <v>CONCLUÍDO</v>
      </c>
      <c r="P369" s="66" t="s">
        <v>2687</v>
      </c>
      <c r="Q369" s="100">
        <v>46171.0</v>
      </c>
      <c r="R369" s="96"/>
      <c r="S369" s="96"/>
      <c r="T369" s="96"/>
      <c r="U369" s="96"/>
      <c r="V369" s="96"/>
      <c r="W369" s="96"/>
      <c r="X369" s="96"/>
      <c r="Y369" s="96"/>
      <c r="Z369" s="96"/>
      <c r="AA369" s="96"/>
      <c r="AB369" s="96"/>
      <c r="AC369" s="96"/>
      <c r="AD369" s="96"/>
    </row>
    <row r="370">
      <c r="A370" s="190" t="s">
        <v>2731</v>
      </c>
      <c r="B370" s="103" t="s">
        <v>276</v>
      </c>
      <c r="C370" s="54" t="s">
        <v>570</v>
      </c>
      <c r="D370" s="66" t="s">
        <v>328</v>
      </c>
      <c r="E370" s="66" t="s">
        <v>2270</v>
      </c>
      <c r="F370" s="66" t="s">
        <v>2337</v>
      </c>
      <c r="G370" s="100">
        <v>46170.0</v>
      </c>
      <c r="H370" s="58">
        <v>0.6180555555555556</v>
      </c>
      <c r="I370" s="66" t="s">
        <v>889</v>
      </c>
      <c r="J370" s="66" t="s">
        <v>277</v>
      </c>
      <c r="K370" s="66" t="s">
        <v>2258</v>
      </c>
      <c r="L370" s="104" t="s">
        <v>2728</v>
      </c>
      <c r="M370" s="66" t="s">
        <v>1222</v>
      </c>
      <c r="N370" s="100">
        <v>46175.0</v>
      </c>
      <c r="O370" s="55" t="str">
        <f t="shared" si="5"/>
        <v>CONCLUÍDO</v>
      </c>
      <c r="P370" s="66" t="s">
        <v>2687</v>
      </c>
      <c r="Q370" s="100">
        <v>46171.0</v>
      </c>
      <c r="R370" s="96"/>
      <c r="S370" s="96"/>
      <c r="T370" s="96"/>
      <c r="U370" s="96"/>
      <c r="V370" s="96"/>
      <c r="W370" s="96"/>
      <c r="X370" s="96"/>
      <c r="Y370" s="96"/>
      <c r="Z370" s="96"/>
      <c r="AA370" s="96"/>
      <c r="AB370" s="96"/>
      <c r="AC370" s="96"/>
      <c r="AD370" s="96"/>
    </row>
    <row r="371">
      <c r="A371" s="190" t="s">
        <v>2734</v>
      </c>
      <c r="B371" s="103" t="s">
        <v>276</v>
      </c>
      <c r="C371" s="54" t="s">
        <v>570</v>
      </c>
      <c r="D371" s="66" t="s">
        <v>836</v>
      </c>
      <c r="E371" s="66" t="s">
        <v>2270</v>
      </c>
      <c r="F371" s="66" t="s">
        <v>2337</v>
      </c>
      <c r="G371" s="100">
        <v>46170.0</v>
      </c>
      <c r="H371" s="58">
        <v>0.6180555555555556</v>
      </c>
      <c r="I371" s="66" t="s">
        <v>889</v>
      </c>
      <c r="J371" s="66" t="s">
        <v>277</v>
      </c>
      <c r="K371" s="66" t="s">
        <v>2258</v>
      </c>
      <c r="L371" s="104" t="s">
        <v>2728</v>
      </c>
      <c r="M371" s="66" t="s">
        <v>2736</v>
      </c>
      <c r="N371" s="100">
        <v>46175.0</v>
      </c>
      <c r="O371" s="55" t="str">
        <f t="shared" si="5"/>
        <v>CONCLUÍDO</v>
      </c>
      <c r="P371" s="66" t="s">
        <v>2687</v>
      </c>
      <c r="Q371" s="100">
        <v>46171.0</v>
      </c>
      <c r="R371" s="96"/>
      <c r="S371" s="96"/>
      <c r="T371" s="96"/>
      <c r="U371" s="96"/>
      <c r="V371" s="96"/>
      <c r="W371" s="96"/>
      <c r="X371" s="96"/>
      <c r="Y371" s="96"/>
      <c r="Z371" s="96"/>
      <c r="AA371" s="96"/>
      <c r="AB371" s="96"/>
      <c r="AC371" s="96"/>
      <c r="AD371" s="96"/>
    </row>
    <row r="372">
      <c r="A372" s="190" t="s">
        <v>2738</v>
      </c>
      <c r="B372" s="103" t="s">
        <v>276</v>
      </c>
      <c r="C372" s="54" t="s">
        <v>570</v>
      </c>
      <c r="D372" s="66" t="s">
        <v>836</v>
      </c>
      <c r="E372" s="66" t="s">
        <v>2270</v>
      </c>
      <c r="F372" s="66" t="s">
        <v>2337</v>
      </c>
      <c r="G372" s="100">
        <v>46170.0</v>
      </c>
      <c r="H372" s="58">
        <v>0.6180555555555556</v>
      </c>
      <c r="I372" s="66" t="s">
        <v>889</v>
      </c>
      <c r="J372" s="66" t="s">
        <v>277</v>
      </c>
      <c r="K372" s="66" t="s">
        <v>2258</v>
      </c>
      <c r="L372" s="104" t="s">
        <v>2728</v>
      </c>
      <c r="M372" s="66" t="s">
        <v>2739</v>
      </c>
      <c r="N372" s="100">
        <v>46175.0</v>
      </c>
      <c r="O372" s="55" t="str">
        <f t="shared" si="5"/>
        <v>CONCLUÍDO</v>
      </c>
      <c r="P372" s="66" t="s">
        <v>2687</v>
      </c>
      <c r="Q372" s="100">
        <v>46171.0</v>
      </c>
      <c r="R372" s="96"/>
      <c r="S372" s="96"/>
      <c r="T372" s="96"/>
      <c r="U372" s="96"/>
      <c r="V372" s="96"/>
      <c r="W372" s="96"/>
      <c r="X372" s="96"/>
      <c r="Y372" s="96"/>
      <c r="Z372" s="96"/>
      <c r="AA372" s="96"/>
      <c r="AB372" s="96"/>
      <c r="AC372" s="96"/>
      <c r="AD372" s="96"/>
    </row>
    <row r="373">
      <c r="A373" s="190" t="s">
        <v>2742</v>
      </c>
      <c r="B373" s="103" t="s">
        <v>276</v>
      </c>
      <c r="C373" s="54" t="s">
        <v>570</v>
      </c>
      <c r="D373" s="66" t="s">
        <v>404</v>
      </c>
      <c r="E373" s="66" t="s">
        <v>2270</v>
      </c>
      <c r="F373" s="66" t="s">
        <v>2337</v>
      </c>
      <c r="G373" s="100">
        <v>46170.0</v>
      </c>
      <c r="H373" s="58">
        <v>0.6180555555555556</v>
      </c>
      <c r="I373" s="66" t="s">
        <v>889</v>
      </c>
      <c r="J373" s="66" t="s">
        <v>277</v>
      </c>
      <c r="K373" s="66" t="s">
        <v>2258</v>
      </c>
      <c r="L373" s="104" t="s">
        <v>2728</v>
      </c>
      <c r="M373" s="66" t="s">
        <v>1365</v>
      </c>
      <c r="N373" s="100">
        <v>46175.0</v>
      </c>
      <c r="O373" s="55" t="str">
        <f t="shared" si="5"/>
        <v>CONCLUÍDO</v>
      </c>
      <c r="P373" s="66" t="s">
        <v>2687</v>
      </c>
      <c r="Q373" s="100">
        <v>46171.0</v>
      </c>
      <c r="R373" s="96"/>
      <c r="S373" s="96"/>
      <c r="T373" s="96"/>
      <c r="U373" s="96"/>
      <c r="V373" s="96"/>
      <c r="W373" s="96"/>
      <c r="X373" s="96"/>
      <c r="Y373" s="96"/>
      <c r="Z373" s="96"/>
      <c r="AA373" s="96"/>
      <c r="AB373" s="96"/>
      <c r="AC373" s="96"/>
      <c r="AD373" s="96"/>
    </row>
    <row r="374">
      <c r="A374" s="190" t="s">
        <v>2745</v>
      </c>
      <c r="B374" s="103" t="s">
        <v>276</v>
      </c>
      <c r="C374" s="54" t="s">
        <v>570</v>
      </c>
      <c r="D374" s="66" t="s">
        <v>328</v>
      </c>
      <c r="E374" s="66" t="s">
        <v>2270</v>
      </c>
      <c r="F374" s="66" t="s">
        <v>2337</v>
      </c>
      <c r="G374" s="100">
        <v>46170.0</v>
      </c>
      <c r="H374" s="58">
        <v>0.6180555555555556</v>
      </c>
      <c r="I374" s="66" t="s">
        <v>889</v>
      </c>
      <c r="J374" s="66" t="s">
        <v>277</v>
      </c>
      <c r="K374" s="66" t="s">
        <v>2258</v>
      </c>
      <c r="L374" s="104" t="s">
        <v>2728</v>
      </c>
      <c r="M374" s="66" t="s">
        <v>2746</v>
      </c>
      <c r="N374" s="100">
        <v>46175.0</v>
      </c>
      <c r="O374" s="55" t="str">
        <f t="shared" si="5"/>
        <v>CONCLUÍDO</v>
      </c>
      <c r="P374" s="66" t="s">
        <v>2687</v>
      </c>
      <c r="Q374" s="100">
        <v>46171.0</v>
      </c>
      <c r="R374" s="96"/>
      <c r="S374" s="96"/>
      <c r="T374" s="96"/>
      <c r="U374" s="96"/>
      <c r="V374" s="96"/>
      <c r="W374" s="96"/>
      <c r="X374" s="96"/>
      <c r="Y374" s="96"/>
      <c r="Z374" s="96"/>
      <c r="AA374" s="96"/>
      <c r="AB374" s="96"/>
      <c r="AC374" s="96"/>
      <c r="AD374" s="96"/>
    </row>
    <row r="375">
      <c r="A375" s="190" t="s">
        <v>2749</v>
      </c>
      <c r="B375" s="103" t="s">
        <v>276</v>
      </c>
      <c r="C375" s="54" t="s">
        <v>570</v>
      </c>
      <c r="D375" s="66" t="s">
        <v>328</v>
      </c>
      <c r="E375" s="66" t="s">
        <v>2270</v>
      </c>
      <c r="F375" s="66" t="s">
        <v>2337</v>
      </c>
      <c r="G375" s="100">
        <v>46170.0</v>
      </c>
      <c r="H375" s="58">
        <v>0.6180555555555556</v>
      </c>
      <c r="I375" s="66" t="s">
        <v>889</v>
      </c>
      <c r="J375" s="66" t="s">
        <v>277</v>
      </c>
      <c r="K375" s="66" t="s">
        <v>2258</v>
      </c>
      <c r="L375" s="104" t="s">
        <v>2728</v>
      </c>
      <c r="M375" s="66" t="s">
        <v>2169</v>
      </c>
      <c r="N375" s="100">
        <v>46175.0</v>
      </c>
      <c r="O375" s="55" t="str">
        <f t="shared" si="5"/>
        <v>CONCLUÍDO</v>
      </c>
      <c r="P375" s="66" t="s">
        <v>2687</v>
      </c>
      <c r="Q375" s="100">
        <v>46171.0</v>
      </c>
      <c r="R375" s="96"/>
      <c r="S375" s="96"/>
      <c r="T375" s="96"/>
      <c r="U375" s="96"/>
      <c r="V375" s="96"/>
      <c r="W375" s="96"/>
      <c r="X375" s="96"/>
      <c r="Y375" s="96"/>
      <c r="Z375" s="96"/>
      <c r="AA375" s="96"/>
      <c r="AB375" s="96"/>
      <c r="AC375" s="96"/>
      <c r="AD375" s="96"/>
    </row>
    <row r="376">
      <c r="A376" s="190" t="s">
        <v>2751</v>
      </c>
      <c r="B376" s="103" t="s">
        <v>276</v>
      </c>
      <c r="C376" s="54" t="s">
        <v>570</v>
      </c>
      <c r="D376" s="66" t="s">
        <v>271</v>
      </c>
      <c r="E376" s="66" t="s">
        <v>2270</v>
      </c>
      <c r="F376" s="66" t="s">
        <v>2337</v>
      </c>
      <c r="G376" s="100">
        <v>46170.0</v>
      </c>
      <c r="H376" s="58">
        <v>0.6180555555555556</v>
      </c>
      <c r="I376" s="66" t="s">
        <v>889</v>
      </c>
      <c r="J376" s="66" t="s">
        <v>277</v>
      </c>
      <c r="K376" s="66" t="s">
        <v>2258</v>
      </c>
      <c r="L376" s="104" t="s">
        <v>2728</v>
      </c>
      <c r="M376" s="66" t="s">
        <v>2753</v>
      </c>
      <c r="N376" s="100">
        <v>46175.0</v>
      </c>
      <c r="O376" s="55" t="str">
        <f t="shared" si="5"/>
        <v>CONCLUÍDO</v>
      </c>
      <c r="P376" s="66" t="s">
        <v>2687</v>
      </c>
      <c r="Q376" s="100">
        <v>46171.0</v>
      </c>
      <c r="R376" s="96"/>
      <c r="S376" s="96"/>
      <c r="T376" s="96"/>
      <c r="U376" s="96"/>
      <c r="V376" s="96"/>
      <c r="W376" s="96"/>
      <c r="X376" s="96"/>
      <c r="Y376" s="96"/>
      <c r="Z376" s="96"/>
      <c r="AA376" s="96"/>
      <c r="AB376" s="96"/>
      <c r="AC376" s="96"/>
      <c r="AD376" s="96"/>
    </row>
    <row r="377">
      <c r="A377" s="190" t="s">
        <v>2756</v>
      </c>
      <c r="B377" s="103" t="s">
        <v>276</v>
      </c>
      <c r="C377" s="54" t="s">
        <v>570</v>
      </c>
      <c r="D377" s="66" t="s">
        <v>230</v>
      </c>
      <c r="E377" s="66" t="s">
        <v>2270</v>
      </c>
      <c r="F377" s="66" t="s">
        <v>2337</v>
      </c>
      <c r="G377" s="100">
        <v>46170.0</v>
      </c>
      <c r="H377" s="58">
        <v>0.6180555555555556</v>
      </c>
      <c r="I377" s="66" t="s">
        <v>889</v>
      </c>
      <c r="J377" s="66" t="s">
        <v>277</v>
      </c>
      <c r="K377" s="66" t="s">
        <v>2258</v>
      </c>
      <c r="L377" s="104" t="s">
        <v>2728</v>
      </c>
      <c r="M377" s="66" t="s">
        <v>2757</v>
      </c>
      <c r="N377" s="100">
        <v>46175.0</v>
      </c>
      <c r="O377" s="55" t="str">
        <f t="shared" si="5"/>
        <v>CONCLUÍDO</v>
      </c>
      <c r="P377" s="66" t="s">
        <v>2687</v>
      </c>
      <c r="Q377" s="100">
        <v>46171.0</v>
      </c>
      <c r="R377" s="96"/>
      <c r="S377" s="96"/>
      <c r="T377" s="96"/>
      <c r="U377" s="96"/>
      <c r="V377" s="96"/>
      <c r="W377" s="96"/>
      <c r="X377" s="96"/>
      <c r="Y377" s="96"/>
      <c r="Z377" s="96"/>
      <c r="AA377" s="96"/>
      <c r="AB377" s="96"/>
      <c r="AC377" s="96"/>
      <c r="AD377" s="96"/>
    </row>
    <row r="378">
      <c r="A378" s="190" t="s">
        <v>2759</v>
      </c>
      <c r="B378" s="103" t="s">
        <v>276</v>
      </c>
      <c r="C378" s="54" t="s">
        <v>570</v>
      </c>
      <c r="D378" s="66" t="s">
        <v>387</v>
      </c>
      <c r="E378" s="66" t="s">
        <v>2270</v>
      </c>
      <c r="F378" s="66" t="s">
        <v>2337</v>
      </c>
      <c r="G378" s="100">
        <v>46170.0</v>
      </c>
      <c r="H378" s="58">
        <v>0.6180555555555556</v>
      </c>
      <c r="I378" s="66" t="s">
        <v>889</v>
      </c>
      <c r="J378" s="66" t="s">
        <v>277</v>
      </c>
      <c r="K378" s="66" t="s">
        <v>2258</v>
      </c>
      <c r="L378" s="104" t="s">
        <v>2728</v>
      </c>
      <c r="M378" s="66" t="s">
        <v>2761</v>
      </c>
      <c r="N378" s="100">
        <v>46175.0</v>
      </c>
      <c r="O378" s="55" t="str">
        <f t="shared" si="5"/>
        <v>CONCLUÍDO</v>
      </c>
      <c r="P378" s="66" t="s">
        <v>2687</v>
      </c>
      <c r="Q378" s="100">
        <v>46171.0</v>
      </c>
      <c r="R378" s="96"/>
      <c r="S378" s="96"/>
      <c r="T378" s="96"/>
      <c r="U378" s="96"/>
      <c r="V378" s="96"/>
      <c r="W378" s="96"/>
      <c r="X378" s="96"/>
      <c r="Y378" s="96"/>
      <c r="Z378" s="96"/>
      <c r="AA378" s="96"/>
      <c r="AB378" s="96"/>
      <c r="AC378" s="96"/>
      <c r="AD378" s="96"/>
    </row>
    <row r="379">
      <c r="A379" s="190" t="s">
        <v>2763</v>
      </c>
      <c r="B379" s="103" t="s">
        <v>276</v>
      </c>
      <c r="C379" s="54" t="s">
        <v>570</v>
      </c>
      <c r="D379" s="66" t="s">
        <v>328</v>
      </c>
      <c r="E379" s="66" t="s">
        <v>2270</v>
      </c>
      <c r="F379" s="66" t="s">
        <v>2337</v>
      </c>
      <c r="G379" s="100">
        <v>46170.0</v>
      </c>
      <c r="H379" s="58">
        <v>0.6180555555555556</v>
      </c>
      <c r="I379" s="66" t="s">
        <v>889</v>
      </c>
      <c r="J379" s="66" t="s">
        <v>277</v>
      </c>
      <c r="K379" s="66" t="s">
        <v>2258</v>
      </c>
      <c r="L379" s="104" t="s">
        <v>2728</v>
      </c>
      <c r="M379" s="66" t="s">
        <v>2765</v>
      </c>
      <c r="N379" s="100">
        <v>46175.0</v>
      </c>
      <c r="O379" s="55" t="str">
        <f t="shared" si="5"/>
        <v>CONCLUÍDO</v>
      </c>
      <c r="P379" s="66" t="s">
        <v>2687</v>
      </c>
      <c r="Q379" s="100">
        <v>46171.0</v>
      </c>
      <c r="R379" s="96"/>
      <c r="S379" s="96"/>
      <c r="T379" s="96"/>
      <c r="U379" s="96"/>
      <c r="V379" s="96"/>
      <c r="W379" s="96"/>
      <c r="X379" s="96"/>
      <c r="Y379" s="96"/>
      <c r="Z379" s="96"/>
      <c r="AA379" s="96"/>
      <c r="AB379" s="96"/>
      <c r="AC379" s="96"/>
      <c r="AD379" s="96"/>
    </row>
    <row r="380">
      <c r="A380" s="190" t="s">
        <v>2767</v>
      </c>
      <c r="B380" s="103" t="s">
        <v>276</v>
      </c>
      <c r="C380" s="54" t="s">
        <v>570</v>
      </c>
      <c r="D380" s="66" t="s">
        <v>328</v>
      </c>
      <c r="E380" s="66" t="s">
        <v>2270</v>
      </c>
      <c r="F380" s="66" t="s">
        <v>2337</v>
      </c>
      <c r="G380" s="100">
        <v>46170.0</v>
      </c>
      <c r="H380" s="58">
        <v>0.6180555555555556</v>
      </c>
      <c r="I380" s="66" t="s">
        <v>889</v>
      </c>
      <c r="J380" s="66" t="s">
        <v>277</v>
      </c>
      <c r="K380" s="66" t="s">
        <v>2258</v>
      </c>
      <c r="L380" s="104" t="s">
        <v>2728</v>
      </c>
      <c r="M380" s="66" t="s">
        <v>2769</v>
      </c>
      <c r="N380" s="100">
        <v>46175.0</v>
      </c>
      <c r="O380" s="55" t="str">
        <f t="shared" si="5"/>
        <v>CONCLUÍDO</v>
      </c>
      <c r="P380" s="66" t="s">
        <v>2687</v>
      </c>
      <c r="Q380" s="100">
        <v>46171.0</v>
      </c>
      <c r="R380" s="96"/>
      <c r="S380" s="96"/>
      <c r="T380" s="96"/>
      <c r="U380" s="96"/>
      <c r="V380" s="96"/>
      <c r="W380" s="96"/>
      <c r="X380" s="96"/>
      <c r="Y380" s="96"/>
      <c r="Z380" s="96"/>
      <c r="AA380" s="96"/>
      <c r="AB380" s="96"/>
      <c r="AC380" s="96"/>
      <c r="AD380" s="96"/>
    </row>
    <row r="381">
      <c r="A381" s="190" t="s">
        <v>2770</v>
      </c>
      <c r="B381" s="103" t="s">
        <v>276</v>
      </c>
      <c r="C381" s="54" t="s">
        <v>570</v>
      </c>
      <c r="D381" s="66" t="s">
        <v>754</v>
      </c>
      <c r="E381" s="66" t="s">
        <v>2270</v>
      </c>
      <c r="F381" s="66" t="s">
        <v>2337</v>
      </c>
      <c r="G381" s="100">
        <v>46170.0</v>
      </c>
      <c r="H381" s="58">
        <v>0.6180555555555556</v>
      </c>
      <c r="I381" s="66" t="s">
        <v>889</v>
      </c>
      <c r="J381" s="66" t="s">
        <v>277</v>
      </c>
      <c r="K381" s="66" t="s">
        <v>2258</v>
      </c>
      <c r="L381" s="104" t="s">
        <v>2728</v>
      </c>
      <c r="M381" s="66" t="s">
        <v>2774</v>
      </c>
      <c r="N381" s="100">
        <v>46175.0</v>
      </c>
      <c r="O381" s="55" t="str">
        <f t="shared" si="5"/>
        <v>CONCLUÍDO</v>
      </c>
      <c r="P381" s="66" t="s">
        <v>2687</v>
      </c>
      <c r="Q381" s="100">
        <v>46171.0</v>
      </c>
      <c r="R381" s="96"/>
      <c r="S381" s="96"/>
      <c r="T381" s="96"/>
      <c r="U381" s="96"/>
      <c r="V381" s="96"/>
      <c r="W381" s="96"/>
      <c r="X381" s="96"/>
      <c r="Y381" s="96"/>
      <c r="Z381" s="96"/>
      <c r="AA381" s="96"/>
      <c r="AB381" s="96"/>
      <c r="AC381" s="96"/>
      <c r="AD381" s="96"/>
    </row>
    <row r="382">
      <c r="A382" s="190" t="s">
        <v>2775</v>
      </c>
      <c r="B382" s="103" t="s">
        <v>276</v>
      </c>
      <c r="C382" s="54" t="s">
        <v>570</v>
      </c>
      <c r="D382" s="66" t="s">
        <v>328</v>
      </c>
      <c r="E382" s="66" t="s">
        <v>2270</v>
      </c>
      <c r="F382" s="66" t="s">
        <v>2337</v>
      </c>
      <c r="G382" s="100">
        <v>46170.0</v>
      </c>
      <c r="H382" s="58">
        <v>0.6180555555555556</v>
      </c>
      <c r="I382" s="66" t="s">
        <v>889</v>
      </c>
      <c r="J382" s="66" t="s">
        <v>277</v>
      </c>
      <c r="K382" s="66" t="s">
        <v>2258</v>
      </c>
      <c r="L382" s="104" t="s">
        <v>2728</v>
      </c>
      <c r="M382" s="66" t="s">
        <v>2777</v>
      </c>
      <c r="N382" s="100">
        <v>46175.0</v>
      </c>
      <c r="O382" s="55" t="str">
        <f t="shared" si="5"/>
        <v>CONCLUÍDO</v>
      </c>
      <c r="P382" s="66" t="s">
        <v>2687</v>
      </c>
      <c r="Q382" s="100">
        <v>46171.0</v>
      </c>
      <c r="R382" s="96"/>
      <c r="S382" s="96"/>
      <c r="T382" s="96"/>
      <c r="U382" s="96"/>
      <c r="V382" s="96"/>
      <c r="W382" s="96"/>
      <c r="X382" s="96"/>
      <c r="Y382" s="96"/>
      <c r="Z382" s="96"/>
      <c r="AA382" s="96"/>
      <c r="AB382" s="96"/>
      <c r="AC382" s="96"/>
      <c r="AD382" s="96"/>
    </row>
    <row r="383">
      <c r="A383" s="190" t="s">
        <v>2779</v>
      </c>
      <c r="B383" s="103" t="s">
        <v>276</v>
      </c>
      <c r="C383" s="54" t="s">
        <v>570</v>
      </c>
      <c r="D383" s="66" t="s">
        <v>328</v>
      </c>
      <c r="E383" s="66" t="s">
        <v>2270</v>
      </c>
      <c r="F383" s="66" t="s">
        <v>2337</v>
      </c>
      <c r="G383" s="100">
        <v>46170.0</v>
      </c>
      <c r="H383" s="58">
        <v>0.6180555555555556</v>
      </c>
      <c r="I383" s="66" t="s">
        <v>889</v>
      </c>
      <c r="J383" s="66" t="s">
        <v>277</v>
      </c>
      <c r="K383" s="66" t="s">
        <v>2258</v>
      </c>
      <c r="L383" s="104" t="s">
        <v>2728</v>
      </c>
      <c r="M383" s="66" t="s">
        <v>2782</v>
      </c>
      <c r="N383" s="100">
        <v>46175.0</v>
      </c>
      <c r="O383" s="55" t="str">
        <f t="shared" si="5"/>
        <v>CONCLUÍDO</v>
      </c>
      <c r="P383" s="66" t="s">
        <v>2687</v>
      </c>
      <c r="Q383" s="100">
        <v>46171.0</v>
      </c>
      <c r="R383" s="96"/>
      <c r="S383" s="96"/>
      <c r="T383" s="96"/>
      <c r="U383" s="96"/>
      <c r="V383" s="96"/>
      <c r="W383" s="96"/>
      <c r="X383" s="96"/>
      <c r="Y383" s="96"/>
      <c r="Z383" s="96"/>
      <c r="AA383" s="96"/>
      <c r="AB383" s="96"/>
      <c r="AC383" s="96"/>
      <c r="AD383" s="96"/>
    </row>
    <row r="384">
      <c r="A384" s="190" t="s">
        <v>2783</v>
      </c>
      <c r="B384" s="103" t="s">
        <v>276</v>
      </c>
      <c r="C384" s="54" t="s">
        <v>570</v>
      </c>
      <c r="D384" s="66" t="s">
        <v>328</v>
      </c>
      <c r="E384" s="66" t="s">
        <v>2270</v>
      </c>
      <c r="F384" s="66" t="s">
        <v>2337</v>
      </c>
      <c r="G384" s="100">
        <v>46170.0</v>
      </c>
      <c r="H384" s="58">
        <v>0.6180555555555556</v>
      </c>
      <c r="I384" s="66" t="s">
        <v>889</v>
      </c>
      <c r="J384" s="66" t="s">
        <v>277</v>
      </c>
      <c r="K384" s="66" t="s">
        <v>2258</v>
      </c>
      <c r="L384" s="104" t="s">
        <v>2728</v>
      </c>
      <c r="M384" s="66" t="s">
        <v>2785</v>
      </c>
      <c r="N384" s="100">
        <v>46175.0</v>
      </c>
      <c r="O384" s="55" t="str">
        <f t="shared" si="5"/>
        <v>CONCLUÍDO</v>
      </c>
      <c r="P384" s="66" t="s">
        <v>2687</v>
      </c>
      <c r="Q384" s="100">
        <v>46171.0</v>
      </c>
      <c r="R384" s="96"/>
      <c r="S384" s="96"/>
      <c r="T384" s="96"/>
      <c r="U384" s="96"/>
      <c r="V384" s="96"/>
      <c r="W384" s="96"/>
      <c r="X384" s="96"/>
      <c r="Y384" s="96"/>
      <c r="Z384" s="96"/>
      <c r="AA384" s="96"/>
      <c r="AB384" s="96"/>
      <c r="AC384" s="96"/>
      <c r="AD384" s="96"/>
    </row>
    <row r="385">
      <c r="A385" s="190" t="s">
        <v>2787</v>
      </c>
      <c r="B385" s="103" t="s">
        <v>276</v>
      </c>
      <c r="C385" s="54" t="s">
        <v>570</v>
      </c>
      <c r="D385" s="66" t="s">
        <v>328</v>
      </c>
      <c r="E385" s="66" t="s">
        <v>2270</v>
      </c>
      <c r="F385" s="66" t="s">
        <v>2337</v>
      </c>
      <c r="G385" s="100">
        <v>46170.0</v>
      </c>
      <c r="H385" s="58">
        <v>0.6180555555555556</v>
      </c>
      <c r="I385" s="66" t="s">
        <v>889</v>
      </c>
      <c r="J385" s="66" t="s">
        <v>277</v>
      </c>
      <c r="K385" s="66" t="s">
        <v>2258</v>
      </c>
      <c r="L385" s="104" t="s">
        <v>2728</v>
      </c>
      <c r="M385" s="66" t="s">
        <v>566</v>
      </c>
      <c r="N385" s="100">
        <v>46175.0</v>
      </c>
      <c r="O385" s="55" t="str">
        <f t="shared" si="5"/>
        <v>CONCLUÍDO</v>
      </c>
      <c r="P385" s="66" t="s">
        <v>2687</v>
      </c>
      <c r="Q385" s="100">
        <v>46171.0</v>
      </c>
      <c r="R385" s="96"/>
      <c r="S385" s="96"/>
      <c r="T385" s="96"/>
      <c r="U385" s="96"/>
      <c r="V385" s="96"/>
      <c r="W385" s="96"/>
      <c r="X385" s="96"/>
      <c r="Y385" s="96"/>
      <c r="Z385" s="96"/>
      <c r="AA385" s="96"/>
      <c r="AB385" s="96"/>
      <c r="AC385" s="96"/>
      <c r="AD385" s="96"/>
    </row>
    <row r="386">
      <c r="A386" s="190" t="s">
        <v>2791</v>
      </c>
      <c r="B386" s="103" t="s">
        <v>276</v>
      </c>
      <c r="C386" s="54" t="s">
        <v>277</v>
      </c>
      <c r="D386" s="66" t="s">
        <v>328</v>
      </c>
      <c r="E386" s="66" t="s">
        <v>2793</v>
      </c>
      <c r="F386" s="66">
        <v>3.1993990026E10</v>
      </c>
      <c r="G386" s="100">
        <v>46171.0</v>
      </c>
      <c r="H386" s="58">
        <v>0.4930555555555556</v>
      </c>
      <c r="I386" s="66" t="s">
        <v>1749</v>
      </c>
      <c r="J386" s="66" t="s">
        <v>473</v>
      </c>
      <c r="K386" s="66" t="s">
        <v>474</v>
      </c>
      <c r="L386" s="104" t="s">
        <v>2795</v>
      </c>
      <c r="M386" s="66" t="s">
        <v>2796</v>
      </c>
      <c r="N386" s="100">
        <v>46179.0</v>
      </c>
      <c r="O386" s="55" t="str">
        <f t="shared" si="5"/>
        <v>CONCLUÍDO</v>
      </c>
      <c r="P386" s="215" t="s">
        <v>2797</v>
      </c>
      <c r="Q386" s="100"/>
      <c r="R386" s="96"/>
      <c r="S386" s="96"/>
      <c r="T386" s="96"/>
      <c r="U386" s="96"/>
      <c r="V386" s="96"/>
      <c r="W386" s="96"/>
      <c r="X386" s="96"/>
      <c r="Y386" s="96"/>
      <c r="Z386" s="96"/>
      <c r="AA386" s="96"/>
      <c r="AB386" s="96"/>
      <c r="AC386" s="96"/>
      <c r="AD386" s="96"/>
    </row>
    <row r="387">
      <c r="A387" s="190" t="s">
        <v>2799</v>
      </c>
      <c r="B387" s="103" t="s">
        <v>276</v>
      </c>
      <c r="C387" s="54" t="s">
        <v>277</v>
      </c>
      <c r="D387" s="66" t="s">
        <v>328</v>
      </c>
      <c r="E387" s="66" t="s">
        <v>2793</v>
      </c>
      <c r="F387" s="66">
        <v>3.1993990026E10</v>
      </c>
      <c r="G387" s="100">
        <v>46174.0</v>
      </c>
      <c r="H387" s="58">
        <v>0.4625</v>
      </c>
      <c r="I387" s="66" t="s">
        <v>1749</v>
      </c>
      <c r="J387" s="66" t="s">
        <v>473</v>
      </c>
      <c r="K387" s="66" t="s">
        <v>474</v>
      </c>
      <c r="L387" s="104" t="s">
        <v>2801</v>
      </c>
      <c r="M387" s="66" t="s">
        <v>2802</v>
      </c>
      <c r="N387" s="100">
        <v>46181.0</v>
      </c>
      <c r="O387" s="55" t="str">
        <f t="shared" si="5"/>
        <v>CONCLUÍDO</v>
      </c>
      <c r="P387" s="215" t="s">
        <v>2803</v>
      </c>
      <c r="Q387" s="100">
        <v>46175.0</v>
      </c>
      <c r="R387" s="96"/>
      <c r="S387" s="96"/>
      <c r="T387" s="96"/>
      <c r="U387" s="96"/>
      <c r="V387" s="96"/>
      <c r="W387" s="96"/>
      <c r="X387" s="96"/>
      <c r="Y387" s="96"/>
      <c r="Z387" s="96"/>
      <c r="AA387" s="96"/>
      <c r="AB387" s="96"/>
      <c r="AC387" s="96"/>
      <c r="AD387" s="96"/>
    </row>
    <row r="388">
      <c r="A388" s="190" t="s">
        <v>2805</v>
      </c>
      <c r="B388" s="103" t="s">
        <v>276</v>
      </c>
      <c r="C388" s="54" t="s">
        <v>277</v>
      </c>
      <c r="D388" s="66" t="s">
        <v>328</v>
      </c>
      <c r="E388" s="66" t="s">
        <v>708</v>
      </c>
      <c r="F388" s="66" t="s">
        <v>2806</v>
      </c>
      <c r="G388" s="100">
        <v>46175.0</v>
      </c>
      <c r="H388" s="58">
        <v>0.6201388888888889</v>
      </c>
      <c r="I388" s="66" t="s">
        <v>2299</v>
      </c>
      <c r="J388" s="66" t="s">
        <v>473</v>
      </c>
      <c r="K388" s="66" t="s">
        <v>474</v>
      </c>
      <c r="L388" s="104" t="s">
        <v>2808</v>
      </c>
      <c r="M388" s="66" t="s">
        <v>2802</v>
      </c>
      <c r="N388" s="100">
        <v>46181.0</v>
      </c>
      <c r="O388" s="55" t="str">
        <f t="shared" si="5"/>
        <v>CONCLUÍDO</v>
      </c>
      <c r="P388" s="105" t="s">
        <v>2809</v>
      </c>
      <c r="Q388" s="100"/>
      <c r="R388" s="96"/>
      <c r="S388" s="96"/>
      <c r="T388" s="96"/>
      <c r="U388" s="96"/>
      <c r="V388" s="96"/>
      <c r="W388" s="96"/>
      <c r="X388" s="96"/>
      <c r="Y388" s="96"/>
      <c r="Z388" s="96"/>
      <c r="AA388" s="96"/>
      <c r="AB388" s="96"/>
      <c r="AC388" s="96"/>
      <c r="AD388" s="96"/>
    </row>
    <row r="389">
      <c r="A389" s="190" t="s">
        <v>2811</v>
      </c>
      <c r="B389" s="103" t="s">
        <v>276</v>
      </c>
      <c r="C389" s="54" t="s">
        <v>2624</v>
      </c>
      <c r="D389" s="66" t="s">
        <v>328</v>
      </c>
      <c r="E389" s="66" t="s">
        <v>605</v>
      </c>
      <c r="F389" s="100"/>
      <c r="G389" s="100">
        <v>46182.0</v>
      </c>
      <c r="H389" s="58">
        <v>0.46597222222222223</v>
      </c>
      <c r="I389" s="66" t="s">
        <v>2299</v>
      </c>
      <c r="J389" s="66" t="s">
        <v>473</v>
      </c>
      <c r="K389" s="66" t="s">
        <v>474</v>
      </c>
      <c r="L389" s="104" t="s">
        <v>2813</v>
      </c>
      <c r="M389" s="66" t="s">
        <v>2169</v>
      </c>
      <c r="N389" s="100">
        <v>46188.0</v>
      </c>
      <c r="O389" s="55" t="str">
        <f t="shared" si="5"/>
        <v>CONCLUÍDO</v>
      </c>
      <c r="P389" s="215" t="s">
        <v>2815</v>
      </c>
      <c r="Q389" s="100">
        <v>46183.0</v>
      </c>
      <c r="R389" s="96"/>
      <c r="S389" s="96"/>
      <c r="T389" s="96"/>
      <c r="U389" s="96"/>
      <c r="V389" s="96"/>
      <c r="W389" s="96"/>
      <c r="X389" s="96"/>
      <c r="Y389" s="96"/>
      <c r="Z389" s="96"/>
      <c r="AA389" s="96"/>
      <c r="AB389" s="96"/>
      <c r="AC389" s="96"/>
      <c r="AD389" s="96"/>
    </row>
    <row r="390">
      <c r="A390" s="190" t="s">
        <v>2817</v>
      </c>
      <c r="B390" s="103" t="s">
        <v>2600</v>
      </c>
      <c r="C390" s="54" t="s">
        <v>2624</v>
      </c>
      <c r="D390" s="66" t="s">
        <v>328</v>
      </c>
      <c r="E390" s="66" t="s">
        <v>2082</v>
      </c>
      <c r="F390" s="66"/>
      <c r="G390" s="100">
        <v>46182.0</v>
      </c>
      <c r="H390" s="58">
        <v>0.6215277777777778</v>
      </c>
      <c r="I390" s="66" t="s">
        <v>2299</v>
      </c>
      <c r="J390" s="66" t="s">
        <v>473</v>
      </c>
      <c r="K390" s="66" t="s">
        <v>474</v>
      </c>
      <c r="L390" s="104" t="s">
        <v>2819</v>
      </c>
      <c r="M390" s="66" t="s">
        <v>2820</v>
      </c>
      <c r="N390" s="100">
        <v>46188.0</v>
      </c>
      <c r="O390" s="55" t="str">
        <f t="shared" si="5"/>
        <v>ANALISADO</v>
      </c>
      <c r="P390" s="233" t="s">
        <v>2821</v>
      </c>
      <c r="Q390" s="100"/>
      <c r="R390" s="96"/>
      <c r="S390" s="96"/>
      <c r="T390" s="96"/>
      <c r="U390" s="96"/>
      <c r="V390" s="96"/>
      <c r="W390" s="96"/>
      <c r="X390" s="96"/>
      <c r="Y390" s="96"/>
      <c r="Z390" s="96"/>
      <c r="AA390" s="96"/>
      <c r="AB390" s="96"/>
      <c r="AC390" s="96"/>
      <c r="AD390" s="96"/>
    </row>
    <row r="391">
      <c r="A391" s="190" t="s">
        <v>2822</v>
      </c>
      <c r="B391" s="103" t="s">
        <v>276</v>
      </c>
      <c r="C391" s="54" t="s">
        <v>277</v>
      </c>
      <c r="D391" s="66" t="s">
        <v>378</v>
      </c>
      <c r="E391" s="66" t="s">
        <v>676</v>
      </c>
      <c r="F391" s="66">
        <v>3.1999878777E10</v>
      </c>
      <c r="G391" s="100">
        <v>46182.0</v>
      </c>
      <c r="H391" s="58">
        <v>0.5777777777777777</v>
      </c>
      <c r="I391" s="66" t="s">
        <v>2313</v>
      </c>
      <c r="J391" s="66" t="s">
        <v>473</v>
      </c>
      <c r="K391" s="66" t="s">
        <v>474</v>
      </c>
      <c r="L391" s="104" t="s">
        <v>2824</v>
      </c>
      <c r="M391" s="66"/>
      <c r="N391" s="100">
        <v>46193.0</v>
      </c>
      <c r="O391" s="55" t="str">
        <f t="shared" si="5"/>
        <v>CONCLUÍDO</v>
      </c>
      <c r="P391" s="215" t="s">
        <v>2826</v>
      </c>
      <c r="Q391" s="100">
        <v>46183.0</v>
      </c>
      <c r="R391" s="96"/>
      <c r="S391" s="96"/>
      <c r="T391" s="96"/>
      <c r="U391" s="96"/>
      <c r="V391" s="96"/>
      <c r="W391" s="96"/>
      <c r="X391" s="96"/>
      <c r="Y391" s="96"/>
      <c r="Z391" s="96"/>
      <c r="AA391" s="96"/>
      <c r="AB391" s="96"/>
      <c r="AC391" s="96"/>
      <c r="AD391" s="96"/>
    </row>
    <row r="392">
      <c r="A392" s="190" t="s">
        <v>2827</v>
      </c>
      <c r="B392" s="103" t="s">
        <v>276</v>
      </c>
      <c r="C392" s="54" t="s">
        <v>277</v>
      </c>
      <c r="D392" s="66" t="s">
        <v>328</v>
      </c>
      <c r="E392" s="66" t="s">
        <v>2829</v>
      </c>
      <c r="F392" s="66">
        <v>3.199592115E10</v>
      </c>
      <c r="G392" s="100">
        <v>46183.0</v>
      </c>
      <c r="H392" s="58">
        <v>0.4965277777777778</v>
      </c>
      <c r="I392" s="66" t="s">
        <v>1749</v>
      </c>
      <c r="J392" s="66" t="s">
        <v>473</v>
      </c>
      <c r="K392" s="66" t="s">
        <v>474</v>
      </c>
      <c r="L392" s="104" t="s">
        <v>2830</v>
      </c>
      <c r="M392" s="66"/>
      <c r="N392" s="100">
        <v>46188.0</v>
      </c>
      <c r="O392" s="55" t="str">
        <f t="shared" si="5"/>
        <v>CONCLUÍDO</v>
      </c>
      <c r="P392" s="215" t="s">
        <v>2831</v>
      </c>
      <c r="Q392" s="100">
        <v>46183.0</v>
      </c>
      <c r="R392" s="96"/>
      <c r="S392" s="96"/>
      <c r="T392" s="96"/>
      <c r="U392" s="96"/>
      <c r="V392" s="96"/>
      <c r="W392" s="96"/>
      <c r="X392" s="96"/>
      <c r="Y392" s="96"/>
      <c r="Z392" s="96"/>
      <c r="AA392" s="96"/>
      <c r="AB392" s="96"/>
      <c r="AC392" s="96"/>
      <c r="AD392" s="96"/>
    </row>
    <row r="393">
      <c r="A393" s="190" t="s">
        <v>2833</v>
      </c>
      <c r="B393" s="103" t="s">
        <v>276</v>
      </c>
      <c r="C393" s="54" t="s">
        <v>277</v>
      </c>
      <c r="D393" s="66" t="s">
        <v>328</v>
      </c>
      <c r="E393" s="66" t="s">
        <v>2835</v>
      </c>
      <c r="F393" s="66"/>
      <c r="G393" s="100">
        <v>46184.0</v>
      </c>
      <c r="H393" s="58">
        <v>0.475</v>
      </c>
      <c r="I393" s="66" t="s">
        <v>2299</v>
      </c>
      <c r="J393" s="66" t="s">
        <v>277</v>
      </c>
      <c r="K393" s="66" t="s">
        <v>314</v>
      </c>
      <c r="L393" s="104" t="s">
        <v>2837</v>
      </c>
      <c r="M393" s="66"/>
      <c r="N393" s="100">
        <v>46190.0</v>
      </c>
      <c r="O393" s="55" t="str">
        <f t="shared" si="5"/>
        <v>CONCLUÍDO</v>
      </c>
      <c r="P393" s="215" t="s">
        <v>2838</v>
      </c>
      <c r="Q393" s="100">
        <v>46184.0</v>
      </c>
      <c r="R393" s="96"/>
      <c r="S393" s="96"/>
      <c r="T393" s="96"/>
      <c r="U393" s="96"/>
      <c r="V393" s="96"/>
      <c r="W393" s="96"/>
      <c r="X393" s="96"/>
      <c r="Y393" s="96"/>
      <c r="Z393" s="96"/>
      <c r="AA393" s="96"/>
      <c r="AB393" s="96"/>
      <c r="AC393" s="96"/>
      <c r="AD393" s="96"/>
    </row>
    <row r="394">
      <c r="A394" s="190" t="s">
        <v>2840</v>
      </c>
      <c r="B394" s="103" t="s">
        <v>2600</v>
      </c>
      <c r="C394" s="54" t="s">
        <v>277</v>
      </c>
      <c r="D394" s="66" t="s">
        <v>328</v>
      </c>
      <c r="E394" s="66" t="s">
        <v>2841</v>
      </c>
      <c r="F394" s="66">
        <v>3.1996726355E10</v>
      </c>
      <c r="G394" s="100">
        <v>46185.0</v>
      </c>
      <c r="H394" s="58">
        <v>0.3347222222222222</v>
      </c>
      <c r="I394" s="66" t="s">
        <v>2299</v>
      </c>
      <c r="J394" s="66" t="s">
        <v>277</v>
      </c>
      <c r="K394" s="66" t="s">
        <v>2843</v>
      </c>
      <c r="L394" s="104" t="s">
        <v>2844</v>
      </c>
      <c r="M394" s="66"/>
      <c r="N394" s="100">
        <v>46193.0</v>
      </c>
      <c r="O394" s="55" t="str">
        <f t="shared" si="5"/>
        <v>ANALISADO</v>
      </c>
      <c r="P394" s="215"/>
      <c r="Q394" s="100"/>
      <c r="R394" s="96"/>
      <c r="S394" s="96"/>
      <c r="T394" s="96"/>
      <c r="U394" s="96"/>
      <c r="V394" s="96"/>
      <c r="W394" s="96"/>
      <c r="X394" s="96"/>
      <c r="Y394" s="96"/>
      <c r="Z394" s="96"/>
      <c r="AA394" s="96"/>
      <c r="AB394" s="96"/>
      <c r="AC394" s="96"/>
      <c r="AD394" s="96"/>
    </row>
    <row r="395">
      <c r="A395" s="190" t="s">
        <v>2846</v>
      </c>
      <c r="B395" s="103" t="s">
        <v>765</v>
      </c>
      <c r="C395" s="54" t="s">
        <v>2624</v>
      </c>
      <c r="D395" s="66" t="s">
        <v>642</v>
      </c>
      <c r="E395" s="66" t="s">
        <v>646</v>
      </c>
      <c r="F395" s="100"/>
      <c r="G395" s="100">
        <v>46190.0</v>
      </c>
      <c r="H395" s="58">
        <v>0.3958333333333333</v>
      </c>
      <c r="I395" s="66" t="s">
        <v>2662</v>
      </c>
      <c r="J395" s="66" t="s">
        <v>692</v>
      </c>
      <c r="K395" s="66" t="s">
        <v>407</v>
      </c>
      <c r="L395" s="104" t="s">
        <v>2849</v>
      </c>
      <c r="N395" s="178">
        <v>46196.0</v>
      </c>
      <c r="O395" s="55" t="str">
        <f t="shared" si="5"/>
        <v>VENCIDO</v>
      </c>
      <c r="P395" s="215"/>
      <c r="Q395" s="100"/>
      <c r="R395" s="96"/>
      <c r="S395" s="96"/>
      <c r="T395" s="96"/>
      <c r="U395" s="96"/>
      <c r="V395" s="96"/>
      <c r="W395" s="96"/>
      <c r="X395" s="96"/>
      <c r="Y395" s="96"/>
      <c r="Z395" s="96"/>
      <c r="AA395" s="96"/>
      <c r="AB395" s="96"/>
      <c r="AC395" s="96"/>
      <c r="AD395" s="96"/>
    </row>
    <row r="396">
      <c r="A396" s="190" t="s">
        <v>2851</v>
      </c>
      <c r="B396" s="103" t="s">
        <v>2600</v>
      </c>
      <c r="C396" s="54" t="s">
        <v>2624</v>
      </c>
      <c r="D396" s="66" t="s">
        <v>328</v>
      </c>
      <c r="E396" s="66" t="s">
        <v>2853</v>
      </c>
      <c r="F396" s="66" t="s">
        <v>2854</v>
      </c>
      <c r="G396" s="100">
        <v>46190.0</v>
      </c>
      <c r="H396" s="58">
        <v>0.5</v>
      </c>
      <c r="I396" s="66" t="s">
        <v>2299</v>
      </c>
      <c r="J396" s="66" t="s">
        <v>473</v>
      </c>
      <c r="K396" s="66" t="s">
        <v>474</v>
      </c>
      <c r="L396" s="104" t="s">
        <v>2855</v>
      </c>
      <c r="M396" s="66"/>
      <c r="N396" s="100">
        <v>46197.0</v>
      </c>
      <c r="O396" s="55" t="str">
        <f t="shared" si="5"/>
        <v>ANALISADO</v>
      </c>
      <c r="P396" s="215" t="s">
        <v>2857</v>
      </c>
      <c r="Q396" s="100">
        <v>46203.0</v>
      </c>
      <c r="R396" s="96"/>
      <c r="S396" s="96"/>
      <c r="T396" s="96"/>
      <c r="U396" s="96"/>
      <c r="V396" s="96"/>
      <c r="W396" s="96"/>
      <c r="X396" s="96"/>
      <c r="Y396" s="96"/>
      <c r="Z396" s="96"/>
      <c r="AA396" s="96"/>
      <c r="AB396" s="96"/>
      <c r="AC396" s="96"/>
      <c r="AD396" s="96"/>
    </row>
    <row r="397">
      <c r="A397" s="190" t="s">
        <v>2858</v>
      </c>
      <c r="B397" s="103" t="s">
        <v>2600</v>
      </c>
      <c r="C397" s="54" t="s">
        <v>2624</v>
      </c>
      <c r="D397" s="66" t="s">
        <v>328</v>
      </c>
      <c r="E397" s="66" t="s">
        <v>2323</v>
      </c>
      <c r="F397" s="66" t="s">
        <v>2324</v>
      </c>
      <c r="G397" s="100">
        <v>46190.0</v>
      </c>
      <c r="H397" s="58">
        <v>0.5</v>
      </c>
      <c r="I397" s="66" t="s">
        <v>2299</v>
      </c>
      <c r="J397" s="66" t="s">
        <v>473</v>
      </c>
      <c r="K397" s="66" t="s">
        <v>474</v>
      </c>
      <c r="L397" s="104" t="s">
        <v>2861</v>
      </c>
      <c r="M397" s="66" t="s">
        <v>2862</v>
      </c>
      <c r="N397" s="100">
        <v>46197.0</v>
      </c>
      <c r="O397" s="55" t="str">
        <f t="shared" si="5"/>
        <v>ANALISADO</v>
      </c>
      <c r="P397" s="215" t="s">
        <v>2864</v>
      </c>
      <c r="Q397" s="100"/>
      <c r="R397" s="96"/>
      <c r="S397" s="96"/>
      <c r="T397" s="96"/>
      <c r="U397" s="96"/>
      <c r="V397" s="96"/>
      <c r="W397" s="96"/>
      <c r="X397" s="96"/>
      <c r="Y397" s="96"/>
      <c r="Z397" s="96"/>
      <c r="AA397" s="96"/>
      <c r="AB397" s="96"/>
      <c r="AC397" s="96"/>
      <c r="AD397" s="96"/>
    </row>
    <row r="398">
      <c r="A398" s="190" t="s">
        <v>2865</v>
      </c>
      <c r="B398" s="103" t="s">
        <v>2600</v>
      </c>
      <c r="C398" s="54" t="s">
        <v>2624</v>
      </c>
      <c r="D398" s="66" t="s">
        <v>328</v>
      </c>
      <c r="E398" s="66" t="s">
        <v>2323</v>
      </c>
      <c r="F398" s="66" t="s">
        <v>2324</v>
      </c>
      <c r="G398" s="100">
        <v>46192.0</v>
      </c>
      <c r="H398" s="58">
        <v>0.4423611111111111</v>
      </c>
      <c r="I398" s="66" t="s">
        <v>2299</v>
      </c>
      <c r="J398" s="66" t="s">
        <v>473</v>
      </c>
      <c r="K398" s="66" t="s">
        <v>474</v>
      </c>
      <c r="L398" s="104" t="s">
        <v>2867</v>
      </c>
      <c r="M398" s="66" t="s">
        <v>2868</v>
      </c>
      <c r="N398" s="100">
        <v>46198.0</v>
      </c>
      <c r="O398" s="55" t="str">
        <f t="shared" si="5"/>
        <v>ANALISADO</v>
      </c>
      <c r="P398" s="215" t="s">
        <v>2869</v>
      </c>
      <c r="Q398" s="100"/>
      <c r="R398" s="96"/>
      <c r="S398" s="96"/>
      <c r="T398" s="96"/>
      <c r="U398" s="96"/>
      <c r="V398" s="96"/>
      <c r="W398" s="96"/>
      <c r="X398" s="96"/>
      <c r="Y398" s="96"/>
      <c r="Z398" s="96"/>
      <c r="AA398" s="96"/>
      <c r="AB398" s="96"/>
      <c r="AC398" s="96"/>
      <c r="AD398" s="96"/>
    </row>
    <row r="399">
      <c r="A399" s="190" t="s">
        <v>2871</v>
      </c>
      <c r="B399" s="103" t="s">
        <v>276</v>
      </c>
      <c r="C399" s="54" t="s">
        <v>2624</v>
      </c>
      <c r="D399" s="66" t="s">
        <v>328</v>
      </c>
      <c r="E399" s="66" t="s">
        <v>708</v>
      </c>
      <c r="F399" s="100"/>
      <c r="G399" s="178">
        <v>46192.0</v>
      </c>
      <c r="H399" s="58">
        <v>0.6180555555555556</v>
      </c>
      <c r="I399" s="66" t="s">
        <v>2299</v>
      </c>
      <c r="J399" s="66" t="s">
        <v>473</v>
      </c>
      <c r="K399" s="66" t="s">
        <v>474</v>
      </c>
      <c r="L399" s="104" t="s">
        <v>2873</v>
      </c>
      <c r="M399" s="66" t="s">
        <v>2874</v>
      </c>
      <c r="N399" s="100">
        <v>46198.0</v>
      </c>
      <c r="O399" s="55" t="str">
        <f t="shared" si="5"/>
        <v>CONCLUÍDO</v>
      </c>
      <c r="P399" s="215"/>
      <c r="Q399" s="100">
        <v>46196.0</v>
      </c>
      <c r="R399" s="96"/>
      <c r="S399" s="96"/>
      <c r="T399" s="96"/>
      <c r="U399" s="96"/>
      <c r="V399" s="96"/>
      <c r="W399" s="96"/>
      <c r="X399" s="96"/>
      <c r="Y399" s="96"/>
      <c r="Z399" s="96"/>
      <c r="AA399" s="96"/>
      <c r="AB399" s="96"/>
      <c r="AC399" s="96"/>
      <c r="AD399" s="96"/>
    </row>
    <row r="400">
      <c r="A400" s="190" t="s">
        <v>2876</v>
      </c>
      <c r="B400" s="103" t="s">
        <v>765</v>
      </c>
      <c r="C400" s="54" t="s">
        <v>2624</v>
      </c>
      <c r="D400" s="66" t="s">
        <v>642</v>
      </c>
      <c r="E400" s="66" t="s">
        <v>646</v>
      </c>
      <c r="F400" s="100"/>
      <c r="G400" s="100">
        <v>46192.0</v>
      </c>
      <c r="H400" s="58">
        <v>0.6215277777777778</v>
      </c>
      <c r="I400" s="66" t="s">
        <v>771</v>
      </c>
      <c r="J400" s="66" t="s">
        <v>692</v>
      </c>
      <c r="K400" s="66" t="s">
        <v>407</v>
      </c>
      <c r="L400" s="104" t="s">
        <v>2877</v>
      </c>
      <c r="M400" s="66"/>
      <c r="N400" s="100">
        <v>46203.0</v>
      </c>
      <c r="O400" s="55" t="str">
        <f t="shared" si="5"/>
        <v>VENCIDO</v>
      </c>
      <c r="P400" s="215"/>
      <c r="Q400" s="100"/>
      <c r="R400" s="96"/>
      <c r="S400" s="96"/>
      <c r="T400" s="96"/>
      <c r="U400" s="96"/>
      <c r="V400" s="96"/>
      <c r="W400" s="96"/>
      <c r="X400" s="96"/>
      <c r="Y400" s="96"/>
      <c r="Z400" s="96"/>
      <c r="AA400" s="96"/>
      <c r="AB400" s="96"/>
      <c r="AC400" s="96"/>
      <c r="AD400" s="96"/>
    </row>
    <row r="401">
      <c r="A401" s="190" t="s">
        <v>2879</v>
      </c>
      <c r="B401" s="103" t="s">
        <v>2600</v>
      </c>
      <c r="C401" s="54" t="s">
        <v>2624</v>
      </c>
      <c r="D401" s="66" t="s">
        <v>328</v>
      </c>
      <c r="E401" s="66" t="s">
        <v>2082</v>
      </c>
      <c r="F401" s="100"/>
      <c r="G401" s="100">
        <v>46199.0</v>
      </c>
      <c r="H401" s="58">
        <v>0.45208333333333334</v>
      </c>
      <c r="I401" s="66" t="s">
        <v>2299</v>
      </c>
      <c r="J401" s="66" t="s">
        <v>473</v>
      </c>
      <c r="K401" s="66" t="s">
        <v>474</v>
      </c>
      <c r="L401" s="104" t="s">
        <v>2881</v>
      </c>
      <c r="M401" s="66" t="s">
        <v>2882</v>
      </c>
      <c r="N401" s="100">
        <v>46205.0</v>
      </c>
      <c r="O401" s="55" t="str">
        <f t="shared" si="5"/>
        <v>ANALISADO</v>
      </c>
      <c r="P401" s="215" t="s">
        <v>2883</v>
      </c>
      <c r="Q401" s="100">
        <v>46203.0</v>
      </c>
      <c r="R401" s="96"/>
      <c r="S401" s="96"/>
      <c r="T401" s="96"/>
      <c r="U401" s="96"/>
      <c r="V401" s="96"/>
      <c r="W401" s="96"/>
      <c r="X401" s="96"/>
      <c r="Y401" s="96"/>
      <c r="Z401" s="96"/>
      <c r="AA401" s="96"/>
      <c r="AB401" s="96"/>
      <c r="AC401" s="96"/>
      <c r="AD401" s="96"/>
    </row>
    <row r="402">
      <c r="A402" s="190" t="s">
        <v>2885</v>
      </c>
      <c r="B402" s="103" t="s">
        <v>276</v>
      </c>
      <c r="C402" s="54" t="s">
        <v>2624</v>
      </c>
      <c r="D402" s="66" t="s">
        <v>378</v>
      </c>
      <c r="E402" s="66" t="s">
        <v>676</v>
      </c>
      <c r="F402" s="100"/>
      <c r="G402" s="100">
        <v>46203.0</v>
      </c>
      <c r="H402" s="58">
        <v>0.375</v>
      </c>
      <c r="I402" s="66" t="s">
        <v>2313</v>
      </c>
      <c r="J402" s="66" t="s">
        <v>473</v>
      </c>
      <c r="K402" s="66" t="s">
        <v>474</v>
      </c>
      <c r="L402" s="104" t="s">
        <v>2887</v>
      </c>
      <c r="M402" s="66" t="s">
        <v>2888</v>
      </c>
      <c r="N402" s="100">
        <v>46206.0</v>
      </c>
      <c r="O402" s="55" t="str">
        <f t="shared" si="5"/>
        <v>CONCLUÍDO</v>
      </c>
      <c r="P402" s="215" t="s">
        <v>2889</v>
      </c>
      <c r="Q402" s="100">
        <v>46203.0</v>
      </c>
      <c r="R402" s="96"/>
      <c r="S402" s="96"/>
      <c r="T402" s="96"/>
      <c r="U402" s="96"/>
      <c r="V402" s="96"/>
      <c r="W402" s="96"/>
      <c r="X402" s="96"/>
      <c r="Y402" s="96"/>
      <c r="Z402" s="96"/>
      <c r="AA402" s="96"/>
      <c r="AB402" s="96"/>
      <c r="AC402" s="96"/>
      <c r="AD402" s="96"/>
    </row>
    <row r="403">
      <c r="A403" s="190" t="s">
        <v>2891</v>
      </c>
      <c r="B403" s="103" t="s">
        <v>276</v>
      </c>
      <c r="C403" s="54" t="s">
        <v>2624</v>
      </c>
      <c r="D403" s="66" t="s">
        <v>230</v>
      </c>
      <c r="E403" s="66" t="s">
        <v>247</v>
      </c>
      <c r="F403" s="100"/>
      <c r="G403" s="100">
        <v>46203.0</v>
      </c>
      <c r="H403" s="58">
        <v>0.375</v>
      </c>
      <c r="I403" s="66" t="s">
        <v>2313</v>
      </c>
      <c r="J403" s="66" t="s">
        <v>473</v>
      </c>
      <c r="K403" s="66" t="s">
        <v>474</v>
      </c>
      <c r="L403" s="104" t="s">
        <v>2892</v>
      </c>
      <c r="M403" s="66"/>
      <c r="N403" s="100">
        <v>46207.0</v>
      </c>
      <c r="O403" s="55" t="str">
        <f t="shared" si="5"/>
        <v>CONCLUÍDO</v>
      </c>
      <c r="P403" s="215" t="s">
        <v>2894</v>
      </c>
      <c r="Q403" s="100">
        <v>46203.0</v>
      </c>
      <c r="R403" s="96"/>
      <c r="S403" s="96"/>
      <c r="T403" s="96"/>
      <c r="U403" s="96"/>
      <c r="V403" s="96"/>
      <c r="W403" s="96"/>
      <c r="X403" s="96"/>
      <c r="Y403" s="96"/>
      <c r="Z403" s="96"/>
      <c r="AA403" s="96"/>
      <c r="AB403" s="96"/>
      <c r="AC403" s="96"/>
      <c r="AD403" s="96"/>
    </row>
    <row r="404">
      <c r="A404" s="190" t="s">
        <v>2895</v>
      </c>
      <c r="B404" s="103" t="s">
        <v>2600</v>
      </c>
      <c r="C404" s="54" t="s">
        <v>277</v>
      </c>
      <c r="D404" s="66" t="s">
        <v>328</v>
      </c>
      <c r="E404" s="66" t="s">
        <v>708</v>
      </c>
      <c r="F404" s="66" t="s">
        <v>2897</v>
      </c>
      <c r="G404" s="100">
        <v>46205.0</v>
      </c>
      <c r="H404" s="58">
        <v>0.3958333333333333</v>
      </c>
      <c r="I404" s="66" t="s">
        <v>2313</v>
      </c>
      <c r="J404" s="66" t="s">
        <v>473</v>
      </c>
      <c r="K404" s="66" t="s">
        <v>474</v>
      </c>
      <c r="L404" s="104" t="s">
        <v>2899</v>
      </c>
      <c r="M404" s="66"/>
      <c r="N404" s="100">
        <v>46218.0</v>
      </c>
      <c r="O404" s="55" t="str">
        <f t="shared" si="5"/>
        <v>ANALISADO</v>
      </c>
      <c r="P404" s="215" t="s">
        <v>2900</v>
      </c>
      <c r="Q404" s="100">
        <v>46211.0</v>
      </c>
      <c r="R404" s="96"/>
      <c r="S404" s="96"/>
      <c r="T404" s="96"/>
      <c r="U404" s="96"/>
      <c r="V404" s="96"/>
      <c r="W404" s="96"/>
      <c r="X404" s="96"/>
      <c r="Y404" s="96"/>
      <c r="Z404" s="96"/>
      <c r="AA404" s="96"/>
      <c r="AB404" s="96"/>
      <c r="AC404" s="96"/>
      <c r="AD404" s="96"/>
    </row>
    <row r="405">
      <c r="A405" s="190" t="s">
        <v>2902</v>
      </c>
      <c r="B405" s="103" t="s">
        <v>765</v>
      </c>
      <c r="C405" s="54" t="s">
        <v>277</v>
      </c>
      <c r="D405" s="66" t="s">
        <v>582</v>
      </c>
      <c r="E405" s="66" t="s">
        <v>2903</v>
      </c>
      <c r="F405" s="66" t="s">
        <v>2904</v>
      </c>
      <c r="G405" s="100">
        <v>46205.0</v>
      </c>
      <c r="H405" s="58">
        <v>0.4513888888888889</v>
      </c>
      <c r="I405" s="66" t="s">
        <v>1749</v>
      </c>
      <c r="J405" s="66" t="s">
        <v>692</v>
      </c>
      <c r="K405" s="66" t="s">
        <v>407</v>
      </c>
      <c r="L405" s="104" t="s">
        <v>2905</v>
      </c>
      <c r="M405" s="66"/>
      <c r="N405" s="100">
        <v>46235.0</v>
      </c>
      <c r="O405" s="55" t="str">
        <f t="shared" si="5"/>
        <v>VENCIDO</v>
      </c>
      <c r="P405" s="215"/>
      <c r="Q405" s="100"/>
      <c r="R405" s="96"/>
      <c r="S405" s="96"/>
      <c r="T405" s="96"/>
      <c r="U405" s="96"/>
      <c r="V405" s="96"/>
      <c r="W405" s="96"/>
      <c r="X405" s="96"/>
      <c r="Y405" s="96"/>
      <c r="Z405" s="96"/>
      <c r="AA405" s="96"/>
      <c r="AB405" s="96"/>
      <c r="AC405" s="96"/>
      <c r="AD405" s="96"/>
    </row>
    <row r="406">
      <c r="A406" s="190" t="s">
        <v>2907</v>
      </c>
      <c r="B406" s="103" t="s">
        <v>765</v>
      </c>
      <c r="C406" s="54" t="s">
        <v>277</v>
      </c>
      <c r="D406" s="66" t="s">
        <v>715</v>
      </c>
      <c r="E406" s="66" t="s">
        <v>718</v>
      </c>
      <c r="F406" s="66" t="s">
        <v>2908</v>
      </c>
      <c r="G406" s="100">
        <v>46206.0</v>
      </c>
      <c r="H406" s="58">
        <v>0.37222222222222223</v>
      </c>
      <c r="I406" s="66" t="s">
        <v>2299</v>
      </c>
      <c r="J406" s="66" t="s">
        <v>692</v>
      </c>
      <c r="K406" s="66" t="s">
        <v>407</v>
      </c>
      <c r="L406" s="104" t="s">
        <v>2910</v>
      </c>
      <c r="M406" s="66" t="s">
        <v>2911</v>
      </c>
      <c r="N406" s="100">
        <v>46218.0</v>
      </c>
      <c r="O406" s="55" t="str">
        <f t="shared" si="5"/>
        <v>VENCIDO</v>
      </c>
      <c r="P406" s="215"/>
      <c r="Q406" s="100"/>
      <c r="R406" s="96"/>
      <c r="S406" s="96"/>
      <c r="T406" s="96"/>
      <c r="U406" s="96"/>
      <c r="V406" s="96"/>
      <c r="W406" s="96"/>
      <c r="X406" s="96"/>
      <c r="Y406" s="96"/>
      <c r="Z406" s="96"/>
      <c r="AA406" s="96"/>
      <c r="AB406" s="96"/>
      <c r="AC406" s="96"/>
      <c r="AD406" s="96"/>
    </row>
    <row r="407">
      <c r="A407" s="190" t="s">
        <v>2913</v>
      </c>
      <c r="B407" s="103" t="s">
        <v>765</v>
      </c>
      <c r="C407" s="54" t="s">
        <v>277</v>
      </c>
      <c r="D407" s="66" t="s">
        <v>642</v>
      </c>
      <c r="E407" s="66" t="s">
        <v>2914</v>
      </c>
      <c r="F407" s="66" t="s">
        <v>2915</v>
      </c>
      <c r="G407" s="100">
        <v>46023.0</v>
      </c>
      <c r="H407" s="58">
        <v>0.0</v>
      </c>
      <c r="I407" s="66" t="s">
        <v>2299</v>
      </c>
      <c r="J407" s="66" t="s">
        <v>692</v>
      </c>
      <c r="K407" s="66" t="s">
        <v>407</v>
      </c>
      <c r="L407" s="104" t="s">
        <v>2917</v>
      </c>
      <c r="M407" s="66" t="s">
        <v>2918</v>
      </c>
      <c r="N407" s="100">
        <v>46218.0</v>
      </c>
      <c r="O407" s="55" t="str">
        <f t="shared" si="5"/>
        <v>VENCIDO</v>
      </c>
      <c r="P407" s="215"/>
      <c r="Q407" s="100"/>
      <c r="R407" s="96"/>
      <c r="S407" s="96"/>
      <c r="T407" s="96"/>
      <c r="U407" s="96"/>
      <c r="V407" s="96"/>
      <c r="W407" s="96"/>
      <c r="X407" s="96"/>
      <c r="Y407" s="96"/>
      <c r="Z407" s="96"/>
      <c r="AA407" s="96"/>
      <c r="AB407" s="96"/>
      <c r="AC407" s="96"/>
      <c r="AD407" s="96"/>
    </row>
    <row r="408">
      <c r="A408" s="190" t="s">
        <v>2920</v>
      </c>
      <c r="B408" s="103" t="s">
        <v>2600</v>
      </c>
      <c r="C408" s="54" t="s">
        <v>277</v>
      </c>
      <c r="D408" s="66" t="s">
        <v>328</v>
      </c>
      <c r="E408" s="66" t="s">
        <v>708</v>
      </c>
      <c r="F408" s="66" t="s">
        <v>2897</v>
      </c>
      <c r="G408" s="100">
        <v>46209.0</v>
      </c>
      <c r="H408" s="58">
        <v>0.4013888888888889</v>
      </c>
      <c r="I408" s="66" t="s">
        <v>2299</v>
      </c>
      <c r="J408" s="66" t="s">
        <v>473</v>
      </c>
      <c r="K408" s="66" t="s">
        <v>474</v>
      </c>
      <c r="L408" s="104" t="s">
        <v>2922</v>
      </c>
      <c r="M408" s="66" t="s">
        <v>2924</v>
      </c>
      <c r="N408" s="100">
        <v>46218.0</v>
      </c>
      <c r="O408" s="55" t="str">
        <f t="shared" si="5"/>
        <v>ANALISADO</v>
      </c>
      <c r="P408" s="215" t="s">
        <v>2925</v>
      </c>
      <c r="Q408" s="100"/>
      <c r="R408" s="96"/>
      <c r="S408" s="96"/>
      <c r="T408" s="96"/>
      <c r="U408" s="96"/>
      <c r="V408" s="96"/>
      <c r="W408" s="96"/>
      <c r="X408" s="96"/>
      <c r="Y408" s="96"/>
      <c r="Z408" s="96"/>
      <c r="AA408" s="96"/>
      <c r="AB408" s="96"/>
      <c r="AC408" s="96"/>
      <c r="AD408" s="96"/>
    </row>
    <row r="409">
      <c r="A409" s="190" t="s">
        <v>2926</v>
      </c>
      <c r="B409" s="103" t="s">
        <v>2600</v>
      </c>
      <c r="C409" s="54" t="s">
        <v>277</v>
      </c>
      <c r="D409" s="66" t="s">
        <v>328</v>
      </c>
      <c r="E409" s="66" t="s">
        <v>2270</v>
      </c>
      <c r="F409" s="100"/>
      <c r="G409" s="100">
        <v>46209.0</v>
      </c>
      <c r="H409" s="58">
        <v>0.4166666666666667</v>
      </c>
      <c r="I409" s="66" t="s">
        <v>2313</v>
      </c>
      <c r="J409" s="66" t="s">
        <v>473</v>
      </c>
      <c r="K409" s="66" t="s">
        <v>474</v>
      </c>
      <c r="L409" s="104" t="s">
        <v>2930</v>
      </c>
      <c r="M409" s="66" t="s">
        <v>2931</v>
      </c>
      <c r="N409" s="100">
        <v>46218.0</v>
      </c>
      <c r="O409" s="55" t="str">
        <f t="shared" si="5"/>
        <v>ANALISADO</v>
      </c>
      <c r="P409" s="215" t="s">
        <v>2925</v>
      </c>
      <c r="Q409" s="100">
        <v>46211.0</v>
      </c>
      <c r="R409" s="96"/>
      <c r="S409" s="96"/>
      <c r="T409" s="96"/>
      <c r="U409" s="96"/>
      <c r="V409" s="96"/>
      <c r="W409" s="96"/>
      <c r="X409" s="96"/>
      <c r="Y409" s="96"/>
      <c r="Z409" s="96"/>
      <c r="AA409" s="96"/>
      <c r="AB409" s="96"/>
      <c r="AC409" s="96"/>
      <c r="AD409" s="96"/>
    </row>
    <row r="410">
      <c r="A410" s="190" t="s">
        <v>2933</v>
      </c>
      <c r="B410" s="103" t="s">
        <v>276</v>
      </c>
      <c r="C410" s="54" t="s">
        <v>277</v>
      </c>
      <c r="D410" s="66" t="s">
        <v>328</v>
      </c>
      <c r="E410" s="66" t="s">
        <v>718</v>
      </c>
      <c r="F410" s="66" t="s">
        <v>2908</v>
      </c>
      <c r="G410" s="100">
        <v>46210.0</v>
      </c>
      <c r="H410" s="58">
        <v>0.6125</v>
      </c>
      <c r="I410" s="66" t="s">
        <v>2299</v>
      </c>
      <c r="J410" s="66" t="s">
        <v>473</v>
      </c>
      <c r="K410" s="66" t="s">
        <v>474</v>
      </c>
      <c r="L410" s="104" t="s">
        <v>2936</v>
      </c>
      <c r="M410" s="66" t="s">
        <v>2937</v>
      </c>
      <c r="N410" s="100">
        <v>46218.0</v>
      </c>
      <c r="O410" s="55" t="str">
        <f t="shared" si="5"/>
        <v>CONCLUÍDO</v>
      </c>
      <c r="P410" s="215"/>
      <c r="Q410" s="100"/>
      <c r="R410" s="96"/>
      <c r="S410" s="96"/>
      <c r="T410" s="96"/>
      <c r="U410" s="96"/>
      <c r="V410" s="96"/>
      <c r="W410" s="96"/>
      <c r="X410" s="96"/>
      <c r="Y410" s="96"/>
      <c r="Z410" s="96"/>
      <c r="AA410" s="96"/>
      <c r="AB410" s="96"/>
      <c r="AC410" s="96"/>
      <c r="AD410" s="96"/>
    </row>
    <row r="411">
      <c r="A411" s="190" t="s">
        <v>2940</v>
      </c>
      <c r="B411" s="103" t="s">
        <v>765</v>
      </c>
      <c r="C411" s="54" t="s">
        <v>277</v>
      </c>
      <c r="D411" s="66" t="s">
        <v>230</v>
      </c>
      <c r="E411" s="66" t="s">
        <v>2942</v>
      </c>
      <c r="F411" s="100"/>
      <c r="G411" s="100">
        <v>46220.0</v>
      </c>
      <c r="H411" s="58">
        <v>0.4638888888888889</v>
      </c>
      <c r="I411" s="66" t="s">
        <v>2299</v>
      </c>
      <c r="J411" s="66" t="s">
        <v>473</v>
      </c>
      <c r="K411" s="66" t="s">
        <v>474</v>
      </c>
      <c r="L411" s="104" t="s">
        <v>2945</v>
      </c>
      <c r="M411" s="66" t="s">
        <v>2946</v>
      </c>
      <c r="N411" s="100">
        <v>46234.0</v>
      </c>
      <c r="O411" s="55" t="str">
        <f t="shared" si="5"/>
        <v>VENCIDO</v>
      </c>
      <c r="P411" s="215"/>
      <c r="Q411" s="100"/>
      <c r="R411" s="96"/>
      <c r="S411" s="96"/>
      <c r="T411" s="96"/>
      <c r="U411" s="96"/>
      <c r="V411" s="96"/>
      <c r="W411" s="96"/>
      <c r="X411" s="96"/>
      <c r="Y411" s="96"/>
      <c r="Z411" s="96"/>
      <c r="AA411" s="96"/>
      <c r="AB411" s="96"/>
      <c r="AC411" s="96"/>
      <c r="AD411" s="96"/>
    </row>
    <row r="412">
      <c r="A412" s="190" t="s">
        <v>2948</v>
      </c>
      <c r="B412" s="103" t="s">
        <v>765</v>
      </c>
      <c r="C412" s="54" t="s">
        <v>277</v>
      </c>
      <c r="D412" s="66" t="s">
        <v>715</v>
      </c>
      <c r="E412" s="66" t="s">
        <v>2950</v>
      </c>
      <c r="F412" s="66" t="s">
        <v>2951</v>
      </c>
      <c r="G412" s="100">
        <v>46227.0</v>
      </c>
      <c r="H412" s="58">
        <v>0.46319444444444446</v>
      </c>
      <c r="I412" s="66" t="s">
        <v>2299</v>
      </c>
      <c r="J412" s="66" t="s">
        <v>692</v>
      </c>
      <c r="K412" s="66" t="s">
        <v>407</v>
      </c>
      <c r="L412" s="104" t="s">
        <v>2953</v>
      </c>
      <c r="M412" s="66" t="s">
        <v>2955</v>
      </c>
      <c r="N412" s="100">
        <v>46234.0</v>
      </c>
      <c r="O412" s="55" t="str">
        <f t="shared" si="5"/>
        <v>VENCIDO</v>
      </c>
      <c r="P412" s="215"/>
      <c r="Q412" s="100"/>
      <c r="R412" s="96"/>
      <c r="S412" s="96"/>
      <c r="T412" s="96"/>
      <c r="U412" s="96"/>
      <c r="V412" s="96"/>
      <c r="W412" s="96"/>
      <c r="X412" s="96"/>
      <c r="Y412" s="96"/>
      <c r="Z412" s="96"/>
      <c r="AA412" s="96"/>
      <c r="AB412" s="96"/>
      <c r="AC412" s="96"/>
      <c r="AD412" s="96"/>
    </row>
    <row r="413">
      <c r="A413" s="190" t="s">
        <v>2958</v>
      </c>
      <c r="B413" s="103" t="s">
        <v>765</v>
      </c>
      <c r="C413" s="54" t="s">
        <v>277</v>
      </c>
      <c r="D413" s="66" t="s">
        <v>715</v>
      </c>
      <c r="E413" s="66" t="s">
        <v>718</v>
      </c>
      <c r="F413" s="66">
        <v>3.199898172E10</v>
      </c>
      <c r="G413" s="100">
        <v>46233.0</v>
      </c>
      <c r="H413" s="58">
        <v>0.7041666666666667</v>
      </c>
      <c r="I413" s="66" t="s">
        <v>2299</v>
      </c>
      <c r="J413" s="66" t="s">
        <v>473</v>
      </c>
      <c r="K413" s="66" t="s">
        <v>474</v>
      </c>
      <c r="L413" s="104" t="s">
        <v>2961</v>
      </c>
      <c r="M413" s="66" t="s">
        <v>2962</v>
      </c>
      <c r="N413" s="100">
        <v>46243.0</v>
      </c>
      <c r="O413" s="55" t="str">
        <f t="shared" si="5"/>
        <v>VENCIDO</v>
      </c>
      <c r="P413" s="215"/>
      <c r="Q413" s="100"/>
      <c r="R413" s="96"/>
      <c r="S413" s="96"/>
      <c r="T413" s="96"/>
      <c r="U413" s="96"/>
      <c r="V413" s="96"/>
      <c r="W413" s="96"/>
      <c r="X413" s="96"/>
      <c r="Y413" s="96"/>
      <c r="Z413" s="96"/>
      <c r="AA413" s="96"/>
      <c r="AB413" s="96"/>
      <c r="AC413" s="96"/>
      <c r="AD413" s="96"/>
    </row>
    <row r="414">
      <c r="A414" s="190" t="s">
        <v>2964</v>
      </c>
      <c r="B414" s="103" t="s">
        <v>765</v>
      </c>
      <c r="C414" s="54" t="s">
        <v>2624</v>
      </c>
      <c r="D414" s="66" t="s">
        <v>230</v>
      </c>
      <c r="E414" s="66" t="s">
        <v>912</v>
      </c>
      <c r="F414" s="100"/>
      <c r="G414" s="100">
        <v>46239.0</v>
      </c>
      <c r="H414" s="58">
        <v>0.4756944444444444</v>
      </c>
      <c r="I414" s="66" t="s">
        <v>2299</v>
      </c>
      <c r="J414" s="66" t="s">
        <v>473</v>
      </c>
      <c r="K414" s="66" t="s">
        <v>474</v>
      </c>
      <c r="L414" s="104" t="s">
        <v>2967</v>
      </c>
      <c r="M414" s="66"/>
      <c r="N414" s="100">
        <v>46245.0</v>
      </c>
      <c r="O414" s="55" t="str">
        <f t="shared" si="5"/>
        <v>VENCIDO</v>
      </c>
      <c r="P414" s="215"/>
      <c r="Q414" s="100"/>
      <c r="R414" s="96"/>
      <c r="S414" s="96"/>
      <c r="T414" s="96"/>
      <c r="U414" s="96"/>
      <c r="V414" s="96"/>
      <c r="W414" s="96"/>
      <c r="X414" s="96"/>
      <c r="Y414" s="96"/>
      <c r="Z414" s="96"/>
      <c r="AA414" s="96"/>
      <c r="AB414" s="96"/>
      <c r="AC414" s="96"/>
      <c r="AD414" s="96"/>
    </row>
    <row r="415">
      <c r="A415" s="190" t="s">
        <v>2969</v>
      </c>
      <c r="B415" s="103" t="s">
        <v>765</v>
      </c>
      <c r="C415" s="54" t="s">
        <v>2624</v>
      </c>
      <c r="D415" s="66" t="s">
        <v>378</v>
      </c>
      <c r="E415" s="66" t="s">
        <v>676</v>
      </c>
      <c r="F415" s="66" t="s">
        <v>2972</v>
      </c>
      <c r="G415" s="100">
        <v>46023.0</v>
      </c>
      <c r="H415" s="58">
        <v>0.0</v>
      </c>
      <c r="I415" s="66" t="s">
        <v>2313</v>
      </c>
      <c r="J415" s="66" t="s">
        <v>473</v>
      </c>
      <c r="K415" s="66" t="s">
        <v>474</v>
      </c>
      <c r="L415" s="104" t="s">
        <v>2973</v>
      </c>
      <c r="M415" s="66" t="s">
        <v>2975</v>
      </c>
      <c r="N415" s="100"/>
      <c r="O415" s="55" t="str">
        <f t="shared" si="5"/>
        <v>SEM DATA APONTADA</v>
      </c>
      <c r="P415" s="215"/>
      <c r="Q415" s="100"/>
      <c r="R415" s="96"/>
      <c r="S415" s="96"/>
      <c r="T415" s="96"/>
      <c r="U415" s="96"/>
      <c r="V415" s="96"/>
      <c r="W415" s="96"/>
      <c r="X415" s="96"/>
      <c r="Y415" s="96"/>
      <c r="Z415" s="96"/>
      <c r="AA415" s="96"/>
      <c r="AB415" s="96"/>
      <c r="AC415" s="96"/>
      <c r="AD415" s="96"/>
    </row>
    <row r="416">
      <c r="A416" s="190" t="s">
        <v>2977</v>
      </c>
      <c r="B416" s="103" t="s">
        <v>765</v>
      </c>
      <c r="C416" s="54" t="s">
        <v>277</v>
      </c>
      <c r="D416" s="66" t="s">
        <v>715</v>
      </c>
      <c r="E416" s="66" t="s">
        <v>718</v>
      </c>
      <c r="F416" s="66" t="s">
        <v>2908</v>
      </c>
      <c r="G416" s="100">
        <v>46023.0</v>
      </c>
      <c r="H416" s="58">
        <v>0.0</v>
      </c>
      <c r="I416" s="66" t="s">
        <v>771</v>
      </c>
      <c r="J416" s="66" t="s">
        <v>473</v>
      </c>
      <c r="K416" s="66" t="s">
        <v>474</v>
      </c>
      <c r="L416" s="104" t="s">
        <v>2979</v>
      </c>
      <c r="M416" s="66"/>
      <c r="N416" s="100"/>
      <c r="O416" s="55" t="str">
        <f t="shared" si="5"/>
        <v>SEM DATA APONTADA</v>
      </c>
      <c r="P416" s="215"/>
      <c r="Q416" s="100"/>
      <c r="R416" s="96"/>
      <c r="S416" s="96"/>
      <c r="T416" s="96"/>
      <c r="U416" s="96"/>
      <c r="V416" s="96"/>
      <c r="W416" s="96"/>
      <c r="X416" s="96"/>
      <c r="Y416" s="96"/>
      <c r="Z416" s="96"/>
      <c r="AA416" s="96"/>
      <c r="AB416" s="96"/>
      <c r="AC416" s="96"/>
      <c r="AD416" s="96"/>
    </row>
    <row r="417">
      <c r="A417" s="190" t="s">
        <v>2981</v>
      </c>
      <c r="B417" s="103" t="s">
        <v>765</v>
      </c>
      <c r="C417" s="54" t="s">
        <v>277</v>
      </c>
      <c r="D417" s="66" t="s">
        <v>378</v>
      </c>
      <c r="E417" s="66" t="s">
        <v>676</v>
      </c>
      <c r="F417" s="66" t="s">
        <v>2983</v>
      </c>
      <c r="G417" s="100">
        <v>46023.0</v>
      </c>
      <c r="H417" s="58">
        <v>0.0</v>
      </c>
      <c r="I417" s="66" t="s">
        <v>2299</v>
      </c>
      <c r="J417" s="66" t="s">
        <v>473</v>
      </c>
      <c r="K417" s="66" t="s">
        <v>474</v>
      </c>
      <c r="L417" s="104" t="s">
        <v>2984</v>
      </c>
      <c r="M417" s="66" t="s">
        <v>2986</v>
      </c>
      <c r="N417" s="100"/>
      <c r="O417" s="55" t="str">
        <f t="shared" si="5"/>
        <v>SEM DATA APONTADA</v>
      </c>
      <c r="P417" s="215"/>
      <c r="Q417" s="100"/>
      <c r="R417" s="96"/>
      <c r="S417" s="96"/>
      <c r="T417" s="96"/>
      <c r="U417" s="96"/>
      <c r="V417" s="96"/>
      <c r="W417" s="96"/>
      <c r="X417" s="96"/>
      <c r="Y417" s="96"/>
      <c r="Z417" s="96"/>
      <c r="AA417" s="96"/>
      <c r="AB417" s="96"/>
      <c r="AC417" s="96"/>
      <c r="AD417" s="96"/>
    </row>
    <row r="418">
      <c r="A418" s="190" t="s">
        <v>2988</v>
      </c>
      <c r="B418" s="103" t="s">
        <v>765</v>
      </c>
      <c r="C418" s="54" t="s">
        <v>277</v>
      </c>
      <c r="D418" s="66" t="s">
        <v>715</v>
      </c>
      <c r="E418" s="66" t="s">
        <v>2989</v>
      </c>
      <c r="F418" s="66" t="s">
        <v>2990</v>
      </c>
      <c r="G418" s="100">
        <v>46241.0</v>
      </c>
      <c r="H418" s="58">
        <v>0.6222222222222222</v>
      </c>
      <c r="I418" s="66" t="s">
        <v>2313</v>
      </c>
      <c r="J418" s="66"/>
      <c r="K418" s="66"/>
      <c r="L418" s="104" t="s">
        <v>2992</v>
      </c>
      <c r="M418" s="66"/>
      <c r="N418" s="100"/>
      <c r="O418" s="55" t="str">
        <f t="shared" si="5"/>
        <v>SEM DATA APONTADA</v>
      </c>
      <c r="P418" s="215"/>
      <c r="Q418" s="100"/>
      <c r="R418" s="96"/>
      <c r="S418" s="96"/>
      <c r="T418" s="96"/>
      <c r="U418" s="96"/>
      <c r="V418" s="96"/>
      <c r="W418" s="96"/>
      <c r="X418" s="96"/>
      <c r="Y418" s="96"/>
      <c r="Z418" s="96"/>
      <c r="AA418" s="96"/>
      <c r="AB418" s="96"/>
      <c r="AC418" s="96"/>
      <c r="AD418" s="96"/>
    </row>
    <row r="419">
      <c r="A419" s="190" t="s">
        <v>2994</v>
      </c>
      <c r="B419" s="103" t="s">
        <v>765</v>
      </c>
      <c r="C419" s="54" t="s">
        <v>277</v>
      </c>
      <c r="D419" s="66" t="s">
        <v>538</v>
      </c>
      <c r="E419" s="66" t="s">
        <v>2270</v>
      </c>
      <c r="F419" s="100"/>
      <c r="G419" s="100">
        <v>46244.0</v>
      </c>
      <c r="H419" s="58">
        <v>0.0</v>
      </c>
      <c r="I419" s="66" t="s">
        <v>2299</v>
      </c>
      <c r="J419" s="66" t="s">
        <v>692</v>
      </c>
      <c r="K419" s="66" t="s">
        <v>407</v>
      </c>
      <c r="L419" s="104" t="s">
        <v>2996</v>
      </c>
      <c r="M419" s="66" t="s">
        <v>2997</v>
      </c>
      <c r="N419" s="100"/>
      <c r="O419" s="55" t="str">
        <f t="shared" si="5"/>
        <v>SEM DATA APONTADA</v>
      </c>
      <c r="P419" s="215"/>
      <c r="Q419" s="100"/>
      <c r="R419" s="96"/>
      <c r="S419" s="96"/>
      <c r="T419" s="96"/>
      <c r="U419" s="96"/>
      <c r="V419" s="96"/>
      <c r="W419" s="96"/>
      <c r="X419" s="96"/>
      <c r="Y419" s="96"/>
      <c r="Z419" s="96"/>
      <c r="AA419" s="96"/>
      <c r="AB419" s="96"/>
      <c r="AC419" s="96"/>
      <c r="AD419" s="96"/>
    </row>
    <row r="420">
      <c r="A420" s="190" t="s">
        <v>2999</v>
      </c>
      <c r="B420" s="103" t="s">
        <v>765</v>
      </c>
      <c r="C420" s="54" t="s">
        <v>277</v>
      </c>
      <c r="D420" s="66" t="s">
        <v>378</v>
      </c>
      <c r="E420" s="66" t="s">
        <v>676</v>
      </c>
      <c r="F420" s="100"/>
      <c r="G420" s="100">
        <v>46023.0</v>
      </c>
      <c r="H420" s="58">
        <v>0.0</v>
      </c>
      <c r="I420" s="66" t="s">
        <v>2299</v>
      </c>
      <c r="J420" s="66"/>
      <c r="K420" s="66"/>
      <c r="L420" s="104" t="s">
        <v>3001</v>
      </c>
      <c r="M420" s="66" t="s">
        <v>2986</v>
      </c>
      <c r="N420" s="100"/>
      <c r="O420" s="55" t="str">
        <f t="shared" si="5"/>
        <v>SEM DATA APONTADA</v>
      </c>
      <c r="P420" s="215"/>
      <c r="Q420" s="100"/>
      <c r="R420" s="96"/>
      <c r="S420" s="96"/>
      <c r="T420" s="96"/>
      <c r="U420" s="96"/>
      <c r="V420" s="96"/>
      <c r="W420" s="96"/>
      <c r="X420" s="96"/>
      <c r="Y420" s="96"/>
      <c r="Z420" s="96"/>
      <c r="AA420" s="96"/>
      <c r="AB420" s="96"/>
      <c r="AC420" s="96"/>
      <c r="AD420" s="96"/>
    </row>
    <row r="421">
      <c r="A421" s="190" t="s">
        <v>3003</v>
      </c>
      <c r="B421" s="103" t="s">
        <v>765</v>
      </c>
      <c r="C421" s="54" t="s">
        <v>277</v>
      </c>
      <c r="D421" s="66" t="s">
        <v>230</v>
      </c>
      <c r="E421" s="66" t="s">
        <v>3005</v>
      </c>
      <c r="F421" s="66" t="s">
        <v>3006</v>
      </c>
      <c r="G421" s="100">
        <v>46023.0</v>
      </c>
      <c r="H421" s="58">
        <v>0.0</v>
      </c>
      <c r="I421" s="66" t="s">
        <v>2299</v>
      </c>
      <c r="J421" s="66" t="s">
        <v>473</v>
      </c>
      <c r="K421" s="66" t="s">
        <v>474</v>
      </c>
      <c r="L421" s="104" t="s">
        <v>3008</v>
      </c>
      <c r="M421" s="66" t="s">
        <v>3009</v>
      </c>
      <c r="N421" s="100"/>
      <c r="O421" s="55" t="str">
        <f t="shared" si="5"/>
        <v>SEM DATA APONTADA</v>
      </c>
      <c r="P421" s="215"/>
      <c r="Q421" s="100"/>
      <c r="R421" s="96"/>
      <c r="S421" s="96"/>
      <c r="T421" s="96"/>
      <c r="U421" s="96"/>
      <c r="V421" s="96"/>
      <c r="W421" s="96"/>
      <c r="X421" s="96"/>
      <c r="Y421" s="96"/>
      <c r="Z421" s="96"/>
      <c r="AA421" s="96"/>
      <c r="AB421" s="96"/>
      <c r="AC421" s="96"/>
      <c r="AD421" s="96"/>
    </row>
    <row r="422">
      <c r="A422" s="66"/>
      <c r="B422" s="103"/>
      <c r="C422" s="54"/>
      <c r="D422" s="66"/>
      <c r="E422" s="66"/>
      <c r="F422" s="100"/>
      <c r="G422" s="100">
        <v>46023.0</v>
      </c>
      <c r="H422" s="58">
        <v>0.0</v>
      </c>
      <c r="I422" s="66"/>
      <c r="J422" s="66"/>
      <c r="K422" s="66"/>
      <c r="L422" s="104"/>
      <c r="M422" s="66"/>
      <c r="N422" s="100"/>
      <c r="O422" s="55" t="str">
        <f t="shared" si="5"/>
        <v>SEM DATA APONTADA</v>
      </c>
      <c r="P422" s="215"/>
      <c r="Q422" s="100"/>
      <c r="R422" s="96"/>
      <c r="S422" s="96"/>
      <c r="T422" s="96"/>
      <c r="U422" s="96"/>
      <c r="V422" s="96"/>
      <c r="W422" s="96"/>
      <c r="X422" s="96"/>
      <c r="Y422" s="96"/>
      <c r="Z422" s="96"/>
      <c r="AA422" s="96"/>
      <c r="AB422" s="96"/>
      <c r="AC422" s="96"/>
      <c r="AD422" s="96"/>
    </row>
    <row r="423">
      <c r="A423" s="66"/>
      <c r="B423" s="103"/>
      <c r="C423" s="54"/>
      <c r="D423" s="66"/>
      <c r="E423" s="66"/>
      <c r="F423" s="100"/>
      <c r="G423" s="100">
        <v>46023.0</v>
      </c>
      <c r="H423" s="58">
        <v>0.0</v>
      </c>
      <c r="I423" s="66"/>
      <c r="J423" s="66"/>
      <c r="K423" s="66"/>
      <c r="L423" s="104"/>
      <c r="M423" s="66"/>
      <c r="N423" s="100"/>
      <c r="O423" s="55" t="str">
        <f t="shared" si="5"/>
        <v>SEM DATA APONTADA</v>
      </c>
      <c r="P423" s="215"/>
      <c r="Q423" s="100"/>
      <c r="R423" s="96"/>
      <c r="S423" s="96"/>
      <c r="T423" s="96"/>
      <c r="U423" s="96"/>
      <c r="V423" s="96"/>
      <c r="W423" s="96"/>
      <c r="X423" s="96"/>
      <c r="Y423" s="96"/>
      <c r="Z423" s="96"/>
      <c r="AA423" s="96"/>
      <c r="AB423" s="96"/>
      <c r="AC423" s="96"/>
      <c r="AD423" s="96"/>
    </row>
    <row r="424">
      <c r="A424" s="66"/>
      <c r="B424" s="103"/>
      <c r="C424" s="54"/>
      <c r="D424" s="66"/>
      <c r="E424" s="66"/>
      <c r="F424" s="100"/>
      <c r="G424" s="100">
        <v>46023.0</v>
      </c>
      <c r="H424" s="58">
        <v>0.0</v>
      </c>
      <c r="I424" s="66"/>
      <c r="J424" s="66"/>
      <c r="K424" s="66"/>
      <c r="L424" s="104"/>
      <c r="M424" s="66"/>
      <c r="N424" s="100"/>
      <c r="O424" s="55" t="str">
        <f t="shared" si="5"/>
        <v>SEM DATA APONTADA</v>
      </c>
      <c r="P424" s="215"/>
      <c r="Q424" s="100"/>
      <c r="R424" s="96"/>
      <c r="S424" s="96"/>
      <c r="T424" s="96"/>
      <c r="U424" s="96"/>
      <c r="V424" s="96"/>
      <c r="W424" s="96"/>
      <c r="X424" s="96"/>
      <c r="Y424" s="96"/>
      <c r="Z424" s="96"/>
      <c r="AA424" s="96"/>
      <c r="AB424" s="96"/>
      <c r="AC424" s="96"/>
      <c r="AD424" s="96"/>
    </row>
    <row r="425">
      <c r="A425" s="66"/>
      <c r="B425" s="103"/>
      <c r="C425" s="54"/>
      <c r="D425" s="66"/>
      <c r="E425" s="66"/>
      <c r="F425" s="100"/>
      <c r="G425" s="100">
        <v>46023.0</v>
      </c>
      <c r="H425" s="58">
        <v>0.0</v>
      </c>
      <c r="I425" s="66"/>
      <c r="J425" s="66"/>
      <c r="K425" s="66"/>
      <c r="L425" s="104"/>
      <c r="M425" s="66"/>
      <c r="N425" s="100"/>
      <c r="O425" s="55" t="str">
        <f t="shared" si="5"/>
        <v>SEM DATA APONTADA</v>
      </c>
      <c r="P425" s="215"/>
      <c r="Q425" s="100"/>
      <c r="R425" s="96"/>
      <c r="S425" s="96"/>
      <c r="T425" s="96"/>
      <c r="U425" s="96"/>
      <c r="V425" s="96"/>
      <c r="W425" s="96"/>
      <c r="X425" s="96"/>
      <c r="Y425" s="96"/>
      <c r="Z425" s="96"/>
      <c r="AA425" s="96"/>
      <c r="AB425" s="96"/>
      <c r="AC425" s="96"/>
      <c r="AD425" s="96"/>
    </row>
    <row r="426">
      <c r="A426" s="66"/>
      <c r="B426" s="103"/>
      <c r="C426" s="54"/>
      <c r="D426" s="66"/>
      <c r="E426" s="66"/>
      <c r="F426" s="100"/>
      <c r="G426" s="100">
        <v>46023.0</v>
      </c>
      <c r="H426" s="58">
        <v>0.0</v>
      </c>
      <c r="I426" s="66"/>
      <c r="J426" s="66"/>
      <c r="K426" s="66"/>
      <c r="L426" s="104"/>
      <c r="M426" s="66"/>
      <c r="N426" s="100"/>
      <c r="O426" s="55" t="str">
        <f t="shared" si="5"/>
        <v>SEM DATA APONTADA</v>
      </c>
      <c r="P426" s="215"/>
      <c r="Q426" s="100"/>
      <c r="R426" s="96"/>
      <c r="S426" s="96"/>
      <c r="T426" s="96"/>
      <c r="U426" s="96"/>
      <c r="V426" s="96"/>
      <c r="W426" s="96"/>
      <c r="X426" s="96"/>
      <c r="Y426" s="96"/>
      <c r="Z426" s="96"/>
      <c r="AA426" s="96"/>
      <c r="AB426" s="96"/>
      <c r="AC426" s="96"/>
      <c r="AD426" s="96"/>
    </row>
    <row r="427">
      <c r="A427" s="66"/>
      <c r="B427" s="103"/>
      <c r="C427" s="54"/>
      <c r="D427" s="66"/>
      <c r="E427" s="66"/>
      <c r="F427" s="100"/>
      <c r="G427" s="100">
        <v>46023.0</v>
      </c>
      <c r="H427" s="58">
        <v>0.0</v>
      </c>
      <c r="I427" s="66"/>
      <c r="J427" s="66"/>
      <c r="K427" s="66"/>
      <c r="L427" s="104"/>
      <c r="M427" s="66"/>
      <c r="N427" s="100"/>
      <c r="O427" s="55" t="str">
        <f t="shared" si="5"/>
        <v>SEM DATA APONTADA</v>
      </c>
      <c r="P427" s="215"/>
      <c r="Q427" s="100"/>
      <c r="R427" s="96"/>
      <c r="S427" s="96"/>
      <c r="T427" s="96"/>
      <c r="U427" s="96"/>
      <c r="V427" s="96"/>
      <c r="W427" s="96"/>
      <c r="X427" s="96"/>
      <c r="Y427" s="96"/>
      <c r="Z427" s="96"/>
      <c r="AA427" s="96"/>
      <c r="AB427" s="96"/>
      <c r="AC427" s="96"/>
      <c r="AD427" s="96"/>
    </row>
    <row r="428">
      <c r="A428" s="66"/>
      <c r="B428" s="103"/>
      <c r="C428" s="54"/>
      <c r="D428" s="66"/>
      <c r="E428" s="66"/>
      <c r="F428" s="100"/>
      <c r="G428" s="100">
        <v>46023.0</v>
      </c>
      <c r="H428" s="58">
        <v>0.0</v>
      </c>
      <c r="I428" s="66"/>
      <c r="J428" s="66"/>
      <c r="K428" s="66"/>
      <c r="L428" s="104"/>
      <c r="M428" s="66"/>
      <c r="N428" s="100"/>
      <c r="O428" s="55" t="str">
        <f t="shared" si="5"/>
        <v>SEM DATA APONTADA</v>
      </c>
      <c r="P428" s="215"/>
      <c r="Q428" s="100"/>
      <c r="R428" s="96"/>
      <c r="S428" s="96"/>
      <c r="T428" s="96"/>
      <c r="U428" s="96"/>
      <c r="V428" s="96"/>
      <c r="W428" s="96"/>
      <c r="X428" s="96"/>
      <c r="Y428" s="96"/>
      <c r="Z428" s="96"/>
      <c r="AA428" s="96"/>
      <c r="AB428" s="96"/>
      <c r="AC428" s="96"/>
      <c r="AD428" s="96"/>
    </row>
    <row r="429">
      <c r="A429" s="66"/>
      <c r="B429" s="103"/>
      <c r="C429" s="54"/>
      <c r="D429" s="66"/>
      <c r="E429" s="66"/>
      <c r="F429" s="100"/>
      <c r="G429" s="100">
        <v>46023.0</v>
      </c>
      <c r="H429" s="58">
        <v>0.0</v>
      </c>
      <c r="I429" s="66"/>
      <c r="J429" s="66"/>
      <c r="K429" s="66"/>
      <c r="L429" s="104"/>
      <c r="M429" s="66"/>
      <c r="N429" s="100"/>
      <c r="O429" s="55" t="str">
        <f t="shared" si="5"/>
        <v>SEM DATA APONTADA</v>
      </c>
      <c r="P429" s="215"/>
      <c r="Q429" s="100"/>
      <c r="R429" s="96"/>
      <c r="S429" s="96"/>
      <c r="T429" s="96"/>
      <c r="U429" s="96"/>
      <c r="V429" s="96"/>
      <c r="W429" s="96"/>
      <c r="X429" s="96"/>
      <c r="Y429" s="96"/>
      <c r="Z429" s="96"/>
      <c r="AA429" s="96"/>
      <c r="AB429" s="96"/>
      <c r="AC429" s="96"/>
      <c r="AD429" s="96"/>
    </row>
    <row r="430">
      <c r="A430" s="66"/>
      <c r="B430" s="103"/>
      <c r="C430" s="54"/>
      <c r="D430" s="66"/>
      <c r="E430" s="66"/>
      <c r="F430" s="100"/>
      <c r="G430" s="100">
        <v>46023.0</v>
      </c>
      <c r="H430" s="58">
        <v>0.0</v>
      </c>
      <c r="I430" s="66"/>
      <c r="J430" s="66"/>
      <c r="K430" s="66"/>
      <c r="L430" s="104"/>
      <c r="M430" s="66"/>
      <c r="N430" s="100"/>
      <c r="O430" s="55" t="str">
        <f t="shared" si="5"/>
        <v>SEM DATA APONTADA</v>
      </c>
      <c r="P430" s="215"/>
      <c r="Q430" s="100"/>
      <c r="R430" s="96"/>
      <c r="S430" s="96"/>
      <c r="T430" s="96"/>
      <c r="U430" s="96"/>
      <c r="V430" s="96"/>
      <c r="W430" s="96"/>
      <c r="X430" s="96"/>
      <c r="Y430" s="96"/>
      <c r="Z430" s="96"/>
      <c r="AA430" s="96"/>
      <c r="AB430" s="96"/>
      <c r="AC430" s="96"/>
      <c r="AD430" s="96"/>
    </row>
    <row r="431">
      <c r="A431" s="66"/>
      <c r="B431" s="103"/>
      <c r="C431" s="54"/>
      <c r="D431" s="66"/>
      <c r="E431" s="66"/>
      <c r="F431" s="100"/>
      <c r="G431" s="100">
        <v>46023.0</v>
      </c>
      <c r="H431" s="58">
        <v>0.0</v>
      </c>
      <c r="I431" s="66"/>
      <c r="J431" s="66"/>
      <c r="K431" s="66"/>
      <c r="L431" s="104"/>
      <c r="M431" s="66"/>
      <c r="N431" s="100"/>
      <c r="O431" s="55" t="str">
        <f t="shared" si="5"/>
        <v>SEM DATA APONTADA</v>
      </c>
      <c r="P431" s="215"/>
      <c r="Q431" s="100"/>
      <c r="R431" s="96"/>
      <c r="S431" s="96"/>
      <c r="T431" s="96"/>
      <c r="U431" s="96"/>
      <c r="V431" s="96"/>
      <c r="W431" s="96"/>
      <c r="X431" s="96"/>
      <c r="Y431" s="96"/>
      <c r="Z431" s="96"/>
      <c r="AA431" s="96"/>
      <c r="AB431" s="96"/>
      <c r="AC431" s="96"/>
      <c r="AD431" s="96"/>
    </row>
    <row r="432">
      <c r="A432" s="66"/>
      <c r="B432" s="103"/>
      <c r="C432" s="54"/>
      <c r="D432" s="66"/>
      <c r="E432" s="66"/>
      <c r="F432" s="100"/>
      <c r="G432" s="100">
        <v>46023.0</v>
      </c>
      <c r="H432" s="58">
        <v>0.0</v>
      </c>
      <c r="I432" s="66"/>
      <c r="J432" s="66"/>
      <c r="K432" s="66"/>
      <c r="L432" s="104"/>
      <c r="M432" s="66"/>
      <c r="N432" s="100"/>
      <c r="O432" s="55" t="str">
        <f t="shared" si="5"/>
        <v>SEM DATA APONTADA</v>
      </c>
      <c r="P432" s="215"/>
      <c r="Q432" s="100"/>
      <c r="R432" s="96"/>
      <c r="S432" s="96"/>
      <c r="T432" s="96"/>
      <c r="U432" s="96"/>
      <c r="V432" s="96"/>
      <c r="W432" s="96"/>
      <c r="X432" s="96"/>
      <c r="Y432" s="96"/>
      <c r="Z432" s="96"/>
      <c r="AA432" s="96"/>
      <c r="AB432" s="96"/>
      <c r="AC432" s="96"/>
      <c r="AD432" s="96"/>
    </row>
    <row r="433">
      <c r="A433" s="66"/>
      <c r="B433" s="103"/>
      <c r="C433" s="54"/>
      <c r="D433" s="66"/>
      <c r="E433" s="66"/>
      <c r="F433" s="100"/>
      <c r="G433" s="100">
        <v>46023.0</v>
      </c>
      <c r="H433" s="58">
        <v>0.0</v>
      </c>
      <c r="I433" s="66"/>
      <c r="J433" s="66"/>
      <c r="K433" s="66"/>
      <c r="L433" s="104"/>
      <c r="M433" s="66"/>
      <c r="N433" s="100"/>
      <c r="O433" s="55" t="str">
        <f t="shared" si="5"/>
        <v>SEM DATA APONTADA</v>
      </c>
      <c r="P433" s="215"/>
      <c r="Q433" s="100"/>
      <c r="R433" s="96"/>
      <c r="S433" s="96"/>
      <c r="T433" s="96"/>
      <c r="U433" s="96"/>
      <c r="V433" s="96"/>
      <c r="W433" s="96"/>
      <c r="X433" s="96"/>
      <c r="Y433" s="96"/>
      <c r="Z433" s="96"/>
      <c r="AA433" s="96"/>
      <c r="AB433" s="96"/>
      <c r="AC433" s="96"/>
      <c r="AD433" s="96"/>
    </row>
    <row r="434">
      <c r="A434" s="66"/>
      <c r="B434" s="103"/>
      <c r="C434" s="54"/>
      <c r="D434" s="66"/>
      <c r="E434" s="66"/>
      <c r="F434" s="100"/>
      <c r="G434" s="100">
        <v>46023.0</v>
      </c>
      <c r="H434" s="58">
        <v>0.0</v>
      </c>
      <c r="I434" s="66"/>
      <c r="J434" s="66"/>
      <c r="K434" s="66"/>
      <c r="L434" s="104"/>
      <c r="M434" s="66"/>
      <c r="N434" s="100"/>
      <c r="O434" s="55" t="str">
        <f t="shared" si="5"/>
        <v>SEM DATA APONTADA</v>
      </c>
      <c r="P434" s="215"/>
      <c r="Q434" s="100"/>
      <c r="R434" s="96"/>
      <c r="S434" s="96"/>
      <c r="T434" s="96"/>
      <c r="U434" s="96"/>
      <c r="V434" s="96"/>
      <c r="W434" s="96"/>
      <c r="X434" s="96"/>
      <c r="Y434" s="96"/>
      <c r="Z434" s="96"/>
      <c r="AA434" s="96"/>
      <c r="AB434" s="96"/>
      <c r="AC434" s="96"/>
      <c r="AD434" s="96"/>
    </row>
    <row r="435">
      <c r="A435" s="66"/>
      <c r="B435" s="103"/>
      <c r="C435" s="54"/>
      <c r="D435" s="66"/>
      <c r="E435" s="66"/>
      <c r="F435" s="100"/>
      <c r="G435" s="100">
        <v>46023.0</v>
      </c>
      <c r="H435" s="58">
        <v>0.0</v>
      </c>
      <c r="I435" s="66"/>
      <c r="J435" s="66"/>
      <c r="K435" s="66"/>
      <c r="L435" s="104"/>
      <c r="M435" s="66"/>
      <c r="N435" s="100"/>
      <c r="O435" s="55" t="str">
        <f t="shared" si="5"/>
        <v>SEM DATA APONTADA</v>
      </c>
      <c r="P435" s="215"/>
      <c r="Q435" s="100"/>
      <c r="R435" s="96"/>
      <c r="S435" s="96"/>
      <c r="T435" s="96"/>
      <c r="U435" s="96"/>
      <c r="V435" s="96"/>
      <c r="W435" s="96"/>
      <c r="X435" s="96"/>
      <c r="Y435" s="96"/>
      <c r="Z435" s="96"/>
      <c r="AA435" s="96"/>
      <c r="AB435" s="96"/>
      <c r="AC435" s="96"/>
      <c r="AD435" s="96"/>
    </row>
    <row r="436">
      <c r="A436" s="66"/>
      <c r="B436" s="103"/>
      <c r="C436" s="54"/>
      <c r="D436" s="66"/>
      <c r="E436" s="66"/>
      <c r="F436" s="100"/>
      <c r="G436" s="100">
        <v>46023.0</v>
      </c>
      <c r="H436" s="58">
        <v>0.0</v>
      </c>
      <c r="I436" s="66"/>
      <c r="J436" s="66"/>
      <c r="K436" s="66"/>
      <c r="L436" s="104"/>
      <c r="M436" s="66"/>
      <c r="N436" s="100"/>
      <c r="O436" s="55" t="str">
        <f t="shared" si="5"/>
        <v>SEM DATA APONTADA</v>
      </c>
      <c r="P436" s="215"/>
      <c r="Q436" s="100"/>
      <c r="R436" s="96"/>
      <c r="S436" s="96"/>
      <c r="T436" s="96"/>
      <c r="U436" s="96"/>
      <c r="V436" s="96"/>
      <c r="W436" s="96"/>
      <c r="X436" s="96"/>
      <c r="Y436" s="96"/>
      <c r="Z436" s="96"/>
      <c r="AA436" s="96"/>
      <c r="AB436" s="96"/>
      <c r="AC436" s="96"/>
      <c r="AD436" s="96"/>
    </row>
    <row r="437">
      <c r="A437" s="66"/>
      <c r="B437" s="103"/>
      <c r="C437" s="54"/>
      <c r="D437" s="66"/>
      <c r="E437" s="66"/>
      <c r="F437" s="100"/>
      <c r="G437" s="100">
        <v>46023.0</v>
      </c>
      <c r="H437" s="58">
        <v>0.0</v>
      </c>
      <c r="I437" s="66"/>
      <c r="J437" s="66"/>
      <c r="K437" s="66"/>
      <c r="L437" s="104"/>
      <c r="M437" s="66"/>
      <c r="N437" s="100"/>
      <c r="O437" s="55" t="str">
        <f t="shared" si="5"/>
        <v>SEM DATA APONTADA</v>
      </c>
      <c r="P437" s="215"/>
      <c r="Q437" s="100"/>
      <c r="R437" s="96"/>
      <c r="S437" s="96"/>
      <c r="T437" s="96"/>
      <c r="U437" s="96"/>
      <c r="V437" s="96"/>
      <c r="W437" s="96"/>
      <c r="X437" s="96"/>
      <c r="Y437" s="96"/>
      <c r="Z437" s="96"/>
      <c r="AA437" s="96"/>
      <c r="AB437" s="96"/>
      <c r="AC437" s="96"/>
      <c r="AD437" s="96"/>
    </row>
    <row r="438">
      <c r="A438" s="66"/>
      <c r="B438" s="103"/>
      <c r="C438" s="54"/>
      <c r="D438" s="66"/>
      <c r="E438" s="66"/>
      <c r="F438" s="100"/>
      <c r="G438" s="100">
        <v>46023.0</v>
      </c>
      <c r="H438" s="58">
        <v>0.0</v>
      </c>
      <c r="I438" s="66"/>
      <c r="J438" s="66"/>
      <c r="K438" s="66"/>
      <c r="L438" s="104"/>
      <c r="M438" s="66"/>
      <c r="N438" s="100"/>
      <c r="O438" s="55" t="str">
        <f t="shared" si="5"/>
        <v>SEM DATA APONTADA</v>
      </c>
      <c r="P438" s="215"/>
      <c r="Q438" s="100"/>
      <c r="R438" s="96"/>
      <c r="S438" s="96"/>
      <c r="T438" s="96"/>
      <c r="U438" s="96"/>
      <c r="V438" s="96"/>
      <c r="W438" s="96"/>
      <c r="X438" s="96"/>
      <c r="Y438" s="96"/>
      <c r="Z438" s="96"/>
      <c r="AA438" s="96"/>
      <c r="AB438" s="96"/>
      <c r="AC438" s="96"/>
      <c r="AD438" s="96"/>
    </row>
    <row r="439">
      <c r="A439" s="66"/>
      <c r="B439" s="103"/>
      <c r="C439" s="54"/>
      <c r="D439" s="66"/>
      <c r="E439" s="66"/>
      <c r="F439" s="100"/>
      <c r="G439" s="100">
        <v>46023.0</v>
      </c>
      <c r="H439" s="58">
        <v>0.0</v>
      </c>
      <c r="I439" s="66"/>
      <c r="J439" s="66"/>
      <c r="K439" s="66"/>
      <c r="L439" s="104"/>
      <c r="M439" s="66"/>
      <c r="N439" s="100"/>
      <c r="O439" s="55" t="str">
        <f t="shared" si="5"/>
        <v>SEM DATA APONTADA</v>
      </c>
      <c r="P439" s="215"/>
      <c r="Q439" s="100"/>
      <c r="R439" s="96"/>
      <c r="S439" s="96"/>
      <c r="T439" s="96"/>
      <c r="U439" s="96"/>
      <c r="V439" s="96"/>
      <c r="W439" s="96"/>
      <c r="X439" s="96"/>
      <c r="Y439" s="96"/>
      <c r="Z439" s="96"/>
      <c r="AA439" s="96"/>
      <c r="AB439" s="96"/>
      <c r="AC439" s="96"/>
      <c r="AD439" s="96"/>
    </row>
    <row r="440">
      <c r="A440" s="66"/>
      <c r="B440" s="103"/>
      <c r="C440" s="54"/>
      <c r="D440" s="66"/>
      <c r="E440" s="66"/>
      <c r="F440" s="100"/>
      <c r="G440" s="100">
        <v>46023.0</v>
      </c>
      <c r="H440" s="58">
        <v>0.0</v>
      </c>
      <c r="I440" s="66"/>
      <c r="J440" s="66"/>
      <c r="K440" s="66"/>
      <c r="L440" s="104"/>
      <c r="M440" s="66"/>
      <c r="N440" s="100"/>
      <c r="O440" s="55" t="str">
        <f t="shared" si="5"/>
        <v>SEM DATA APONTADA</v>
      </c>
      <c r="P440" s="215"/>
      <c r="Q440" s="100"/>
      <c r="R440" s="96"/>
      <c r="S440" s="96"/>
      <c r="T440" s="96"/>
      <c r="U440" s="96"/>
      <c r="V440" s="96"/>
      <c r="W440" s="96"/>
      <c r="X440" s="96"/>
      <c r="Y440" s="96"/>
      <c r="Z440" s="96"/>
      <c r="AA440" s="96"/>
      <c r="AB440" s="96"/>
      <c r="AC440" s="96"/>
      <c r="AD440" s="96"/>
    </row>
    <row r="441">
      <c r="A441" s="66"/>
      <c r="B441" s="103"/>
      <c r="C441" s="54"/>
      <c r="D441" s="66"/>
      <c r="E441" s="66"/>
      <c r="F441" s="100"/>
      <c r="G441" s="100">
        <v>46023.0</v>
      </c>
      <c r="H441" s="58">
        <v>0.0</v>
      </c>
      <c r="I441" s="66"/>
      <c r="J441" s="66"/>
      <c r="K441" s="66"/>
      <c r="L441" s="104"/>
      <c r="M441" s="66"/>
      <c r="N441" s="100"/>
      <c r="O441" s="55" t="str">
        <f t="shared" si="5"/>
        <v>SEM DATA APONTADA</v>
      </c>
      <c r="P441" s="215"/>
      <c r="Q441" s="100"/>
      <c r="R441" s="96"/>
      <c r="S441" s="96"/>
      <c r="T441" s="96"/>
      <c r="U441" s="96"/>
      <c r="V441" s="96"/>
      <c r="W441" s="96"/>
      <c r="X441" s="96"/>
      <c r="Y441" s="96"/>
      <c r="Z441" s="96"/>
      <c r="AA441" s="96"/>
      <c r="AB441" s="96"/>
      <c r="AC441" s="96"/>
      <c r="AD441" s="96"/>
    </row>
    <row r="442">
      <c r="A442" s="66"/>
      <c r="B442" s="103"/>
      <c r="C442" s="54"/>
      <c r="D442" s="66"/>
      <c r="E442" s="66"/>
      <c r="F442" s="100"/>
      <c r="G442" s="100">
        <v>46023.0</v>
      </c>
      <c r="H442" s="58">
        <v>0.0</v>
      </c>
      <c r="I442" s="66"/>
      <c r="J442" s="66"/>
      <c r="K442" s="66"/>
      <c r="L442" s="104"/>
      <c r="M442" s="66"/>
      <c r="N442" s="100"/>
      <c r="O442" s="55" t="str">
        <f t="shared" si="5"/>
        <v>SEM DATA APONTADA</v>
      </c>
      <c r="P442" s="215"/>
      <c r="Q442" s="100"/>
      <c r="R442" s="96"/>
      <c r="S442" s="96"/>
      <c r="T442" s="96"/>
      <c r="U442" s="96"/>
      <c r="V442" s="96"/>
      <c r="W442" s="96"/>
      <c r="X442" s="96"/>
      <c r="Y442" s="96"/>
      <c r="Z442" s="96"/>
      <c r="AA442" s="96"/>
      <c r="AB442" s="96"/>
      <c r="AC442" s="96"/>
      <c r="AD442" s="96"/>
    </row>
    <row r="443">
      <c r="A443" s="66"/>
      <c r="B443" s="103"/>
      <c r="C443" s="54"/>
      <c r="D443" s="66"/>
      <c r="E443" s="66"/>
      <c r="F443" s="100"/>
      <c r="G443" s="100">
        <v>46023.0</v>
      </c>
      <c r="H443" s="58">
        <v>0.0</v>
      </c>
      <c r="I443" s="66"/>
      <c r="J443" s="66"/>
      <c r="K443" s="66"/>
      <c r="L443" s="104"/>
      <c r="M443" s="66"/>
      <c r="N443" s="100"/>
      <c r="O443" s="55" t="str">
        <f t="shared" si="5"/>
        <v>SEM DATA APONTADA</v>
      </c>
      <c r="P443" s="215"/>
      <c r="Q443" s="100"/>
      <c r="R443" s="96"/>
      <c r="S443" s="96"/>
      <c r="T443" s="96"/>
      <c r="U443" s="96"/>
      <c r="V443" s="96"/>
      <c r="W443" s="96"/>
      <c r="X443" s="96"/>
      <c r="Y443" s="96"/>
      <c r="Z443" s="96"/>
      <c r="AA443" s="96"/>
      <c r="AB443" s="96"/>
      <c r="AC443" s="96"/>
      <c r="AD443" s="96"/>
    </row>
    <row r="444">
      <c r="A444" s="66"/>
      <c r="B444" s="103"/>
      <c r="C444" s="54"/>
      <c r="D444" s="66"/>
      <c r="E444" s="66"/>
      <c r="F444" s="100"/>
      <c r="G444" s="100">
        <v>46023.0</v>
      </c>
      <c r="H444" s="58">
        <v>0.0</v>
      </c>
      <c r="I444" s="66"/>
      <c r="J444" s="66"/>
      <c r="K444" s="66"/>
      <c r="L444" s="104"/>
      <c r="M444" s="66"/>
      <c r="N444" s="100"/>
      <c r="O444" s="55" t="str">
        <f t="shared" si="5"/>
        <v>SEM DATA APONTADA</v>
      </c>
      <c r="P444" s="215"/>
      <c r="Q444" s="100"/>
      <c r="R444" s="96"/>
      <c r="S444" s="96"/>
      <c r="T444" s="96"/>
      <c r="U444" s="96"/>
      <c r="V444" s="96"/>
      <c r="W444" s="96"/>
      <c r="X444" s="96"/>
      <c r="Y444" s="96"/>
      <c r="Z444" s="96"/>
      <c r="AA444" s="96"/>
      <c r="AB444" s="96"/>
      <c r="AC444" s="96"/>
      <c r="AD444" s="96"/>
    </row>
    <row r="445">
      <c r="A445" s="66"/>
      <c r="B445" s="103"/>
      <c r="C445" s="54"/>
      <c r="D445" s="66"/>
      <c r="E445" s="66"/>
      <c r="F445" s="100"/>
      <c r="G445" s="100">
        <v>46023.0</v>
      </c>
      <c r="H445" s="58">
        <v>0.0</v>
      </c>
      <c r="I445" s="66"/>
      <c r="J445" s="66"/>
      <c r="K445" s="66"/>
      <c r="L445" s="104"/>
      <c r="M445" s="66"/>
      <c r="N445" s="100"/>
      <c r="O445" s="55" t="str">
        <f t="shared" si="5"/>
        <v>SEM DATA APONTADA</v>
      </c>
      <c r="P445" s="215"/>
      <c r="Q445" s="100"/>
      <c r="R445" s="96"/>
      <c r="S445" s="96"/>
      <c r="T445" s="96"/>
      <c r="U445" s="96"/>
      <c r="V445" s="96"/>
      <c r="W445" s="96"/>
      <c r="X445" s="96"/>
      <c r="Y445" s="96"/>
      <c r="Z445" s="96"/>
      <c r="AA445" s="96"/>
      <c r="AB445" s="96"/>
      <c r="AC445" s="96"/>
      <c r="AD445" s="96"/>
    </row>
    <row r="446">
      <c r="A446" s="66"/>
      <c r="B446" s="103"/>
      <c r="C446" s="54"/>
      <c r="D446" s="66"/>
      <c r="E446" s="66"/>
      <c r="F446" s="100"/>
      <c r="G446" s="100">
        <v>46023.0</v>
      </c>
      <c r="H446" s="58">
        <v>0.0</v>
      </c>
      <c r="I446" s="66"/>
      <c r="J446" s="66"/>
      <c r="K446" s="66"/>
      <c r="L446" s="104"/>
      <c r="M446" s="66"/>
      <c r="N446" s="100"/>
      <c r="O446" s="55" t="str">
        <f t="shared" si="5"/>
        <v>SEM DATA APONTADA</v>
      </c>
      <c r="P446" s="215"/>
      <c r="Q446" s="100"/>
      <c r="R446" s="96"/>
      <c r="S446" s="96"/>
      <c r="T446" s="96"/>
      <c r="U446" s="96"/>
      <c r="V446" s="96"/>
      <c r="W446" s="96"/>
      <c r="X446" s="96"/>
      <c r="Y446" s="96"/>
      <c r="Z446" s="96"/>
      <c r="AA446" s="96"/>
      <c r="AB446" s="96"/>
      <c r="AC446" s="96"/>
      <c r="AD446" s="96"/>
    </row>
    <row r="447">
      <c r="A447" s="66"/>
      <c r="B447" s="103"/>
      <c r="C447" s="54"/>
      <c r="D447" s="66"/>
      <c r="E447" s="66"/>
      <c r="F447" s="100"/>
      <c r="G447" s="100">
        <v>46023.0</v>
      </c>
      <c r="H447" s="58">
        <v>0.0</v>
      </c>
      <c r="I447" s="66"/>
      <c r="J447" s="66"/>
      <c r="K447" s="66"/>
      <c r="L447" s="104"/>
      <c r="M447" s="66"/>
      <c r="N447" s="100"/>
      <c r="O447" s="55" t="str">
        <f t="shared" si="5"/>
        <v>SEM DATA APONTADA</v>
      </c>
      <c r="P447" s="215"/>
      <c r="Q447" s="100"/>
      <c r="R447" s="96"/>
      <c r="S447" s="96"/>
      <c r="T447" s="96"/>
      <c r="U447" s="96"/>
      <c r="V447" s="96"/>
      <c r="W447" s="96"/>
      <c r="X447" s="96"/>
      <c r="Y447" s="96"/>
      <c r="Z447" s="96"/>
      <c r="AA447" s="96"/>
      <c r="AB447" s="96"/>
      <c r="AC447" s="96"/>
      <c r="AD447" s="96"/>
    </row>
    <row r="448">
      <c r="A448" s="66"/>
      <c r="B448" s="103"/>
      <c r="C448" s="54"/>
      <c r="D448" s="66"/>
      <c r="E448" s="66"/>
      <c r="F448" s="100"/>
      <c r="G448" s="100">
        <v>46023.0</v>
      </c>
      <c r="H448" s="58">
        <v>0.0</v>
      </c>
      <c r="I448" s="66"/>
      <c r="J448" s="66"/>
      <c r="K448" s="66"/>
      <c r="L448" s="104"/>
      <c r="M448" s="66"/>
      <c r="N448" s="100"/>
      <c r="O448" s="55" t="str">
        <f t="shared" si="5"/>
        <v>SEM DATA APONTADA</v>
      </c>
      <c r="P448" s="215"/>
      <c r="Q448" s="100"/>
      <c r="R448" s="96"/>
      <c r="S448" s="96"/>
      <c r="T448" s="96"/>
      <c r="U448" s="96"/>
      <c r="V448" s="96"/>
      <c r="W448" s="96"/>
      <c r="X448" s="96"/>
      <c r="Y448" s="96"/>
      <c r="Z448" s="96"/>
      <c r="AA448" s="96"/>
      <c r="AB448" s="96"/>
      <c r="AC448" s="96"/>
      <c r="AD448" s="96"/>
    </row>
    <row r="449">
      <c r="A449" s="66"/>
      <c r="B449" s="103"/>
      <c r="C449" s="54"/>
      <c r="D449" s="66"/>
      <c r="E449" s="66"/>
      <c r="F449" s="100"/>
      <c r="G449" s="100">
        <v>46023.0</v>
      </c>
      <c r="H449" s="58">
        <v>0.0</v>
      </c>
      <c r="I449" s="66"/>
      <c r="J449" s="66"/>
      <c r="K449" s="66"/>
      <c r="L449" s="104"/>
      <c r="M449" s="66"/>
      <c r="N449" s="100"/>
      <c r="O449" s="55" t="str">
        <f t="shared" si="5"/>
        <v>SEM DATA APONTADA</v>
      </c>
      <c r="P449" s="215"/>
      <c r="Q449" s="100"/>
      <c r="R449" s="96"/>
      <c r="S449" s="96"/>
      <c r="T449" s="96"/>
      <c r="U449" s="96"/>
      <c r="V449" s="96"/>
      <c r="W449" s="96"/>
      <c r="X449" s="96"/>
      <c r="Y449" s="96"/>
      <c r="Z449" s="96"/>
      <c r="AA449" s="96"/>
      <c r="AB449" s="96"/>
      <c r="AC449" s="96"/>
      <c r="AD449" s="96"/>
    </row>
    <row r="450">
      <c r="A450" s="66"/>
      <c r="B450" s="103"/>
      <c r="C450" s="54"/>
      <c r="D450" s="66"/>
      <c r="E450" s="66"/>
      <c r="F450" s="100"/>
      <c r="G450" s="100">
        <v>46023.0</v>
      </c>
      <c r="H450" s="58">
        <v>0.0</v>
      </c>
      <c r="I450" s="66"/>
      <c r="J450" s="66"/>
      <c r="K450" s="66"/>
      <c r="L450" s="104"/>
      <c r="M450" s="66"/>
      <c r="N450" s="100"/>
      <c r="O450" s="55" t="str">
        <f t="shared" si="5"/>
        <v>SEM DATA APONTADA</v>
      </c>
      <c r="P450" s="215"/>
      <c r="Q450" s="100"/>
      <c r="R450" s="96"/>
      <c r="S450" s="96"/>
      <c r="T450" s="96"/>
      <c r="U450" s="96"/>
      <c r="V450" s="96"/>
      <c r="W450" s="96"/>
      <c r="X450" s="96"/>
      <c r="Y450" s="96"/>
      <c r="Z450" s="96"/>
      <c r="AA450" s="96"/>
      <c r="AB450" s="96"/>
      <c r="AC450" s="96"/>
      <c r="AD450" s="96"/>
    </row>
    <row r="451">
      <c r="A451" s="66"/>
      <c r="B451" s="103"/>
      <c r="C451" s="54"/>
      <c r="D451" s="66"/>
      <c r="E451" s="66"/>
      <c r="F451" s="100"/>
      <c r="G451" s="100">
        <v>46023.0</v>
      </c>
      <c r="H451" s="58">
        <v>0.0</v>
      </c>
      <c r="I451" s="66"/>
      <c r="J451" s="66"/>
      <c r="K451" s="66"/>
      <c r="L451" s="104"/>
      <c r="M451" s="66"/>
      <c r="N451" s="100"/>
      <c r="O451" s="55" t="str">
        <f t="shared" si="5"/>
        <v>SEM DATA APONTADA</v>
      </c>
      <c r="P451" s="215"/>
      <c r="Q451" s="100"/>
      <c r="R451" s="96"/>
      <c r="S451" s="96"/>
      <c r="T451" s="96"/>
      <c r="U451" s="96"/>
      <c r="V451" s="96"/>
      <c r="W451" s="96"/>
      <c r="X451" s="96"/>
      <c r="Y451" s="96"/>
      <c r="Z451" s="96"/>
      <c r="AA451" s="96"/>
      <c r="AB451" s="96"/>
      <c r="AC451" s="96"/>
      <c r="AD451" s="96"/>
    </row>
    <row r="452">
      <c r="A452" s="66"/>
      <c r="B452" s="103"/>
      <c r="C452" s="54"/>
      <c r="D452" s="66"/>
      <c r="E452" s="66"/>
      <c r="F452" s="100"/>
      <c r="G452" s="100">
        <v>46023.0</v>
      </c>
      <c r="H452" s="58">
        <v>0.0</v>
      </c>
      <c r="I452" s="66"/>
      <c r="J452" s="66"/>
      <c r="K452" s="66"/>
      <c r="L452" s="104"/>
      <c r="M452" s="66"/>
      <c r="N452" s="100"/>
      <c r="O452" s="55" t="str">
        <f t="shared" si="5"/>
        <v>SEM DATA APONTADA</v>
      </c>
      <c r="P452" s="215"/>
      <c r="Q452" s="100"/>
      <c r="R452" s="96"/>
      <c r="S452" s="96"/>
      <c r="T452" s="96"/>
      <c r="U452" s="96"/>
      <c r="V452" s="96"/>
      <c r="W452" s="96"/>
      <c r="X452" s="96"/>
      <c r="Y452" s="96"/>
      <c r="Z452" s="96"/>
      <c r="AA452" s="96"/>
      <c r="AB452" s="96"/>
      <c r="AC452" s="96"/>
      <c r="AD452" s="96"/>
    </row>
    <row r="453">
      <c r="A453" s="66"/>
      <c r="B453" s="103"/>
      <c r="C453" s="54"/>
      <c r="D453" s="66"/>
      <c r="E453" s="66"/>
      <c r="F453" s="100"/>
      <c r="G453" s="100">
        <v>46023.0</v>
      </c>
      <c r="H453" s="58">
        <v>0.0</v>
      </c>
      <c r="I453" s="66"/>
      <c r="J453" s="66"/>
      <c r="K453" s="66"/>
      <c r="L453" s="104"/>
      <c r="M453" s="66"/>
      <c r="N453" s="100"/>
      <c r="O453" s="55" t="str">
        <f t="shared" si="5"/>
        <v>SEM DATA APONTADA</v>
      </c>
      <c r="P453" s="215"/>
      <c r="Q453" s="100"/>
      <c r="R453" s="96"/>
      <c r="S453" s="96"/>
      <c r="T453" s="96"/>
      <c r="U453" s="96"/>
      <c r="V453" s="96"/>
      <c r="W453" s="96"/>
      <c r="X453" s="96"/>
      <c r="Y453" s="96"/>
      <c r="Z453" s="96"/>
      <c r="AA453" s="96"/>
      <c r="AB453" s="96"/>
      <c r="AC453" s="96"/>
      <c r="AD453" s="96"/>
    </row>
    <row r="454">
      <c r="A454" s="66"/>
      <c r="B454" s="103"/>
      <c r="C454" s="54"/>
      <c r="D454" s="66"/>
      <c r="E454" s="66"/>
      <c r="F454" s="100"/>
      <c r="G454" s="100">
        <v>46023.0</v>
      </c>
      <c r="H454" s="58">
        <v>0.0</v>
      </c>
      <c r="I454" s="66"/>
      <c r="J454" s="66"/>
      <c r="K454" s="66"/>
      <c r="L454" s="104"/>
      <c r="M454" s="66"/>
      <c r="N454" s="100"/>
      <c r="O454" s="55" t="str">
        <f t="shared" si="5"/>
        <v>SEM DATA APONTADA</v>
      </c>
      <c r="P454" s="215"/>
      <c r="Q454" s="100"/>
      <c r="R454" s="96"/>
      <c r="S454" s="96"/>
      <c r="T454" s="96"/>
      <c r="U454" s="96"/>
      <c r="V454" s="96"/>
      <c r="W454" s="96"/>
      <c r="X454" s="96"/>
      <c r="Y454" s="96"/>
      <c r="Z454" s="96"/>
      <c r="AA454" s="96"/>
      <c r="AB454" s="96"/>
      <c r="AC454" s="96"/>
      <c r="AD454" s="96"/>
    </row>
    <row r="455">
      <c r="A455" s="66"/>
      <c r="B455" s="103"/>
      <c r="C455" s="54"/>
      <c r="D455" s="66"/>
      <c r="E455" s="66"/>
      <c r="F455" s="100"/>
      <c r="G455" s="100">
        <v>46023.0</v>
      </c>
      <c r="H455" s="58">
        <v>0.0</v>
      </c>
      <c r="I455" s="66"/>
      <c r="J455" s="66"/>
      <c r="K455" s="66"/>
      <c r="L455" s="104"/>
      <c r="M455" s="66"/>
      <c r="N455" s="100"/>
      <c r="O455" s="55" t="str">
        <f t="shared" si="5"/>
        <v>SEM DATA APONTADA</v>
      </c>
      <c r="P455" s="215"/>
      <c r="Q455" s="100"/>
      <c r="R455" s="96"/>
      <c r="S455" s="96"/>
      <c r="T455" s="96"/>
      <c r="U455" s="96"/>
      <c r="V455" s="96"/>
      <c r="W455" s="96"/>
      <c r="X455" s="96"/>
      <c r="Y455" s="96"/>
      <c r="Z455" s="96"/>
      <c r="AA455" s="96"/>
      <c r="AB455" s="96"/>
      <c r="AC455" s="96"/>
      <c r="AD455" s="96"/>
    </row>
    <row r="456">
      <c r="A456" s="66"/>
      <c r="B456" s="103"/>
      <c r="C456" s="54"/>
      <c r="D456" s="66"/>
      <c r="E456" s="66"/>
      <c r="F456" s="100"/>
      <c r="G456" s="100">
        <v>46023.0</v>
      </c>
      <c r="H456" s="58">
        <v>0.0</v>
      </c>
      <c r="I456" s="66"/>
      <c r="J456" s="66"/>
      <c r="K456" s="66"/>
      <c r="L456" s="104"/>
      <c r="M456" s="66"/>
      <c r="N456" s="100"/>
      <c r="O456" s="55" t="str">
        <f t="shared" si="5"/>
        <v>SEM DATA APONTADA</v>
      </c>
      <c r="P456" s="215"/>
      <c r="Q456" s="100"/>
      <c r="R456" s="96"/>
      <c r="S456" s="96"/>
      <c r="T456" s="96"/>
      <c r="U456" s="96"/>
      <c r="V456" s="96"/>
      <c r="W456" s="96"/>
      <c r="X456" s="96"/>
      <c r="Y456" s="96"/>
      <c r="Z456" s="96"/>
      <c r="AA456" s="96"/>
      <c r="AB456" s="96"/>
      <c r="AC456" s="96"/>
      <c r="AD456" s="96"/>
    </row>
    <row r="457">
      <c r="A457" s="66"/>
      <c r="B457" s="103"/>
      <c r="C457" s="54"/>
      <c r="D457" s="66"/>
      <c r="E457" s="66"/>
      <c r="F457" s="100"/>
      <c r="G457" s="100">
        <v>46023.0</v>
      </c>
      <c r="H457" s="58">
        <v>0.0</v>
      </c>
      <c r="I457" s="66"/>
      <c r="J457" s="66"/>
      <c r="K457" s="66"/>
      <c r="L457" s="104"/>
      <c r="M457" s="66"/>
      <c r="N457" s="100"/>
      <c r="O457" s="55" t="str">
        <f t="shared" si="5"/>
        <v>SEM DATA APONTADA</v>
      </c>
      <c r="P457" s="215"/>
      <c r="Q457" s="100"/>
      <c r="R457" s="96"/>
      <c r="S457" s="96"/>
      <c r="T457" s="96"/>
      <c r="U457" s="96"/>
      <c r="V457" s="96"/>
      <c r="W457" s="96"/>
      <c r="X457" s="96"/>
      <c r="Y457" s="96"/>
      <c r="Z457" s="96"/>
      <c r="AA457" s="96"/>
      <c r="AB457" s="96"/>
      <c r="AC457" s="96"/>
      <c r="AD457" s="96"/>
    </row>
    <row r="458">
      <c r="A458" s="66"/>
      <c r="B458" s="103"/>
      <c r="C458" s="54"/>
      <c r="D458" s="66"/>
      <c r="E458" s="66"/>
      <c r="F458" s="100"/>
      <c r="G458" s="100">
        <v>46023.0</v>
      </c>
      <c r="H458" s="58">
        <v>0.0</v>
      </c>
      <c r="I458" s="66"/>
      <c r="J458" s="66"/>
      <c r="K458" s="66"/>
      <c r="L458" s="104"/>
      <c r="M458" s="66"/>
      <c r="N458" s="100"/>
      <c r="O458" s="55" t="str">
        <f t="shared" si="5"/>
        <v>SEM DATA APONTADA</v>
      </c>
      <c r="P458" s="215"/>
      <c r="Q458" s="100"/>
      <c r="R458" s="96"/>
      <c r="S458" s="96"/>
      <c r="T458" s="96"/>
      <c r="U458" s="96"/>
      <c r="V458" s="96"/>
      <c r="W458" s="96"/>
      <c r="X458" s="96"/>
      <c r="Y458" s="96"/>
      <c r="Z458" s="96"/>
      <c r="AA458" s="96"/>
      <c r="AB458" s="96"/>
      <c r="AC458" s="96"/>
      <c r="AD458" s="96"/>
    </row>
    <row r="459">
      <c r="A459" s="66"/>
      <c r="B459" s="103"/>
      <c r="C459" s="54"/>
      <c r="D459" s="66"/>
      <c r="E459" s="66"/>
      <c r="F459" s="100"/>
      <c r="G459" s="100">
        <v>46023.0</v>
      </c>
      <c r="H459" s="58">
        <v>0.0</v>
      </c>
      <c r="I459" s="66"/>
      <c r="J459" s="66"/>
      <c r="K459" s="66"/>
      <c r="L459" s="104"/>
      <c r="M459" s="66"/>
      <c r="N459" s="100"/>
      <c r="O459" s="55" t="str">
        <f t="shared" si="5"/>
        <v>SEM DATA APONTADA</v>
      </c>
      <c r="P459" s="215"/>
      <c r="Q459" s="100"/>
      <c r="R459" s="96"/>
      <c r="S459" s="96"/>
      <c r="T459" s="96"/>
      <c r="U459" s="96"/>
      <c r="V459" s="96"/>
      <c r="W459" s="96"/>
      <c r="X459" s="96"/>
      <c r="Y459" s="96"/>
      <c r="Z459" s="96"/>
      <c r="AA459" s="96"/>
      <c r="AB459" s="96"/>
      <c r="AC459" s="96"/>
      <c r="AD459" s="96"/>
    </row>
    <row r="460">
      <c r="A460" s="66"/>
      <c r="B460" s="103"/>
      <c r="C460" s="54"/>
      <c r="D460" s="66"/>
      <c r="E460" s="66"/>
      <c r="F460" s="100"/>
      <c r="G460" s="100">
        <v>46023.0</v>
      </c>
      <c r="H460" s="58">
        <v>0.0</v>
      </c>
      <c r="I460" s="66"/>
      <c r="J460" s="66"/>
      <c r="K460" s="66"/>
      <c r="L460" s="104"/>
      <c r="M460" s="66"/>
      <c r="N460" s="100"/>
      <c r="O460" s="55" t="str">
        <f t="shared" si="5"/>
        <v>SEM DATA APONTADA</v>
      </c>
      <c r="P460" s="215"/>
      <c r="Q460" s="100"/>
      <c r="R460" s="96"/>
      <c r="S460" s="96"/>
      <c r="T460" s="96"/>
      <c r="U460" s="96"/>
      <c r="V460" s="96"/>
      <c r="W460" s="96"/>
      <c r="X460" s="96"/>
      <c r="Y460" s="96"/>
      <c r="Z460" s="96"/>
      <c r="AA460" s="96"/>
      <c r="AB460" s="96"/>
      <c r="AC460" s="96"/>
      <c r="AD460" s="96"/>
    </row>
    <row r="461">
      <c r="A461" s="66"/>
      <c r="B461" s="103"/>
      <c r="C461" s="54"/>
      <c r="D461" s="66"/>
      <c r="E461" s="66"/>
      <c r="F461" s="100"/>
      <c r="G461" s="100">
        <v>46023.0</v>
      </c>
      <c r="H461" s="58">
        <v>0.0</v>
      </c>
      <c r="I461" s="66"/>
      <c r="J461" s="66"/>
      <c r="K461" s="66"/>
      <c r="L461" s="104"/>
      <c r="M461" s="66"/>
      <c r="N461" s="100"/>
      <c r="O461" s="55" t="str">
        <f t="shared" si="5"/>
        <v>SEM DATA APONTADA</v>
      </c>
      <c r="P461" s="215"/>
      <c r="Q461" s="100"/>
      <c r="R461" s="96"/>
      <c r="S461" s="96"/>
      <c r="T461" s="96"/>
      <c r="U461" s="96"/>
      <c r="V461" s="96"/>
      <c r="W461" s="96"/>
      <c r="X461" s="96"/>
      <c r="Y461" s="96"/>
      <c r="Z461" s="96"/>
      <c r="AA461" s="96"/>
      <c r="AB461" s="96"/>
      <c r="AC461" s="96"/>
      <c r="AD461" s="96"/>
    </row>
    <row r="462">
      <c r="A462" s="66"/>
      <c r="B462" s="103"/>
      <c r="C462" s="54"/>
      <c r="D462" s="66"/>
      <c r="E462" s="66"/>
      <c r="F462" s="100"/>
      <c r="G462" s="100">
        <v>46023.0</v>
      </c>
      <c r="H462" s="58">
        <v>0.0</v>
      </c>
      <c r="I462" s="66"/>
      <c r="J462" s="66"/>
      <c r="K462" s="66"/>
      <c r="L462" s="104"/>
      <c r="M462" s="66"/>
      <c r="N462" s="100"/>
      <c r="O462" s="55" t="str">
        <f t="shared" si="5"/>
        <v>SEM DATA APONTADA</v>
      </c>
      <c r="P462" s="215"/>
      <c r="Q462" s="100"/>
      <c r="R462" s="96"/>
      <c r="S462" s="96"/>
      <c r="T462" s="96"/>
      <c r="U462" s="96"/>
      <c r="V462" s="96"/>
      <c r="W462" s="96"/>
      <c r="X462" s="96"/>
      <c r="Y462" s="96"/>
      <c r="Z462" s="96"/>
      <c r="AA462" s="96"/>
      <c r="AB462" s="96"/>
      <c r="AC462" s="96"/>
      <c r="AD462" s="96"/>
    </row>
    <row r="463">
      <c r="A463" s="66"/>
      <c r="B463" s="103"/>
      <c r="C463" s="54"/>
      <c r="D463" s="66"/>
      <c r="E463" s="66"/>
      <c r="F463" s="100"/>
      <c r="G463" s="100">
        <v>46023.0</v>
      </c>
      <c r="H463" s="58">
        <v>0.0</v>
      </c>
      <c r="I463" s="66"/>
      <c r="J463" s="66"/>
      <c r="K463" s="66"/>
      <c r="L463" s="104"/>
      <c r="M463" s="66"/>
      <c r="N463" s="100"/>
      <c r="O463" s="55" t="str">
        <f t="shared" si="5"/>
        <v>SEM DATA APONTADA</v>
      </c>
      <c r="P463" s="215"/>
      <c r="Q463" s="100"/>
      <c r="R463" s="96"/>
      <c r="S463" s="96"/>
      <c r="T463" s="96"/>
      <c r="U463" s="96"/>
      <c r="V463" s="96"/>
      <c r="W463" s="96"/>
      <c r="X463" s="96"/>
      <c r="Y463" s="96"/>
      <c r="Z463" s="96"/>
      <c r="AA463" s="96"/>
      <c r="AB463" s="96"/>
      <c r="AC463" s="96"/>
      <c r="AD463" s="96"/>
    </row>
    <row r="464">
      <c r="A464" s="66"/>
      <c r="B464" s="103"/>
      <c r="C464" s="54"/>
      <c r="D464" s="66"/>
      <c r="E464" s="66"/>
      <c r="F464" s="100"/>
      <c r="G464" s="100">
        <v>46023.0</v>
      </c>
      <c r="H464" s="58">
        <v>0.0</v>
      </c>
      <c r="I464" s="66"/>
      <c r="J464" s="66"/>
      <c r="K464" s="66"/>
      <c r="L464" s="104"/>
      <c r="M464" s="66"/>
      <c r="N464" s="100"/>
      <c r="O464" s="55" t="str">
        <f t="shared" si="5"/>
        <v>SEM DATA APONTADA</v>
      </c>
      <c r="P464" s="215"/>
      <c r="Q464" s="100"/>
      <c r="R464" s="96"/>
      <c r="S464" s="96"/>
      <c r="T464" s="96"/>
      <c r="U464" s="96"/>
      <c r="V464" s="96"/>
      <c r="W464" s="96"/>
      <c r="X464" s="96"/>
      <c r="Y464" s="96"/>
      <c r="Z464" s="96"/>
      <c r="AA464" s="96"/>
      <c r="AB464" s="96"/>
      <c r="AC464" s="96"/>
      <c r="AD464" s="96"/>
    </row>
    <row r="465">
      <c r="A465" s="66"/>
      <c r="B465" s="103"/>
      <c r="C465" s="54"/>
      <c r="D465" s="66"/>
      <c r="E465" s="66"/>
      <c r="F465" s="100"/>
      <c r="G465" s="100">
        <v>46023.0</v>
      </c>
      <c r="H465" s="58">
        <v>0.0</v>
      </c>
      <c r="I465" s="66"/>
      <c r="J465" s="66"/>
      <c r="K465" s="66"/>
      <c r="L465" s="104"/>
      <c r="M465" s="66"/>
      <c r="N465" s="100"/>
      <c r="O465" s="55" t="str">
        <f t="shared" si="5"/>
        <v>SEM DATA APONTADA</v>
      </c>
      <c r="P465" s="215"/>
      <c r="Q465" s="100"/>
      <c r="R465" s="96"/>
      <c r="S465" s="96"/>
      <c r="T465" s="96"/>
      <c r="U465" s="96"/>
      <c r="V465" s="96"/>
      <c r="W465" s="96"/>
      <c r="X465" s="96"/>
      <c r="Y465" s="96"/>
      <c r="Z465" s="96"/>
      <c r="AA465" s="96"/>
      <c r="AB465" s="96"/>
      <c r="AC465" s="96"/>
      <c r="AD465" s="96"/>
    </row>
    <row r="466">
      <c r="A466" s="66"/>
      <c r="B466" s="103"/>
      <c r="C466" s="54"/>
      <c r="D466" s="66"/>
      <c r="E466" s="66"/>
      <c r="F466" s="100"/>
      <c r="G466" s="100">
        <v>46023.0</v>
      </c>
      <c r="H466" s="58">
        <v>0.0</v>
      </c>
      <c r="I466" s="66"/>
      <c r="J466" s="66"/>
      <c r="K466" s="66"/>
      <c r="L466" s="104"/>
      <c r="M466" s="66"/>
      <c r="N466" s="100"/>
      <c r="O466" s="55" t="str">
        <f t="shared" si="5"/>
        <v>SEM DATA APONTADA</v>
      </c>
      <c r="P466" s="215"/>
      <c r="Q466" s="100"/>
      <c r="R466" s="96"/>
      <c r="S466" s="96"/>
      <c r="T466" s="96"/>
      <c r="U466" s="96"/>
      <c r="V466" s="96"/>
      <c r="W466" s="96"/>
      <c r="X466" s="96"/>
      <c r="Y466" s="96"/>
      <c r="Z466" s="96"/>
      <c r="AA466" s="96"/>
      <c r="AB466" s="96"/>
      <c r="AC466" s="96"/>
      <c r="AD466" s="96"/>
    </row>
    <row r="467">
      <c r="A467" s="66"/>
      <c r="B467" s="103"/>
      <c r="C467" s="54"/>
      <c r="D467" s="66"/>
      <c r="E467" s="66"/>
      <c r="F467" s="100"/>
      <c r="G467" s="100">
        <v>46023.0</v>
      </c>
      <c r="H467" s="58">
        <v>0.0</v>
      </c>
      <c r="I467" s="66"/>
      <c r="J467" s="66"/>
      <c r="K467" s="66"/>
      <c r="L467" s="104"/>
      <c r="M467" s="66"/>
      <c r="N467" s="100"/>
      <c r="O467" s="55" t="str">
        <f t="shared" si="5"/>
        <v>SEM DATA APONTADA</v>
      </c>
      <c r="P467" s="215"/>
      <c r="Q467" s="100"/>
      <c r="R467" s="96"/>
      <c r="S467" s="96"/>
      <c r="T467" s="96"/>
      <c r="U467" s="96"/>
      <c r="V467" s="96"/>
      <c r="W467" s="96"/>
      <c r="X467" s="96"/>
      <c r="Y467" s="96"/>
      <c r="Z467" s="96"/>
      <c r="AA467" s="96"/>
      <c r="AB467" s="96"/>
      <c r="AC467" s="96"/>
      <c r="AD467" s="96"/>
    </row>
    <row r="468">
      <c r="A468" s="66"/>
      <c r="B468" s="103"/>
      <c r="C468" s="54"/>
      <c r="D468" s="66"/>
      <c r="E468" s="66"/>
      <c r="F468" s="100"/>
      <c r="G468" s="100">
        <v>46023.0</v>
      </c>
      <c r="H468" s="58">
        <v>0.0</v>
      </c>
      <c r="I468" s="66"/>
      <c r="J468" s="66"/>
      <c r="K468" s="66"/>
      <c r="L468" s="104"/>
      <c r="M468" s="66"/>
      <c r="N468" s="100"/>
      <c r="O468" s="55" t="str">
        <f t="shared" si="5"/>
        <v>SEM DATA APONTADA</v>
      </c>
      <c r="P468" s="215"/>
      <c r="Q468" s="100"/>
      <c r="R468" s="96"/>
      <c r="S468" s="96"/>
      <c r="T468" s="96"/>
      <c r="U468" s="96"/>
      <c r="V468" s="96"/>
      <c r="W468" s="96"/>
      <c r="X468" s="96"/>
      <c r="Y468" s="96"/>
      <c r="Z468" s="96"/>
      <c r="AA468" s="96"/>
      <c r="AB468" s="96"/>
      <c r="AC468" s="96"/>
      <c r="AD468" s="96"/>
    </row>
    <row r="469">
      <c r="A469" s="66"/>
      <c r="B469" s="103"/>
      <c r="C469" s="54"/>
      <c r="D469" s="66"/>
      <c r="E469" s="66"/>
      <c r="F469" s="100"/>
      <c r="G469" s="100">
        <v>46023.0</v>
      </c>
      <c r="H469" s="58">
        <v>0.0</v>
      </c>
      <c r="I469" s="66"/>
      <c r="J469" s="66"/>
      <c r="K469" s="66"/>
      <c r="L469" s="104"/>
      <c r="M469" s="66"/>
      <c r="N469" s="100"/>
      <c r="O469" s="55" t="str">
        <f t="shared" si="5"/>
        <v>SEM DATA APONTADA</v>
      </c>
      <c r="P469" s="215"/>
      <c r="Q469" s="100"/>
      <c r="R469" s="96"/>
      <c r="S469" s="96"/>
      <c r="T469" s="96"/>
      <c r="U469" s="96"/>
      <c r="V469" s="96"/>
      <c r="W469" s="96"/>
      <c r="X469" s="96"/>
      <c r="Y469" s="96"/>
      <c r="Z469" s="96"/>
      <c r="AA469" s="96"/>
      <c r="AB469" s="96"/>
      <c r="AC469" s="96"/>
      <c r="AD469" s="96"/>
    </row>
    <row r="470">
      <c r="A470" s="66"/>
      <c r="B470" s="103"/>
      <c r="C470" s="54"/>
      <c r="D470" s="66"/>
      <c r="E470" s="66"/>
      <c r="F470" s="100"/>
      <c r="G470" s="100">
        <v>46023.0</v>
      </c>
      <c r="H470" s="58">
        <v>0.0</v>
      </c>
      <c r="I470" s="66"/>
      <c r="J470" s="66"/>
      <c r="K470" s="66"/>
      <c r="L470" s="104"/>
      <c r="M470" s="66"/>
      <c r="N470" s="100"/>
      <c r="O470" s="55" t="str">
        <f t="shared" si="5"/>
        <v>SEM DATA APONTADA</v>
      </c>
      <c r="P470" s="215"/>
      <c r="Q470" s="100"/>
      <c r="R470" s="96"/>
      <c r="S470" s="96"/>
      <c r="T470" s="96"/>
      <c r="U470" s="96"/>
      <c r="V470" s="96"/>
      <c r="W470" s="96"/>
      <c r="X470" s="96"/>
      <c r="Y470" s="96"/>
      <c r="Z470" s="96"/>
      <c r="AA470" s="96"/>
      <c r="AB470" s="96"/>
      <c r="AC470" s="96"/>
      <c r="AD470" s="96"/>
    </row>
    <row r="471">
      <c r="A471" s="66"/>
      <c r="B471" s="103"/>
      <c r="C471" s="54"/>
      <c r="D471" s="66"/>
      <c r="E471" s="66"/>
      <c r="F471" s="100"/>
      <c r="G471" s="100">
        <v>46023.0</v>
      </c>
      <c r="H471" s="58">
        <v>0.0</v>
      </c>
      <c r="I471" s="66"/>
      <c r="J471" s="66"/>
      <c r="K471" s="66"/>
      <c r="L471" s="104"/>
      <c r="M471" s="66"/>
      <c r="N471" s="100"/>
      <c r="O471" s="55" t="str">
        <f t="shared" si="5"/>
        <v>SEM DATA APONTADA</v>
      </c>
      <c r="P471" s="215"/>
      <c r="Q471" s="100"/>
      <c r="R471" s="96"/>
      <c r="S471" s="96"/>
      <c r="T471" s="96"/>
      <c r="U471" s="96"/>
      <c r="V471" s="96"/>
      <c r="W471" s="96"/>
      <c r="X471" s="96"/>
      <c r="Y471" s="96"/>
      <c r="Z471" s="96"/>
      <c r="AA471" s="96"/>
      <c r="AB471" s="96"/>
      <c r="AC471" s="96"/>
      <c r="AD471" s="96"/>
    </row>
    <row r="472">
      <c r="A472" s="66"/>
      <c r="B472" s="103"/>
      <c r="C472" s="54"/>
      <c r="D472" s="66"/>
      <c r="E472" s="66"/>
      <c r="F472" s="100"/>
      <c r="G472" s="100">
        <v>46023.0</v>
      </c>
      <c r="H472" s="58">
        <v>0.0</v>
      </c>
      <c r="I472" s="66"/>
      <c r="J472" s="66"/>
      <c r="K472" s="66"/>
      <c r="L472" s="104"/>
      <c r="M472" s="66"/>
      <c r="N472" s="100"/>
      <c r="O472" s="55" t="str">
        <f t="shared" si="5"/>
        <v>SEM DATA APONTADA</v>
      </c>
      <c r="P472" s="215"/>
      <c r="Q472" s="100"/>
      <c r="R472" s="96"/>
      <c r="S472" s="96"/>
      <c r="T472" s="96"/>
      <c r="U472" s="96"/>
      <c r="V472" s="96"/>
      <c r="W472" s="96"/>
      <c r="X472" s="96"/>
      <c r="Y472" s="96"/>
      <c r="Z472" s="96"/>
      <c r="AA472" s="96"/>
      <c r="AB472" s="96"/>
      <c r="AC472" s="96"/>
      <c r="AD472" s="96"/>
    </row>
    <row r="473">
      <c r="A473" s="66"/>
      <c r="B473" s="103"/>
      <c r="C473" s="54"/>
      <c r="D473" s="66"/>
      <c r="E473" s="66"/>
      <c r="F473" s="100"/>
      <c r="G473" s="100">
        <v>46023.0</v>
      </c>
      <c r="H473" s="58">
        <v>0.0</v>
      </c>
      <c r="I473" s="66"/>
      <c r="J473" s="66"/>
      <c r="K473" s="66"/>
      <c r="L473" s="104"/>
      <c r="M473" s="66"/>
      <c r="N473" s="100"/>
      <c r="O473" s="55" t="str">
        <f t="shared" si="5"/>
        <v>SEM DATA APONTADA</v>
      </c>
      <c r="P473" s="215"/>
      <c r="Q473" s="100"/>
      <c r="R473" s="96"/>
      <c r="S473" s="96"/>
      <c r="T473" s="96"/>
      <c r="U473" s="96"/>
      <c r="V473" s="96"/>
      <c r="W473" s="96"/>
      <c r="X473" s="96"/>
      <c r="Y473" s="96"/>
      <c r="Z473" s="96"/>
      <c r="AA473" s="96"/>
      <c r="AB473" s="96"/>
      <c r="AC473" s="96"/>
      <c r="AD473" s="96"/>
    </row>
    <row r="474">
      <c r="A474" s="66"/>
      <c r="B474" s="103"/>
      <c r="C474" s="54"/>
      <c r="D474" s="66"/>
      <c r="E474" s="66"/>
      <c r="F474" s="100"/>
      <c r="G474" s="100">
        <v>46023.0</v>
      </c>
      <c r="H474" s="58">
        <v>0.0</v>
      </c>
      <c r="I474" s="66"/>
      <c r="J474" s="66"/>
      <c r="K474" s="66"/>
      <c r="L474" s="104"/>
      <c r="M474" s="66"/>
      <c r="N474" s="100"/>
      <c r="O474" s="55" t="str">
        <f t="shared" si="5"/>
        <v>SEM DATA APONTADA</v>
      </c>
      <c r="P474" s="215"/>
      <c r="Q474" s="100"/>
      <c r="R474" s="96"/>
      <c r="S474" s="96"/>
      <c r="T474" s="96"/>
      <c r="U474" s="96"/>
      <c r="V474" s="96"/>
      <c r="W474" s="96"/>
      <c r="X474" s="96"/>
      <c r="Y474" s="96"/>
      <c r="Z474" s="96"/>
      <c r="AA474" s="96"/>
      <c r="AB474" s="96"/>
      <c r="AC474" s="96"/>
      <c r="AD474" s="96"/>
    </row>
    <row r="475">
      <c r="A475" s="66"/>
      <c r="B475" s="103"/>
      <c r="C475" s="54"/>
      <c r="D475" s="66"/>
      <c r="E475" s="66"/>
      <c r="F475" s="100"/>
      <c r="G475" s="100">
        <v>46023.0</v>
      </c>
      <c r="H475" s="58">
        <v>0.0</v>
      </c>
      <c r="I475" s="66"/>
      <c r="J475" s="66"/>
      <c r="K475" s="66"/>
      <c r="L475" s="104"/>
      <c r="M475" s="66"/>
      <c r="N475" s="100"/>
      <c r="O475" s="55" t="str">
        <f t="shared" si="5"/>
        <v>SEM DATA APONTADA</v>
      </c>
      <c r="P475" s="215"/>
      <c r="Q475" s="100"/>
      <c r="R475" s="96"/>
      <c r="S475" s="96"/>
      <c r="T475" s="96"/>
      <c r="U475" s="96"/>
      <c r="V475" s="96"/>
      <c r="W475" s="96"/>
      <c r="X475" s="96"/>
      <c r="Y475" s="96"/>
      <c r="Z475" s="96"/>
      <c r="AA475" s="96"/>
      <c r="AB475" s="96"/>
      <c r="AC475" s="96"/>
      <c r="AD475" s="96"/>
    </row>
    <row r="476">
      <c r="A476" s="66"/>
      <c r="B476" s="103"/>
      <c r="C476" s="54"/>
      <c r="D476" s="66"/>
      <c r="E476" s="66"/>
      <c r="F476" s="100"/>
      <c r="G476" s="100">
        <v>46023.0</v>
      </c>
      <c r="H476" s="58">
        <v>0.0</v>
      </c>
      <c r="I476" s="66"/>
      <c r="J476" s="66"/>
      <c r="K476" s="66"/>
      <c r="L476" s="104"/>
      <c r="M476" s="66"/>
      <c r="N476" s="100"/>
      <c r="O476" s="55" t="str">
        <f t="shared" si="5"/>
        <v>SEM DATA APONTADA</v>
      </c>
      <c r="P476" s="215"/>
      <c r="Q476" s="100"/>
      <c r="R476" s="96"/>
      <c r="S476" s="96"/>
      <c r="T476" s="96"/>
      <c r="U476" s="96"/>
      <c r="V476" s="96"/>
      <c r="W476" s="96"/>
      <c r="X476" s="96"/>
      <c r="Y476" s="96"/>
      <c r="Z476" s="96"/>
      <c r="AA476" s="96"/>
      <c r="AB476" s="96"/>
      <c r="AC476" s="96"/>
      <c r="AD476" s="96"/>
    </row>
    <row r="477">
      <c r="A477" s="66"/>
      <c r="B477" s="103"/>
      <c r="C477" s="54"/>
      <c r="D477" s="66"/>
      <c r="E477" s="66"/>
      <c r="F477" s="100"/>
      <c r="G477" s="100">
        <v>46023.0</v>
      </c>
      <c r="H477" s="58">
        <v>0.0</v>
      </c>
      <c r="I477" s="66"/>
      <c r="J477" s="66"/>
      <c r="K477" s="66"/>
      <c r="L477" s="104"/>
      <c r="M477" s="66"/>
      <c r="N477" s="100"/>
      <c r="O477" s="55" t="str">
        <f t="shared" si="5"/>
        <v>SEM DATA APONTADA</v>
      </c>
      <c r="P477" s="215"/>
      <c r="Q477" s="100"/>
      <c r="R477" s="96"/>
      <c r="S477" s="96"/>
      <c r="T477" s="96"/>
      <c r="U477" s="96"/>
      <c r="V477" s="96"/>
      <c r="W477" s="96"/>
      <c r="X477" s="96"/>
      <c r="Y477" s="96"/>
      <c r="Z477" s="96"/>
      <c r="AA477" s="96"/>
      <c r="AB477" s="96"/>
      <c r="AC477" s="96"/>
      <c r="AD477" s="96"/>
    </row>
    <row r="478">
      <c r="A478" s="66"/>
      <c r="B478" s="103"/>
      <c r="C478" s="54"/>
      <c r="D478" s="66"/>
      <c r="E478" s="66"/>
      <c r="F478" s="100"/>
      <c r="G478" s="100">
        <v>46023.0</v>
      </c>
      <c r="H478" s="58">
        <v>0.0</v>
      </c>
      <c r="I478" s="66"/>
      <c r="J478" s="66"/>
      <c r="K478" s="66"/>
      <c r="L478" s="104"/>
      <c r="M478" s="66"/>
      <c r="N478" s="100"/>
      <c r="O478" s="55" t="str">
        <f t="shared" si="5"/>
        <v>SEM DATA APONTADA</v>
      </c>
      <c r="P478" s="215"/>
      <c r="Q478" s="100"/>
      <c r="R478" s="96"/>
      <c r="S478" s="96"/>
      <c r="T478" s="96"/>
      <c r="U478" s="96"/>
      <c r="V478" s="96"/>
      <c r="W478" s="96"/>
      <c r="X478" s="96"/>
      <c r="Y478" s="96"/>
      <c r="Z478" s="96"/>
      <c r="AA478" s="96"/>
      <c r="AB478" s="96"/>
      <c r="AC478" s="96"/>
      <c r="AD478" s="96"/>
    </row>
    <row r="479">
      <c r="A479" s="66"/>
      <c r="B479" s="103"/>
      <c r="C479" s="54"/>
      <c r="D479" s="66"/>
      <c r="E479" s="66"/>
      <c r="F479" s="100"/>
      <c r="G479" s="100">
        <v>46023.0</v>
      </c>
      <c r="H479" s="58">
        <v>0.0</v>
      </c>
      <c r="I479" s="66"/>
      <c r="J479" s="66"/>
      <c r="K479" s="66"/>
      <c r="L479" s="104"/>
      <c r="M479" s="66"/>
      <c r="N479" s="100"/>
      <c r="O479" s="55" t="str">
        <f t="shared" si="5"/>
        <v>SEM DATA APONTADA</v>
      </c>
      <c r="P479" s="215"/>
      <c r="Q479" s="100"/>
      <c r="R479" s="96"/>
      <c r="S479" s="96"/>
      <c r="T479" s="96"/>
      <c r="U479" s="96"/>
      <c r="V479" s="96"/>
      <c r="W479" s="96"/>
      <c r="X479" s="96"/>
      <c r="Y479" s="96"/>
      <c r="Z479" s="96"/>
      <c r="AA479" s="96"/>
      <c r="AB479" s="96"/>
      <c r="AC479" s="96"/>
      <c r="AD479" s="96"/>
    </row>
    <row r="480">
      <c r="A480" s="66"/>
      <c r="B480" s="103"/>
      <c r="C480" s="54"/>
      <c r="D480" s="66"/>
      <c r="E480" s="66"/>
      <c r="F480" s="100"/>
      <c r="G480" s="100">
        <v>46023.0</v>
      </c>
      <c r="H480" s="58">
        <v>0.0</v>
      </c>
      <c r="I480" s="66"/>
      <c r="J480" s="66"/>
      <c r="K480" s="66"/>
      <c r="L480" s="104"/>
      <c r="M480" s="66"/>
      <c r="N480" s="100"/>
      <c r="O480" s="55" t="str">
        <f t="shared" si="5"/>
        <v>SEM DATA APONTADA</v>
      </c>
      <c r="P480" s="215"/>
      <c r="Q480" s="100"/>
      <c r="R480" s="96"/>
      <c r="S480" s="96"/>
      <c r="T480" s="96"/>
      <c r="U480" s="96"/>
      <c r="V480" s="96"/>
      <c r="W480" s="96"/>
      <c r="X480" s="96"/>
      <c r="Y480" s="96"/>
      <c r="Z480" s="96"/>
      <c r="AA480" s="96"/>
      <c r="AB480" s="96"/>
      <c r="AC480" s="96"/>
      <c r="AD480" s="96"/>
    </row>
    <row r="481">
      <c r="A481" s="66"/>
      <c r="B481" s="103"/>
      <c r="C481" s="54"/>
      <c r="D481" s="66"/>
      <c r="E481" s="66"/>
      <c r="F481" s="100"/>
      <c r="G481" s="100">
        <v>46023.0</v>
      </c>
      <c r="H481" s="58">
        <v>0.0</v>
      </c>
      <c r="I481" s="66"/>
      <c r="J481" s="66"/>
      <c r="K481" s="66"/>
      <c r="L481" s="104"/>
      <c r="M481" s="66"/>
      <c r="N481" s="100"/>
      <c r="O481" s="55"/>
      <c r="P481" s="215"/>
      <c r="Q481" s="100"/>
      <c r="R481" s="96"/>
      <c r="S481" s="96"/>
      <c r="T481" s="96"/>
      <c r="U481" s="96"/>
      <c r="V481" s="96"/>
      <c r="W481" s="96"/>
      <c r="X481" s="96"/>
      <c r="Y481" s="96"/>
      <c r="Z481" s="96"/>
      <c r="AA481" s="96"/>
      <c r="AB481" s="96"/>
      <c r="AC481" s="96"/>
      <c r="AD481" s="96"/>
    </row>
    <row r="482">
      <c r="A482" s="66"/>
      <c r="B482" s="103"/>
      <c r="C482" s="54"/>
      <c r="D482" s="66"/>
      <c r="E482" s="66"/>
      <c r="F482" s="100"/>
      <c r="G482" s="100">
        <v>46023.0</v>
      </c>
      <c r="H482" s="58">
        <v>0.0</v>
      </c>
      <c r="I482" s="66"/>
      <c r="J482" s="66"/>
      <c r="K482" s="66"/>
      <c r="L482" s="104"/>
      <c r="M482" s="66"/>
      <c r="N482" s="100"/>
      <c r="O482" s="55"/>
      <c r="P482" s="215"/>
      <c r="Q482" s="100"/>
      <c r="R482" s="96"/>
      <c r="S482" s="96"/>
      <c r="T482" s="96"/>
      <c r="U482" s="96"/>
      <c r="V482" s="96"/>
      <c r="W482" s="96"/>
      <c r="X482" s="96"/>
      <c r="Y482" s="96"/>
      <c r="Z482" s="96"/>
      <c r="AA482" s="96"/>
      <c r="AB482" s="96"/>
      <c r="AC482" s="96"/>
      <c r="AD482" s="96"/>
    </row>
    <row r="483">
      <c r="A483" s="66"/>
      <c r="B483" s="103"/>
      <c r="C483" s="54"/>
      <c r="D483" s="66"/>
      <c r="E483" s="66"/>
      <c r="F483" s="100"/>
      <c r="G483" s="100">
        <v>46023.0</v>
      </c>
      <c r="H483" s="58">
        <v>0.0</v>
      </c>
      <c r="I483" s="66"/>
      <c r="J483" s="66"/>
      <c r="K483" s="66"/>
      <c r="L483" s="104"/>
      <c r="M483" s="66"/>
      <c r="N483" s="100"/>
      <c r="O483" s="55"/>
      <c r="P483" s="215"/>
      <c r="Q483" s="100"/>
      <c r="R483" s="96"/>
      <c r="S483" s="96"/>
      <c r="T483" s="96"/>
      <c r="U483" s="96"/>
      <c r="V483" s="96"/>
      <c r="W483" s="96"/>
      <c r="X483" s="96"/>
      <c r="Y483" s="96"/>
      <c r="Z483" s="96"/>
      <c r="AA483" s="96"/>
      <c r="AB483" s="96"/>
      <c r="AC483" s="96"/>
      <c r="AD483" s="96"/>
    </row>
    <row r="484">
      <c r="A484" s="66"/>
      <c r="B484" s="103"/>
      <c r="C484" s="54"/>
      <c r="D484" s="66"/>
      <c r="E484" s="66"/>
      <c r="F484" s="100"/>
      <c r="G484" s="100">
        <v>46023.0</v>
      </c>
      <c r="H484" s="58">
        <v>0.0</v>
      </c>
      <c r="I484" s="66"/>
      <c r="J484" s="66"/>
      <c r="K484" s="66"/>
      <c r="L484" s="104"/>
      <c r="M484" s="66"/>
      <c r="N484" s="100"/>
      <c r="O484" s="55"/>
      <c r="P484" s="215"/>
      <c r="Q484" s="100"/>
      <c r="R484" s="96"/>
      <c r="S484" s="96"/>
      <c r="T484" s="96"/>
      <c r="U484" s="96"/>
      <c r="V484" s="96"/>
      <c r="W484" s="96"/>
      <c r="X484" s="96"/>
      <c r="Y484" s="96"/>
      <c r="Z484" s="96"/>
      <c r="AA484" s="96"/>
      <c r="AB484" s="96"/>
      <c r="AC484" s="96"/>
      <c r="AD484" s="96"/>
    </row>
    <row r="485">
      <c r="A485" s="66"/>
      <c r="B485" s="103"/>
      <c r="C485" s="54"/>
      <c r="D485" s="66"/>
      <c r="E485" s="66"/>
      <c r="F485" s="100"/>
      <c r="G485" s="100">
        <v>46023.0</v>
      </c>
      <c r="H485" s="58">
        <v>0.0</v>
      </c>
      <c r="I485" s="66"/>
      <c r="J485" s="66"/>
      <c r="K485" s="66"/>
      <c r="L485" s="104"/>
      <c r="M485" s="66"/>
      <c r="N485" s="100"/>
      <c r="O485" s="55"/>
      <c r="P485" s="215"/>
      <c r="Q485" s="100"/>
      <c r="R485" s="96"/>
      <c r="S485" s="96"/>
      <c r="T485" s="96"/>
      <c r="U485" s="96"/>
      <c r="V485" s="96"/>
      <c r="W485" s="96"/>
      <c r="X485" s="96"/>
      <c r="Y485" s="96"/>
      <c r="Z485" s="96"/>
      <c r="AA485" s="96"/>
      <c r="AB485" s="96"/>
      <c r="AC485" s="96"/>
      <c r="AD485" s="96"/>
    </row>
    <row r="486">
      <c r="A486" s="66"/>
      <c r="B486" s="103"/>
      <c r="C486" s="54"/>
      <c r="D486" s="66"/>
      <c r="E486" s="66"/>
      <c r="F486" s="100"/>
      <c r="G486" s="100">
        <v>46023.0</v>
      </c>
      <c r="H486" s="58">
        <v>0.0</v>
      </c>
      <c r="I486" s="66"/>
      <c r="J486" s="66"/>
      <c r="K486" s="66"/>
      <c r="L486" s="104"/>
      <c r="M486" s="66"/>
      <c r="N486" s="100"/>
      <c r="O486" s="55"/>
      <c r="P486" s="215"/>
      <c r="Q486" s="100"/>
      <c r="R486" s="96"/>
      <c r="S486" s="96"/>
      <c r="T486" s="96"/>
      <c r="U486" s="96"/>
      <c r="V486" s="96"/>
      <c r="W486" s="96"/>
      <c r="X486" s="96"/>
      <c r="Y486" s="96"/>
      <c r="Z486" s="96"/>
      <c r="AA486" s="96"/>
      <c r="AB486" s="96"/>
      <c r="AC486" s="96"/>
      <c r="AD486" s="96"/>
    </row>
    <row r="487">
      <c r="A487" s="66"/>
      <c r="B487" s="103"/>
      <c r="C487" s="54"/>
      <c r="D487" s="66"/>
      <c r="E487" s="66"/>
      <c r="F487" s="100"/>
      <c r="G487" s="100">
        <v>46023.0</v>
      </c>
      <c r="H487" s="58">
        <v>0.0</v>
      </c>
      <c r="I487" s="66"/>
      <c r="J487" s="66"/>
      <c r="K487" s="66"/>
      <c r="L487" s="104"/>
      <c r="M487" s="66"/>
      <c r="N487" s="100"/>
      <c r="O487" s="55"/>
      <c r="P487" s="215"/>
      <c r="Q487" s="100"/>
      <c r="R487" s="96"/>
      <c r="S487" s="96"/>
      <c r="T487" s="96"/>
      <c r="U487" s="96"/>
      <c r="V487" s="96"/>
      <c r="W487" s="96"/>
      <c r="X487" s="96"/>
      <c r="Y487" s="96"/>
      <c r="Z487" s="96"/>
      <c r="AA487" s="96"/>
      <c r="AB487" s="96"/>
      <c r="AC487" s="96"/>
      <c r="AD487" s="96"/>
    </row>
    <row r="488">
      <c r="A488" s="66"/>
      <c r="B488" s="103"/>
      <c r="C488" s="54"/>
      <c r="D488" s="66"/>
      <c r="E488" s="66"/>
      <c r="F488" s="100"/>
      <c r="G488" s="100">
        <v>46023.0</v>
      </c>
      <c r="H488" s="58">
        <v>0.0</v>
      </c>
      <c r="I488" s="66"/>
      <c r="J488" s="66"/>
      <c r="K488" s="66"/>
      <c r="L488" s="104"/>
      <c r="M488" s="66"/>
      <c r="N488" s="100"/>
      <c r="O488" s="55"/>
      <c r="P488" s="215"/>
      <c r="Q488" s="100"/>
      <c r="R488" s="96"/>
      <c r="S488" s="96"/>
      <c r="T488" s="96"/>
      <c r="U488" s="96"/>
      <c r="V488" s="96"/>
      <c r="W488" s="96"/>
      <c r="X488" s="96"/>
      <c r="Y488" s="96"/>
      <c r="Z488" s="96"/>
      <c r="AA488" s="96"/>
      <c r="AB488" s="96"/>
      <c r="AC488" s="96"/>
      <c r="AD488" s="96"/>
    </row>
    <row r="489">
      <c r="A489" s="66"/>
      <c r="B489" s="103"/>
      <c r="C489" s="54"/>
      <c r="D489" s="66"/>
      <c r="E489" s="66"/>
      <c r="F489" s="100"/>
      <c r="G489" s="100">
        <v>46023.0</v>
      </c>
      <c r="H489" s="58">
        <v>0.0</v>
      </c>
      <c r="I489" s="66"/>
      <c r="J489" s="66"/>
      <c r="K489" s="66"/>
      <c r="L489" s="104"/>
      <c r="M489" s="66"/>
      <c r="N489" s="100"/>
      <c r="O489" s="55"/>
      <c r="P489" s="215"/>
      <c r="Q489" s="100"/>
      <c r="R489" s="96"/>
      <c r="S489" s="96"/>
      <c r="T489" s="96"/>
      <c r="U489" s="96"/>
      <c r="V489" s="96"/>
      <c r="W489" s="96"/>
      <c r="X489" s="96"/>
      <c r="Y489" s="96"/>
      <c r="Z489" s="96"/>
      <c r="AA489" s="96"/>
      <c r="AB489" s="96"/>
      <c r="AC489" s="96"/>
      <c r="AD489" s="96"/>
    </row>
    <row r="490">
      <c r="A490" s="66"/>
      <c r="B490" s="103"/>
      <c r="C490" s="54"/>
      <c r="D490" s="66"/>
      <c r="E490" s="66"/>
      <c r="F490" s="100"/>
      <c r="G490" s="100">
        <v>46023.0</v>
      </c>
      <c r="H490" s="58">
        <v>0.0</v>
      </c>
      <c r="I490" s="66"/>
      <c r="J490" s="66"/>
      <c r="K490" s="66"/>
      <c r="L490" s="104"/>
      <c r="M490" s="66"/>
      <c r="N490" s="100"/>
      <c r="O490" s="55"/>
      <c r="P490" s="215"/>
      <c r="Q490" s="100"/>
      <c r="R490" s="96"/>
      <c r="S490" s="96"/>
      <c r="T490" s="96"/>
      <c r="U490" s="96"/>
      <c r="V490" s="96"/>
      <c r="W490" s="96"/>
      <c r="X490" s="96"/>
      <c r="Y490" s="96"/>
      <c r="Z490" s="96"/>
      <c r="AA490" s="96"/>
      <c r="AB490" s="96"/>
      <c r="AC490" s="96"/>
      <c r="AD490" s="96"/>
    </row>
    <row r="491">
      <c r="A491" s="66"/>
      <c r="B491" s="103"/>
      <c r="C491" s="54"/>
      <c r="D491" s="66"/>
      <c r="E491" s="66"/>
      <c r="F491" s="100"/>
      <c r="G491" s="100">
        <v>46023.0</v>
      </c>
      <c r="H491" s="58">
        <v>0.0</v>
      </c>
      <c r="I491" s="66"/>
      <c r="J491" s="66"/>
      <c r="K491" s="66"/>
      <c r="L491" s="104"/>
      <c r="M491" s="66"/>
      <c r="N491" s="100"/>
      <c r="O491" s="55"/>
      <c r="P491" s="215"/>
      <c r="Q491" s="100"/>
      <c r="R491" s="96"/>
      <c r="S491" s="96"/>
      <c r="T491" s="96"/>
      <c r="U491" s="96"/>
      <c r="V491" s="96"/>
      <c r="W491" s="96"/>
      <c r="X491" s="96"/>
      <c r="Y491" s="96"/>
      <c r="Z491" s="96"/>
      <c r="AA491" s="96"/>
      <c r="AB491" s="96"/>
      <c r="AC491" s="96"/>
      <c r="AD491" s="96"/>
    </row>
    <row r="492">
      <c r="A492" s="66"/>
      <c r="B492" s="103"/>
      <c r="C492" s="54"/>
      <c r="D492" s="66"/>
      <c r="E492" s="66"/>
      <c r="F492" s="100"/>
      <c r="G492" s="100">
        <v>46023.0</v>
      </c>
      <c r="H492" s="58">
        <v>0.0</v>
      </c>
      <c r="I492" s="66"/>
      <c r="J492" s="66"/>
      <c r="K492" s="66"/>
      <c r="L492" s="104"/>
      <c r="M492" s="66"/>
      <c r="N492" s="100"/>
      <c r="O492" s="55"/>
      <c r="P492" s="215"/>
      <c r="Q492" s="100"/>
      <c r="R492" s="96"/>
      <c r="S492" s="96"/>
      <c r="T492" s="96"/>
      <c r="U492" s="96"/>
      <c r="V492" s="96"/>
      <c r="W492" s="96"/>
      <c r="X492" s="96"/>
      <c r="Y492" s="96"/>
      <c r="Z492" s="96"/>
      <c r="AA492" s="96"/>
      <c r="AB492" s="96"/>
      <c r="AC492" s="96"/>
      <c r="AD492" s="96"/>
    </row>
    <row r="493">
      <c r="A493" s="66"/>
      <c r="B493" s="103"/>
      <c r="C493" s="54"/>
      <c r="D493" s="66"/>
      <c r="E493" s="66"/>
      <c r="F493" s="100"/>
      <c r="G493" s="100">
        <v>46023.0</v>
      </c>
      <c r="H493" s="58">
        <v>0.0</v>
      </c>
      <c r="I493" s="66"/>
      <c r="J493" s="66"/>
      <c r="K493" s="66"/>
      <c r="L493" s="104"/>
      <c r="M493" s="66"/>
      <c r="N493" s="100"/>
      <c r="O493" s="55"/>
      <c r="P493" s="215"/>
      <c r="Q493" s="100"/>
      <c r="R493" s="96"/>
      <c r="S493" s="96"/>
      <c r="T493" s="96"/>
      <c r="U493" s="96"/>
      <c r="V493" s="96"/>
      <c r="W493" s="96"/>
      <c r="X493" s="96"/>
      <c r="Y493" s="96"/>
      <c r="Z493" s="96"/>
      <c r="AA493" s="96"/>
      <c r="AB493" s="96"/>
      <c r="AC493" s="96"/>
      <c r="AD493" s="96"/>
    </row>
    <row r="494">
      <c r="A494" s="66"/>
      <c r="B494" s="103"/>
      <c r="C494" s="54"/>
      <c r="D494" s="66"/>
      <c r="E494" s="66"/>
      <c r="F494" s="100"/>
      <c r="G494" s="100">
        <v>46023.0</v>
      </c>
      <c r="H494" s="58">
        <v>0.0</v>
      </c>
      <c r="I494" s="66"/>
      <c r="J494" s="66"/>
      <c r="K494" s="66"/>
      <c r="L494" s="104"/>
      <c r="M494" s="66"/>
      <c r="N494" s="100"/>
      <c r="O494" s="55"/>
      <c r="P494" s="215"/>
      <c r="Q494" s="100"/>
      <c r="R494" s="96"/>
      <c r="S494" s="96"/>
      <c r="T494" s="96"/>
      <c r="U494" s="96"/>
      <c r="V494" s="96"/>
      <c r="W494" s="96"/>
      <c r="X494" s="96"/>
      <c r="Y494" s="96"/>
      <c r="Z494" s="96"/>
      <c r="AA494" s="96"/>
      <c r="AB494" s="96"/>
      <c r="AC494" s="96"/>
      <c r="AD494" s="96"/>
    </row>
    <row r="495">
      <c r="A495" s="66"/>
      <c r="B495" s="103"/>
      <c r="C495" s="54"/>
      <c r="D495" s="66"/>
      <c r="E495" s="66"/>
      <c r="F495" s="100"/>
      <c r="G495" s="100">
        <v>46023.0</v>
      </c>
      <c r="H495" s="58">
        <v>0.0</v>
      </c>
      <c r="I495" s="66"/>
      <c r="J495" s="66"/>
      <c r="K495" s="66"/>
      <c r="L495" s="104"/>
      <c r="M495" s="66"/>
      <c r="N495" s="100"/>
      <c r="O495" s="55"/>
      <c r="P495" s="215"/>
      <c r="Q495" s="100"/>
      <c r="R495" s="96"/>
      <c r="S495" s="96"/>
      <c r="T495" s="96"/>
      <c r="U495" s="96"/>
      <c r="V495" s="96"/>
      <c r="W495" s="96"/>
      <c r="X495" s="96"/>
      <c r="Y495" s="96"/>
      <c r="Z495" s="96"/>
      <c r="AA495" s="96"/>
      <c r="AB495" s="96"/>
      <c r="AC495" s="96"/>
      <c r="AD495" s="96"/>
    </row>
    <row r="496">
      <c r="A496" s="66"/>
      <c r="B496" s="103"/>
      <c r="C496" s="54"/>
      <c r="D496" s="66"/>
      <c r="E496" s="66"/>
      <c r="F496" s="100"/>
      <c r="G496" s="100">
        <v>46023.0</v>
      </c>
      <c r="H496" s="58">
        <v>0.0</v>
      </c>
      <c r="I496" s="66"/>
      <c r="J496" s="66"/>
      <c r="K496" s="66"/>
      <c r="L496" s="104"/>
      <c r="M496" s="66"/>
      <c r="N496" s="100"/>
      <c r="O496" s="55"/>
      <c r="P496" s="215"/>
      <c r="Q496" s="100"/>
      <c r="R496" s="96"/>
      <c r="S496" s="96"/>
      <c r="T496" s="96"/>
      <c r="U496" s="96"/>
      <c r="V496" s="96"/>
      <c r="W496" s="96"/>
      <c r="X496" s="96"/>
      <c r="Y496" s="96"/>
      <c r="Z496" s="96"/>
      <c r="AA496" s="96"/>
      <c r="AB496" s="96"/>
      <c r="AC496" s="96"/>
      <c r="AD496" s="96"/>
    </row>
    <row r="497">
      <c r="A497" s="66"/>
      <c r="B497" s="103"/>
      <c r="C497" s="54"/>
      <c r="D497" s="66"/>
      <c r="E497" s="66"/>
      <c r="F497" s="100"/>
      <c r="G497" s="100">
        <v>46023.0</v>
      </c>
      <c r="H497" s="58">
        <v>0.0</v>
      </c>
      <c r="I497" s="66"/>
      <c r="J497" s="66"/>
      <c r="K497" s="66"/>
      <c r="L497" s="104"/>
      <c r="M497" s="66"/>
      <c r="N497" s="100"/>
      <c r="O497" s="55"/>
      <c r="P497" s="215"/>
      <c r="Q497" s="100"/>
      <c r="R497" s="96"/>
      <c r="S497" s="96"/>
      <c r="T497" s="96"/>
      <c r="U497" s="96"/>
      <c r="V497" s="96"/>
      <c r="W497" s="96"/>
      <c r="X497" s="96"/>
      <c r="Y497" s="96"/>
      <c r="Z497" s="96"/>
      <c r="AA497" s="96"/>
      <c r="AB497" s="96"/>
      <c r="AC497" s="96"/>
      <c r="AD497" s="96"/>
    </row>
    <row r="498">
      <c r="A498" s="66"/>
      <c r="B498" s="103"/>
      <c r="C498" s="54"/>
      <c r="D498" s="66"/>
      <c r="E498" s="66"/>
      <c r="F498" s="100"/>
      <c r="G498" s="100">
        <v>46023.0</v>
      </c>
      <c r="H498" s="58">
        <v>0.0</v>
      </c>
      <c r="I498" s="66"/>
      <c r="J498" s="66"/>
      <c r="K498" s="66"/>
      <c r="L498" s="104"/>
      <c r="M498" s="66"/>
      <c r="N498" s="100"/>
      <c r="O498" s="55"/>
      <c r="P498" s="215"/>
      <c r="Q498" s="100"/>
      <c r="R498" s="96"/>
      <c r="S498" s="96"/>
      <c r="T498" s="96"/>
      <c r="U498" s="96"/>
      <c r="V498" s="96"/>
      <c r="W498" s="96"/>
      <c r="X498" s="96"/>
      <c r="Y498" s="96"/>
      <c r="Z498" s="96"/>
      <c r="AA498" s="96"/>
      <c r="AB498" s="96"/>
      <c r="AC498" s="96"/>
      <c r="AD498" s="96"/>
    </row>
    <row r="499">
      <c r="A499" s="66"/>
      <c r="B499" s="103"/>
      <c r="C499" s="54"/>
      <c r="D499" s="66"/>
      <c r="E499" s="66"/>
      <c r="F499" s="100"/>
      <c r="G499" s="100">
        <v>46023.0</v>
      </c>
      <c r="H499" s="58">
        <v>0.0</v>
      </c>
      <c r="I499" s="66"/>
      <c r="J499" s="66"/>
      <c r="K499" s="66"/>
      <c r="L499" s="104"/>
      <c r="M499" s="66"/>
      <c r="N499" s="100"/>
      <c r="O499" s="55"/>
      <c r="P499" s="215"/>
      <c r="Q499" s="100"/>
      <c r="R499" s="96"/>
      <c r="S499" s="96"/>
      <c r="T499" s="96"/>
      <c r="U499" s="96"/>
      <c r="V499" s="96"/>
      <c r="W499" s="96"/>
      <c r="X499" s="96"/>
      <c r="Y499" s="96"/>
      <c r="Z499" s="96"/>
      <c r="AA499" s="96"/>
      <c r="AB499" s="96"/>
      <c r="AC499" s="96"/>
      <c r="AD499" s="96"/>
    </row>
    <row r="500">
      <c r="A500" s="66"/>
      <c r="B500" s="103"/>
      <c r="C500" s="54"/>
      <c r="D500" s="66"/>
      <c r="E500" s="66"/>
      <c r="F500" s="100"/>
      <c r="G500" s="100">
        <v>46023.0</v>
      </c>
      <c r="H500" s="58">
        <v>0.0</v>
      </c>
      <c r="I500" s="66"/>
      <c r="J500" s="66"/>
      <c r="K500" s="66"/>
      <c r="L500" s="104"/>
      <c r="M500" s="66"/>
      <c r="N500" s="100"/>
      <c r="O500" s="55"/>
      <c r="P500" s="215"/>
      <c r="Q500" s="100"/>
      <c r="R500" s="96"/>
      <c r="S500" s="96"/>
      <c r="T500" s="96"/>
      <c r="U500" s="96"/>
      <c r="V500" s="96"/>
      <c r="W500" s="96"/>
      <c r="X500" s="96"/>
      <c r="Y500" s="96"/>
      <c r="Z500" s="96"/>
      <c r="AA500" s="96"/>
      <c r="AB500" s="96"/>
      <c r="AC500" s="96"/>
      <c r="AD500" s="96"/>
    </row>
    <row r="501">
      <c r="A501" s="66"/>
      <c r="B501" s="103"/>
      <c r="C501" s="54"/>
      <c r="D501" s="66"/>
      <c r="E501" s="66"/>
      <c r="F501" s="100"/>
      <c r="G501" s="100">
        <v>46023.0</v>
      </c>
      <c r="H501" s="58">
        <v>0.0</v>
      </c>
      <c r="I501" s="66"/>
      <c r="J501" s="66"/>
      <c r="K501" s="66"/>
      <c r="L501" s="104"/>
      <c r="M501" s="66"/>
      <c r="N501" s="100"/>
      <c r="O501" s="55"/>
      <c r="P501" s="215"/>
      <c r="Q501" s="100"/>
      <c r="R501" s="96"/>
      <c r="S501" s="96"/>
      <c r="T501" s="96"/>
      <c r="U501" s="96"/>
      <c r="V501" s="96"/>
      <c r="W501" s="96"/>
      <c r="X501" s="96"/>
      <c r="Y501" s="96"/>
      <c r="Z501" s="96"/>
      <c r="AA501" s="96"/>
      <c r="AB501" s="96"/>
      <c r="AC501" s="96"/>
      <c r="AD501" s="96"/>
    </row>
    <row r="502">
      <c r="A502" s="66"/>
      <c r="B502" s="103"/>
      <c r="C502" s="54"/>
      <c r="D502" s="66"/>
      <c r="E502" s="66"/>
      <c r="F502" s="100"/>
      <c r="G502" s="100">
        <v>46023.0</v>
      </c>
      <c r="H502" s="58">
        <v>0.0</v>
      </c>
      <c r="I502" s="66"/>
      <c r="J502" s="66"/>
      <c r="K502" s="66"/>
      <c r="L502" s="104"/>
      <c r="M502" s="66"/>
      <c r="N502" s="100"/>
      <c r="O502" s="55"/>
      <c r="P502" s="215"/>
      <c r="Q502" s="100"/>
      <c r="R502" s="96"/>
      <c r="S502" s="96"/>
      <c r="T502" s="96"/>
      <c r="U502" s="96"/>
      <c r="V502" s="96"/>
      <c r="W502" s="96"/>
      <c r="X502" s="96"/>
      <c r="Y502" s="96"/>
      <c r="Z502" s="96"/>
      <c r="AA502" s="96"/>
      <c r="AB502" s="96"/>
      <c r="AC502" s="96"/>
      <c r="AD502" s="96"/>
    </row>
    <row r="503">
      <c r="A503" s="66"/>
      <c r="B503" s="103"/>
      <c r="C503" s="54"/>
      <c r="D503" s="66"/>
      <c r="E503" s="66"/>
      <c r="F503" s="100"/>
      <c r="G503" s="100">
        <v>46023.0</v>
      </c>
      <c r="H503" s="58">
        <v>0.0</v>
      </c>
      <c r="I503" s="66"/>
      <c r="J503" s="66"/>
      <c r="K503" s="66"/>
      <c r="L503" s="104"/>
      <c r="M503" s="66"/>
      <c r="N503" s="100"/>
      <c r="O503" s="55"/>
      <c r="P503" s="215"/>
      <c r="Q503" s="100"/>
      <c r="R503" s="96"/>
      <c r="S503" s="96"/>
      <c r="T503" s="96"/>
      <c r="U503" s="96"/>
      <c r="V503" s="96"/>
      <c r="W503" s="96"/>
      <c r="X503" s="96"/>
      <c r="Y503" s="96"/>
      <c r="Z503" s="96"/>
      <c r="AA503" s="96"/>
      <c r="AB503" s="96"/>
      <c r="AC503" s="96"/>
      <c r="AD503" s="96"/>
    </row>
    <row r="504">
      <c r="A504" s="66"/>
      <c r="B504" s="103"/>
      <c r="C504" s="54"/>
      <c r="D504" s="66"/>
      <c r="E504" s="66"/>
      <c r="F504" s="100"/>
      <c r="G504" s="100">
        <v>46023.0</v>
      </c>
      <c r="H504" s="58">
        <v>0.0</v>
      </c>
      <c r="I504" s="66"/>
      <c r="J504" s="66"/>
      <c r="K504" s="66"/>
      <c r="L504" s="104"/>
      <c r="M504" s="66"/>
      <c r="N504" s="100"/>
      <c r="O504" s="55"/>
      <c r="P504" s="215"/>
      <c r="Q504" s="100"/>
      <c r="R504" s="96"/>
      <c r="S504" s="96"/>
      <c r="T504" s="96"/>
      <c r="U504" s="96"/>
      <c r="V504" s="96"/>
      <c r="W504" s="96"/>
      <c r="X504" s="96"/>
      <c r="Y504" s="96"/>
      <c r="Z504" s="96"/>
      <c r="AA504" s="96"/>
      <c r="AB504" s="96"/>
      <c r="AC504" s="96"/>
      <c r="AD504" s="96"/>
    </row>
    <row r="505">
      <c r="A505" s="66"/>
      <c r="B505" s="103"/>
      <c r="C505" s="54"/>
      <c r="D505" s="66"/>
      <c r="E505" s="66"/>
      <c r="F505" s="100"/>
      <c r="G505" s="100">
        <v>46023.0</v>
      </c>
      <c r="H505" s="58">
        <v>0.0</v>
      </c>
      <c r="I505" s="66"/>
      <c r="J505" s="66"/>
      <c r="K505" s="66"/>
      <c r="L505" s="104"/>
      <c r="M505" s="66"/>
      <c r="N505" s="100"/>
      <c r="O505" s="55"/>
      <c r="P505" s="215"/>
      <c r="Q505" s="100"/>
      <c r="R505" s="96"/>
      <c r="S505" s="96"/>
      <c r="T505" s="96"/>
      <c r="U505" s="96"/>
      <c r="V505" s="96"/>
      <c r="W505" s="96"/>
      <c r="X505" s="96"/>
      <c r="Y505" s="96"/>
      <c r="Z505" s="96"/>
      <c r="AA505" s="96"/>
      <c r="AB505" s="96"/>
      <c r="AC505" s="96"/>
      <c r="AD505" s="96"/>
    </row>
    <row r="506">
      <c r="A506" s="66"/>
      <c r="B506" s="103"/>
      <c r="C506" s="54"/>
      <c r="D506" s="66"/>
      <c r="E506" s="66"/>
      <c r="F506" s="100"/>
      <c r="G506" s="100">
        <v>46023.0</v>
      </c>
      <c r="H506" s="58">
        <v>0.0</v>
      </c>
      <c r="I506" s="66"/>
      <c r="J506" s="66"/>
      <c r="K506" s="66"/>
      <c r="L506" s="104"/>
      <c r="M506" s="66"/>
      <c r="N506" s="100"/>
      <c r="O506" s="55"/>
      <c r="P506" s="215"/>
      <c r="Q506" s="100"/>
      <c r="R506" s="96"/>
      <c r="S506" s="96"/>
      <c r="T506" s="96"/>
      <c r="U506" s="96"/>
      <c r="V506" s="96"/>
      <c r="W506" s="96"/>
      <c r="X506" s="96"/>
      <c r="Y506" s="96"/>
      <c r="Z506" s="96"/>
      <c r="AA506" s="96"/>
      <c r="AB506" s="96"/>
      <c r="AC506" s="96"/>
      <c r="AD506" s="96"/>
    </row>
    <row r="507">
      <c r="A507" s="66"/>
      <c r="B507" s="103"/>
      <c r="C507" s="54"/>
      <c r="D507" s="66"/>
      <c r="E507" s="66"/>
      <c r="F507" s="100"/>
      <c r="G507" s="100">
        <v>46023.0</v>
      </c>
      <c r="H507" s="58">
        <v>0.0</v>
      </c>
      <c r="I507" s="66"/>
      <c r="J507" s="66"/>
      <c r="K507" s="66"/>
      <c r="L507" s="104"/>
      <c r="M507" s="66"/>
      <c r="N507" s="100"/>
      <c r="O507" s="55"/>
      <c r="P507" s="215"/>
      <c r="Q507" s="100"/>
      <c r="R507" s="96"/>
      <c r="S507" s="96"/>
      <c r="T507" s="96"/>
      <c r="U507" s="96"/>
      <c r="V507" s="96"/>
      <c r="W507" s="96"/>
      <c r="X507" s="96"/>
      <c r="Y507" s="96"/>
      <c r="Z507" s="96"/>
      <c r="AA507" s="96"/>
      <c r="AB507" s="96"/>
      <c r="AC507" s="96"/>
      <c r="AD507" s="96"/>
    </row>
    <row r="508">
      <c r="A508" s="66"/>
      <c r="B508" s="103"/>
      <c r="C508" s="54"/>
      <c r="D508" s="66"/>
      <c r="E508" s="66"/>
      <c r="F508" s="100"/>
      <c r="G508" s="100">
        <v>46023.0</v>
      </c>
      <c r="H508" s="58">
        <v>0.0</v>
      </c>
      <c r="I508" s="66"/>
      <c r="J508" s="66"/>
      <c r="K508" s="66"/>
      <c r="L508" s="104"/>
      <c r="M508" s="66"/>
      <c r="N508" s="100"/>
      <c r="O508" s="55"/>
      <c r="P508" s="215"/>
      <c r="Q508" s="100"/>
      <c r="R508" s="96"/>
      <c r="S508" s="96"/>
      <c r="T508" s="96"/>
      <c r="U508" s="96"/>
      <c r="V508" s="96"/>
      <c r="W508" s="96"/>
      <c r="X508" s="96"/>
      <c r="Y508" s="96"/>
      <c r="Z508" s="96"/>
      <c r="AA508" s="96"/>
      <c r="AB508" s="96"/>
      <c r="AC508" s="96"/>
      <c r="AD508" s="96"/>
    </row>
    <row r="509">
      <c r="A509" s="66"/>
      <c r="B509" s="103"/>
      <c r="C509" s="54"/>
      <c r="D509" s="66"/>
      <c r="E509" s="66"/>
      <c r="F509" s="100"/>
      <c r="G509" s="100">
        <v>46023.0</v>
      </c>
      <c r="H509" s="58">
        <v>0.0</v>
      </c>
      <c r="I509" s="66"/>
      <c r="J509" s="66"/>
      <c r="K509" s="66"/>
      <c r="L509" s="104"/>
      <c r="M509" s="66"/>
      <c r="N509" s="100"/>
      <c r="O509" s="55"/>
      <c r="P509" s="215"/>
      <c r="Q509" s="100"/>
      <c r="R509" s="96"/>
      <c r="S509" s="96"/>
      <c r="T509" s="96"/>
      <c r="U509" s="96"/>
      <c r="V509" s="96"/>
      <c r="W509" s="96"/>
      <c r="X509" s="96"/>
      <c r="Y509" s="96"/>
      <c r="Z509" s="96"/>
      <c r="AA509" s="96"/>
      <c r="AB509" s="96"/>
      <c r="AC509" s="96"/>
      <c r="AD509" s="96"/>
    </row>
    <row r="510">
      <c r="A510" s="66"/>
      <c r="B510" s="103"/>
      <c r="C510" s="54"/>
      <c r="D510" s="66"/>
      <c r="E510" s="66"/>
      <c r="F510" s="100"/>
      <c r="G510" s="100">
        <v>46023.0</v>
      </c>
      <c r="H510" s="58">
        <v>0.0</v>
      </c>
      <c r="I510" s="66"/>
      <c r="J510" s="66"/>
      <c r="K510" s="66"/>
      <c r="L510" s="104"/>
      <c r="M510" s="66"/>
      <c r="N510" s="100"/>
      <c r="O510" s="55"/>
      <c r="P510" s="215"/>
      <c r="Q510" s="100"/>
      <c r="R510" s="96"/>
      <c r="S510" s="96"/>
      <c r="T510" s="96"/>
      <c r="U510" s="96"/>
      <c r="V510" s="96"/>
      <c r="W510" s="96"/>
      <c r="X510" s="96"/>
      <c r="Y510" s="96"/>
      <c r="Z510" s="96"/>
      <c r="AA510" s="96"/>
      <c r="AB510" s="96"/>
      <c r="AC510" s="96"/>
      <c r="AD510" s="96"/>
    </row>
    <row r="511">
      <c r="A511" s="66"/>
      <c r="B511" s="103"/>
      <c r="C511" s="54"/>
      <c r="D511" s="66"/>
      <c r="E511" s="66"/>
      <c r="F511" s="100"/>
      <c r="G511" s="100">
        <v>46023.0</v>
      </c>
      <c r="H511" s="58">
        <v>0.0</v>
      </c>
      <c r="I511" s="66"/>
      <c r="J511" s="66"/>
      <c r="K511" s="66"/>
      <c r="L511" s="104"/>
      <c r="M511" s="66"/>
      <c r="N511" s="100"/>
      <c r="O511" s="55"/>
      <c r="P511" s="215"/>
      <c r="Q511" s="100"/>
      <c r="R511" s="96"/>
      <c r="S511" s="96"/>
      <c r="T511" s="96"/>
      <c r="U511" s="96"/>
      <c r="V511" s="96"/>
      <c r="W511" s="96"/>
      <c r="X511" s="96"/>
      <c r="Y511" s="96"/>
      <c r="Z511" s="96"/>
      <c r="AA511" s="96"/>
      <c r="AB511" s="96"/>
      <c r="AC511" s="96"/>
      <c r="AD511" s="96"/>
    </row>
    <row r="512">
      <c r="A512" s="66"/>
      <c r="B512" s="103"/>
      <c r="C512" s="54"/>
      <c r="D512" s="66"/>
      <c r="E512" s="66"/>
      <c r="F512" s="100"/>
      <c r="G512" s="100">
        <v>46023.0</v>
      </c>
      <c r="H512" s="58">
        <v>0.0</v>
      </c>
      <c r="I512" s="66"/>
      <c r="J512" s="66"/>
      <c r="K512" s="66"/>
      <c r="L512" s="104"/>
      <c r="M512" s="66"/>
      <c r="N512" s="100"/>
      <c r="O512" s="55"/>
      <c r="P512" s="215"/>
      <c r="Q512" s="100"/>
      <c r="R512" s="96"/>
      <c r="S512" s="96"/>
      <c r="T512" s="96"/>
      <c r="U512" s="96"/>
      <c r="V512" s="96"/>
      <c r="W512" s="96"/>
      <c r="X512" s="96"/>
      <c r="Y512" s="96"/>
      <c r="Z512" s="96"/>
      <c r="AA512" s="96"/>
      <c r="AB512" s="96"/>
      <c r="AC512" s="96"/>
      <c r="AD512" s="96"/>
    </row>
    <row r="513">
      <c r="A513" s="66"/>
      <c r="B513" s="103"/>
      <c r="C513" s="54"/>
      <c r="D513" s="66"/>
      <c r="E513" s="66"/>
      <c r="F513" s="100"/>
      <c r="G513" s="100">
        <v>46023.0</v>
      </c>
      <c r="H513" s="58">
        <v>0.0</v>
      </c>
      <c r="I513" s="66"/>
      <c r="J513" s="66"/>
      <c r="K513" s="66"/>
      <c r="L513" s="104"/>
      <c r="M513" s="66"/>
      <c r="N513" s="100"/>
      <c r="O513" s="55"/>
      <c r="P513" s="215"/>
      <c r="Q513" s="100"/>
      <c r="R513" s="96"/>
      <c r="S513" s="96"/>
      <c r="T513" s="96"/>
      <c r="U513" s="96"/>
      <c r="V513" s="96"/>
      <c r="W513" s="96"/>
      <c r="X513" s="96"/>
      <c r="Y513" s="96"/>
      <c r="Z513" s="96"/>
      <c r="AA513" s="96"/>
      <c r="AB513" s="96"/>
      <c r="AC513" s="96"/>
      <c r="AD513" s="96"/>
    </row>
    <row r="514">
      <c r="A514" s="66"/>
      <c r="B514" s="103"/>
      <c r="C514" s="54"/>
      <c r="D514" s="66"/>
      <c r="E514" s="66"/>
      <c r="F514" s="100"/>
      <c r="G514" s="100">
        <v>46023.0</v>
      </c>
      <c r="H514" s="58">
        <v>0.0</v>
      </c>
      <c r="I514" s="66"/>
      <c r="J514" s="66"/>
      <c r="K514" s="66"/>
      <c r="L514" s="104"/>
      <c r="M514" s="66"/>
      <c r="N514" s="100"/>
      <c r="O514" s="55"/>
      <c r="P514" s="215"/>
      <c r="Q514" s="100"/>
      <c r="R514" s="96"/>
      <c r="S514" s="96"/>
      <c r="T514" s="96"/>
      <c r="U514" s="96"/>
      <c r="V514" s="96"/>
      <c r="W514" s="96"/>
      <c r="X514" s="96"/>
      <c r="Y514" s="96"/>
      <c r="Z514" s="96"/>
      <c r="AA514" s="96"/>
      <c r="AB514" s="96"/>
      <c r="AC514" s="96"/>
      <c r="AD514" s="96"/>
    </row>
    <row r="515">
      <c r="A515" s="66"/>
      <c r="B515" s="103"/>
      <c r="C515" s="54"/>
      <c r="D515" s="66"/>
      <c r="E515" s="66"/>
      <c r="F515" s="100"/>
      <c r="G515" s="100">
        <v>46023.0</v>
      </c>
      <c r="H515" s="58">
        <v>0.0</v>
      </c>
      <c r="I515" s="66"/>
      <c r="J515" s="66"/>
      <c r="K515" s="66"/>
      <c r="L515" s="104"/>
      <c r="M515" s="66"/>
      <c r="N515" s="100"/>
      <c r="O515" s="55"/>
      <c r="P515" s="215"/>
      <c r="Q515" s="100"/>
      <c r="R515" s="96"/>
      <c r="S515" s="96"/>
      <c r="T515" s="96"/>
      <c r="U515" s="96"/>
      <c r="V515" s="96"/>
      <c r="W515" s="96"/>
      <c r="X515" s="96"/>
      <c r="Y515" s="96"/>
      <c r="Z515" s="96"/>
      <c r="AA515" s="96"/>
      <c r="AB515" s="96"/>
      <c r="AC515" s="96"/>
      <c r="AD515" s="96"/>
    </row>
    <row r="516">
      <c r="A516" s="66"/>
      <c r="B516" s="103"/>
      <c r="C516" s="54"/>
      <c r="D516" s="66"/>
      <c r="E516" s="66"/>
      <c r="F516" s="100"/>
      <c r="G516" s="100">
        <v>46023.0</v>
      </c>
      <c r="H516" s="58">
        <v>0.0</v>
      </c>
      <c r="I516" s="66"/>
      <c r="J516" s="66"/>
      <c r="K516" s="66"/>
      <c r="L516" s="104"/>
      <c r="M516" s="66"/>
      <c r="N516" s="100"/>
      <c r="O516" s="55"/>
      <c r="P516" s="215"/>
      <c r="Q516" s="100"/>
      <c r="R516" s="96"/>
      <c r="S516" s="96"/>
      <c r="T516" s="96"/>
      <c r="U516" s="96"/>
      <c r="V516" s="96"/>
      <c r="W516" s="96"/>
      <c r="X516" s="96"/>
      <c r="Y516" s="96"/>
      <c r="Z516" s="96"/>
      <c r="AA516" s="96"/>
      <c r="AB516" s="96"/>
      <c r="AC516" s="96"/>
      <c r="AD516" s="96"/>
    </row>
    <row r="517">
      <c r="A517" s="66"/>
      <c r="B517" s="103"/>
      <c r="C517" s="54"/>
      <c r="D517" s="66"/>
      <c r="E517" s="66"/>
      <c r="F517" s="100"/>
      <c r="G517" s="100">
        <v>46023.0</v>
      </c>
      <c r="H517" s="58">
        <v>0.0</v>
      </c>
      <c r="I517" s="66"/>
      <c r="J517" s="66"/>
      <c r="K517" s="66"/>
      <c r="L517" s="104"/>
      <c r="M517" s="66"/>
      <c r="N517" s="100"/>
      <c r="O517" s="55"/>
      <c r="P517" s="215"/>
      <c r="Q517" s="100"/>
      <c r="R517" s="96"/>
      <c r="S517" s="96"/>
      <c r="T517" s="96"/>
      <c r="U517" s="96"/>
      <c r="V517" s="96"/>
      <c r="W517" s="96"/>
      <c r="X517" s="96"/>
      <c r="Y517" s="96"/>
      <c r="Z517" s="96"/>
      <c r="AA517" s="96"/>
      <c r="AB517" s="96"/>
      <c r="AC517" s="96"/>
      <c r="AD517" s="96"/>
    </row>
    <row r="518">
      <c r="A518" s="66"/>
      <c r="B518" s="103"/>
      <c r="C518" s="54"/>
      <c r="D518" s="66"/>
      <c r="E518" s="66"/>
      <c r="F518" s="100"/>
      <c r="G518" s="100">
        <v>46023.0</v>
      </c>
      <c r="H518" s="58">
        <v>0.0</v>
      </c>
      <c r="I518" s="66"/>
      <c r="J518" s="66"/>
      <c r="K518" s="66"/>
      <c r="L518" s="104"/>
      <c r="M518" s="66"/>
      <c r="N518" s="100"/>
      <c r="O518" s="55"/>
      <c r="P518" s="215"/>
      <c r="Q518" s="100"/>
      <c r="R518" s="96"/>
      <c r="S518" s="96"/>
      <c r="T518" s="96"/>
      <c r="U518" s="96"/>
      <c r="V518" s="96"/>
      <c r="W518" s="96"/>
      <c r="X518" s="96"/>
      <c r="Y518" s="96"/>
      <c r="Z518" s="96"/>
      <c r="AA518" s="96"/>
      <c r="AB518" s="96"/>
      <c r="AC518" s="96"/>
      <c r="AD518" s="96"/>
    </row>
    <row r="519">
      <c r="A519" s="66"/>
      <c r="B519" s="103"/>
      <c r="C519" s="54"/>
      <c r="D519" s="66"/>
      <c r="E519" s="66"/>
      <c r="F519" s="100"/>
      <c r="G519" s="100">
        <v>46023.0</v>
      </c>
      <c r="H519" s="58">
        <v>0.0</v>
      </c>
      <c r="I519" s="66"/>
      <c r="J519" s="66"/>
      <c r="K519" s="66"/>
      <c r="L519" s="104"/>
      <c r="M519" s="66"/>
      <c r="N519" s="100"/>
      <c r="O519" s="55"/>
      <c r="P519" s="215"/>
      <c r="Q519" s="100"/>
      <c r="R519" s="96"/>
      <c r="S519" s="96"/>
      <c r="T519" s="96"/>
      <c r="U519" s="96"/>
      <c r="V519" s="96"/>
      <c r="W519" s="96"/>
      <c r="X519" s="96"/>
      <c r="Y519" s="96"/>
      <c r="Z519" s="96"/>
      <c r="AA519" s="96"/>
      <c r="AB519" s="96"/>
      <c r="AC519" s="96"/>
      <c r="AD519" s="96"/>
    </row>
    <row r="520">
      <c r="A520" s="66"/>
      <c r="B520" s="103"/>
      <c r="C520" s="54"/>
      <c r="D520" s="66"/>
      <c r="E520" s="66"/>
      <c r="F520" s="100"/>
      <c r="G520" s="100">
        <v>46023.0</v>
      </c>
      <c r="H520" s="58">
        <v>0.0</v>
      </c>
      <c r="I520" s="66"/>
      <c r="J520" s="66"/>
      <c r="K520" s="66"/>
      <c r="L520" s="104"/>
      <c r="M520" s="66"/>
      <c r="N520" s="100"/>
      <c r="O520" s="55"/>
      <c r="P520" s="215"/>
      <c r="Q520" s="100"/>
      <c r="R520" s="96"/>
      <c r="S520" s="96"/>
      <c r="T520" s="96"/>
      <c r="U520" s="96"/>
      <c r="V520" s="96"/>
      <c r="W520" s="96"/>
      <c r="X520" s="96"/>
      <c r="Y520" s="96"/>
      <c r="Z520" s="96"/>
      <c r="AA520" s="96"/>
      <c r="AB520" s="96"/>
      <c r="AC520" s="96"/>
      <c r="AD520" s="96"/>
    </row>
    <row r="521">
      <c r="A521" s="66"/>
      <c r="B521" s="103"/>
      <c r="C521" s="54"/>
      <c r="D521" s="66"/>
      <c r="E521" s="66"/>
      <c r="F521" s="100"/>
      <c r="G521" s="100">
        <v>46023.0</v>
      </c>
      <c r="H521" s="58">
        <v>0.0</v>
      </c>
      <c r="I521" s="66"/>
      <c r="J521" s="66"/>
      <c r="K521" s="66"/>
      <c r="L521" s="104"/>
      <c r="M521" s="66"/>
      <c r="N521" s="100"/>
      <c r="O521" s="55"/>
      <c r="P521" s="215"/>
      <c r="Q521" s="100"/>
      <c r="R521" s="96"/>
      <c r="S521" s="96"/>
      <c r="T521" s="96"/>
      <c r="U521" s="96"/>
      <c r="V521" s="96"/>
      <c r="W521" s="96"/>
      <c r="X521" s="96"/>
      <c r="Y521" s="96"/>
      <c r="Z521" s="96"/>
      <c r="AA521" s="96"/>
      <c r="AB521" s="96"/>
      <c r="AC521" s="96"/>
      <c r="AD521" s="96"/>
    </row>
    <row r="522">
      <c r="A522" s="66"/>
      <c r="B522" s="103"/>
      <c r="C522" s="54"/>
      <c r="D522" s="66"/>
      <c r="E522" s="66"/>
      <c r="F522" s="100"/>
      <c r="G522" s="100">
        <v>46023.0</v>
      </c>
      <c r="H522" s="58">
        <v>0.0</v>
      </c>
      <c r="I522" s="66"/>
      <c r="J522" s="66"/>
      <c r="K522" s="66"/>
      <c r="L522" s="104"/>
      <c r="M522" s="66"/>
      <c r="N522" s="100"/>
      <c r="O522" s="55"/>
      <c r="P522" s="215"/>
      <c r="Q522" s="100"/>
      <c r="R522" s="96"/>
      <c r="S522" s="96"/>
      <c r="T522" s="96"/>
      <c r="U522" s="96"/>
      <c r="V522" s="96"/>
      <c r="W522" s="96"/>
      <c r="X522" s="96"/>
      <c r="Y522" s="96"/>
      <c r="Z522" s="96"/>
      <c r="AA522" s="96"/>
      <c r="AB522" s="96"/>
      <c r="AC522" s="96"/>
      <c r="AD522" s="96"/>
    </row>
    <row r="523">
      <c r="A523" s="66"/>
      <c r="B523" s="103"/>
      <c r="C523" s="54"/>
      <c r="D523" s="66"/>
      <c r="E523" s="66"/>
      <c r="F523" s="100"/>
      <c r="G523" s="100">
        <v>46023.0</v>
      </c>
      <c r="H523" s="58">
        <v>0.0</v>
      </c>
      <c r="I523" s="66"/>
      <c r="J523" s="66"/>
      <c r="K523" s="66"/>
      <c r="L523" s="104"/>
      <c r="M523" s="66"/>
      <c r="N523" s="100"/>
      <c r="O523" s="55"/>
      <c r="P523" s="215"/>
      <c r="Q523" s="100"/>
      <c r="R523" s="96"/>
      <c r="S523" s="96"/>
      <c r="T523" s="96"/>
      <c r="U523" s="96"/>
      <c r="V523" s="96"/>
      <c r="W523" s="96"/>
      <c r="X523" s="96"/>
      <c r="Y523" s="96"/>
      <c r="Z523" s="96"/>
      <c r="AA523" s="96"/>
      <c r="AB523" s="96"/>
      <c r="AC523" s="96"/>
      <c r="AD523" s="96"/>
    </row>
    <row r="524">
      <c r="A524" s="66"/>
      <c r="B524" s="103"/>
      <c r="C524" s="54"/>
      <c r="D524" s="66"/>
      <c r="E524" s="66"/>
      <c r="F524" s="100"/>
      <c r="G524" s="100">
        <v>46023.0</v>
      </c>
      <c r="H524" s="58">
        <v>0.0</v>
      </c>
      <c r="I524" s="66"/>
      <c r="J524" s="66"/>
      <c r="K524" s="66"/>
      <c r="L524" s="104"/>
      <c r="M524" s="66"/>
      <c r="N524" s="100"/>
      <c r="O524" s="55"/>
      <c r="P524" s="215"/>
      <c r="Q524" s="100"/>
      <c r="R524" s="96"/>
      <c r="S524" s="96"/>
      <c r="T524" s="96"/>
      <c r="U524" s="96"/>
      <c r="V524" s="96"/>
      <c r="W524" s="96"/>
      <c r="X524" s="96"/>
      <c r="Y524" s="96"/>
      <c r="Z524" s="96"/>
      <c r="AA524" s="96"/>
      <c r="AB524" s="96"/>
      <c r="AC524" s="96"/>
      <c r="AD524" s="96"/>
    </row>
    <row r="525">
      <c r="A525" s="66"/>
      <c r="B525" s="103"/>
      <c r="C525" s="54"/>
      <c r="D525" s="66"/>
      <c r="E525" s="66"/>
      <c r="F525" s="100"/>
      <c r="G525" s="100">
        <v>46023.0</v>
      </c>
      <c r="H525" s="58">
        <v>0.0</v>
      </c>
      <c r="I525" s="66"/>
      <c r="J525" s="66"/>
      <c r="K525" s="66"/>
      <c r="L525" s="104"/>
      <c r="M525" s="66"/>
      <c r="N525" s="100"/>
      <c r="O525" s="55"/>
      <c r="P525" s="215"/>
      <c r="Q525" s="100"/>
      <c r="R525" s="96"/>
      <c r="S525" s="96"/>
      <c r="T525" s="96"/>
      <c r="U525" s="96"/>
      <c r="V525" s="96"/>
      <c r="W525" s="96"/>
      <c r="X525" s="96"/>
      <c r="Y525" s="96"/>
      <c r="Z525" s="96"/>
      <c r="AA525" s="96"/>
      <c r="AB525" s="96"/>
      <c r="AC525" s="96"/>
      <c r="AD525" s="96"/>
    </row>
    <row r="526">
      <c r="A526" s="66"/>
      <c r="B526" s="103"/>
      <c r="C526" s="54"/>
      <c r="D526" s="66"/>
      <c r="E526" s="66"/>
      <c r="F526" s="100"/>
      <c r="G526" s="100">
        <v>46023.0</v>
      </c>
      <c r="H526" s="58">
        <v>0.0</v>
      </c>
      <c r="I526" s="66"/>
      <c r="J526" s="66"/>
      <c r="K526" s="66"/>
      <c r="L526" s="104"/>
      <c r="M526" s="66"/>
      <c r="N526" s="100"/>
      <c r="O526" s="55"/>
      <c r="P526" s="215"/>
      <c r="Q526" s="100"/>
      <c r="R526" s="96"/>
      <c r="S526" s="96"/>
      <c r="T526" s="96"/>
      <c r="U526" s="96"/>
      <c r="V526" s="96"/>
      <c r="W526" s="96"/>
      <c r="X526" s="96"/>
      <c r="Y526" s="96"/>
      <c r="Z526" s="96"/>
      <c r="AA526" s="96"/>
      <c r="AB526" s="96"/>
      <c r="AC526" s="96"/>
      <c r="AD526" s="96"/>
    </row>
    <row r="527">
      <c r="A527" s="66"/>
      <c r="B527" s="103"/>
      <c r="C527" s="54"/>
      <c r="D527" s="66"/>
      <c r="E527" s="66"/>
      <c r="F527" s="100"/>
      <c r="G527" s="100">
        <v>46023.0</v>
      </c>
      <c r="H527" s="58">
        <v>0.0</v>
      </c>
      <c r="I527" s="66"/>
      <c r="J527" s="66"/>
      <c r="K527" s="66"/>
      <c r="L527" s="104"/>
      <c r="M527" s="66"/>
      <c r="N527" s="100"/>
      <c r="O527" s="55"/>
      <c r="P527" s="215"/>
      <c r="Q527" s="100"/>
      <c r="R527" s="96"/>
      <c r="S527" s="96"/>
      <c r="T527" s="96"/>
      <c r="U527" s="96"/>
      <c r="V527" s="96"/>
      <c r="W527" s="96"/>
      <c r="X527" s="96"/>
      <c r="Y527" s="96"/>
      <c r="Z527" s="96"/>
      <c r="AA527" s="96"/>
      <c r="AB527" s="96"/>
      <c r="AC527" s="96"/>
      <c r="AD527" s="96"/>
    </row>
    <row r="528">
      <c r="A528" s="66"/>
      <c r="B528" s="103"/>
      <c r="C528" s="54"/>
      <c r="D528" s="66"/>
      <c r="E528" s="66"/>
      <c r="F528" s="100"/>
      <c r="G528" s="100">
        <v>46023.0</v>
      </c>
      <c r="H528" s="58">
        <v>0.0</v>
      </c>
      <c r="I528" s="66"/>
      <c r="J528" s="66"/>
      <c r="K528" s="66"/>
      <c r="L528" s="104"/>
      <c r="M528" s="66"/>
      <c r="N528" s="100"/>
      <c r="O528" s="55"/>
      <c r="P528" s="215"/>
      <c r="Q528" s="100"/>
      <c r="R528" s="96"/>
      <c r="S528" s="96"/>
      <c r="T528" s="96"/>
      <c r="U528" s="96"/>
      <c r="V528" s="96"/>
      <c r="W528" s="96"/>
      <c r="X528" s="96"/>
      <c r="Y528" s="96"/>
      <c r="Z528" s="96"/>
      <c r="AA528" s="96"/>
      <c r="AB528" s="96"/>
      <c r="AC528" s="96"/>
      <c r="AD528" s="96"/>
    </row>
    <row r="529">
      <c r="A529" s="66"/>
      <c r="B529" s="103"/>
      <c r="C529" s="54"/>
      <c r="D529" s="66"/>
      <c r="E529" s="66"/>
      <c r="F529" s="100"/>
      <c r="G529" s="100">
        <v>46023.0</v>
      </c>
      <c r="H529" s="58">
        <v>0.0</v>
      </c>
      <c r="I529" s="66"/>
      <c r="J529" s="66"/>
      <c r="K529" s="66"/>
      <c r="L529" s="104"/>
      <c r="M529" s="66"/>
      <c r="N529" s="100"/>
      <c r="O529" s="55"/>
      <c r="P529" s="215"/>
      <c r="Q529" s="100"/>
      <c r="R529" s="96"/>
      <c r="S529" s="96"/>
      <c r="T529" s="96"/>
      <c r="U529" s="96"/>
      <c r="V529" s="96"/>
      <c r="W529" s="96"/>
      <c r="X529" s="96"/>
      <c r="Y529" s="96"/>
      <c r="Z529" s="96"/>
      <c r="AA529" s="96"/>
      <c r="AB529" s="96"/>
      <c r="AC529" s="96"/>
      <c r="AD529" s="96"/>
    </row>
    <row r="530">
      <c r="A530" s="66"/>
      <c r="B530" s="103"/>
      <c r="C530" s="54"/>
      <c r="D530" s="66"/>
      <c r="E530" s="66"/>
      <c r="F530" s="100"/>
      <c r="G530" s="100">
        <v>46023.0</v>
      </c>
      <c r="H530" s="58">
        <v>0.0</v>
      </c>
      <c r="I530" s="66"/>
      <c r="J530" s="66"/>
      <c r="K530" s="66"/>
      <c r="L530" s="104"/>
      <c r="M530" s="66"/>
      <c r="N530" s="100"/>
      <c r="O530" s="55"/>
      <c r="P530" s="215"/>
      <c r="Q530" s="100"/>
      <c r="R530" s="96"/>
      <c r="S530" s="96"/>
      <c r="T530" s="96"/>
      <c r="U530" s="96"/>
      <c r="V530" s="96"/>
      <c r="W530" s="96"/>
      <c r="X530" s="96"/>
      <c r="Y530" s="96"/>
      <c r="Z530" s="96"/>
      <c r="AA530" s="96"/>
      <c r="AB530" s="96"/>
      <c r="AC530" s="96"/>
      <c r="AD530" s="96"/>
    </row>
    <row r="531">
      <c r="A531" s="66"/>
      <c r="B531" s="103"/>
      <c r="C531" s="54"/>
      <c r="D531" s="66"/>
      <c r="E531" s="66"/>
      <c r="F531" s="100"/>
      <c r="G531" s="100">
        <v>46023.0</v>
      </c>
      <c r="H531" s="58">
        <v>0.0</v>
      </c>
      <c r="I531" s="66"/>
      <c r="J531" s="66"/>
      <c r="K531" s="66"/>
      <c r="L531" s="104"/>
      <c r="M531" s="66"/>
      <c r="N531" s="100"/>
      <c r="O531" s="55"/>
      <c r="P531" s="215"/>
      <c r="Q531" s="100"/>
      <c r="R531" s="96"/>
      <c r="S531" s="96"/>
      <c r="T531" s="96"/>
      <c r="U531" s="96"/>
      <c r="V531" s="96"/>
      <c r="W531" s="96"/>
      <c r="X531" s="96"/>
      <c r="Y531" s="96"/>
      <c r="Z531" s="96"/>
      <c r="AA531" s="96"/>
      <c r="AB531" s="96"/>
      <c r="AC531" s="96"/>
      <c r="AD531" s="96"/>
    </row>
    <row r="532">
      <c r="A532" s="66"/>
      <c r="B532" s="103"/>
      <c r="C532" s="54"/>
      <c r="D532" s="66"/>
      <c r="E532" s="66"/>
      <c r="F532" s="100"/>
      <c r="G532" s="100">
        <v>46023.0</v>
      </c>
      <c r="H532" s="58">
        <v>0.0</v>
      </c>
      <c r="I532" s="66"/>
      <c r="J532" s="66"/>
      <c r="K532" s="66"/>
      <c r="L532" s="104"/>
      <c r="M532" s="66"/>
      <c r="N532" s="100"/>
      <c r="O532" s="55"/>
      <c r="P532" s="215"/>
      <c r="Q532" s="100"/>
      <c r="R532" s="96"/>
      <c r="S532" s="96"/>
      <c r="T532" s="96"/>
      <c r="U532" s="96"/>
      <c r="V532" s="96"/>
      <c r="W532" s="96"/>
      <c r="X532" s="96"/>
      <c r="Y532" s="96"/>
      <c r="Z532" s="96"/>
      <c r="AA532" s="96"/>
      <c r="AB532" s="96"/>
      <c r="AC532" s="96"/>
      <c r="AD532" s="96"/>
    </row>
    <row r="533">
      <c r="A533" s="66"/>
      <c r="B533" s="103"/>
      <c r="C533" s="54"/>
      <c r="D533" s="66"/>
      <c r="E533" s="66"/>
      <c r="F533" s="100"/>
      <c r="G533" s="100">
        <v>46023.0</v>
      </c>
      <c r="H533" s="58">
        <v>0.0</v>
      </c>
      <c r="I533" s="66"/>
      <c r="J533" s="66"/>
      <c r="K533" s="66"/>
      <c r="L533" s="104"/>
      <c r="M533" s="66"/>
      <c r="N533" s="100"/>
      <c r="O533" s="55"/>
      <c r="P533" s="215"/>
      <c r="Q533" s="100"/>
      <c r="R533" s="96"/>
      <c r="S533" s="96"/>
      <c r="T533" s="96"/>
      <c r="U533" s="96"/>
      <c r="V533" s="96"/>
      <c r="W533" s="96"/>
      <c r="X533" s="96"/>
      <c r="Y533" s="96"/>
      <c r="Z533" s="96"/>
      <c r="AA533" s="96"/>
      <c r="AB533" s="96"/>
      <c r="AC533" s="96"/>
      <c r="AD533" s="96"/>
    </row>
    <row r="534">
      <c r="A534" s="66"/>
      <c r="B534" s="103"/>
      <c r="C534" s="54"/>
      <c r="D534" s="66"/>
      <c r="E534" s="66"/>
      <c r="F534" s="100"/>
      <c r="G534" s="100">
        <v>46023.0</v>
      </c>
      <c r="H534" s="58">
        <v>0.0</v>
      </c>
      <c r="I534" s="66"/>
      <c r="J534" s="66"/>
      <c r="K534" s="66"/>
      <c r="L534" s="104"/>
      <c r="M534" s="66"/>
      <c r="N534" s="100"/>
      <c r="O534" s="55"/>
      <c r="P534" s="215"/>
      <c r="Q534" s="100"/>
      <c r="R534" s="96"/>
      <c r="S534" s="96"/>
      <c r="T534" s="96"/>
      <c r="U534" s="96"/>
      <c r="V534" s="96"/>
      <c r="W534" s="96"/>
      <c r="X534" s="96"/>
      <c r="Y534" s="96"/>
      <c r="Z534" s="96"/>
      <c r="AA534" s="96"/>
      <c r="AB534" s="96"/>
      <c r="AC534" s="96"/>
      <c r="AD534" s="96"/>
    </row>
    <row r="535">
      <c r="A535" s="66"/>
      <c r="B535" s="103"/>
      <c r="C535" s="54"/>
      <c r="D535" s="66"/>
      <c r="E535" s="66"/>
      <c r="F535" s="100"/>
      <c r="G535" s="100">
        <v>46023.0</v>
      </c>
      <c r="H535" s="58">
        <v>0.0</v>
      </c>
      <c r="I535" s="66"/>
      <c r="J535" s="66"/>
      <c r="K535" s="66"/>
      <c r="L535" s="104"/>
      <c r="M535" s="66"/>
      <c r="N535" s="100"/>
      <c r="O535" s="55"/>
      <c r="P535" s="215"/>
      <c r="Q535" s="100"/>
      <c r="R535" s="96"/>
      <c r="S535" s="96"/>
      <c r="T535" s="96"/>
      <c r="U535" s="96"/>
      <c r="V535" s="96"/>
      <c r="W535" s="96"/>
      <c r="X535" s="96"/>
      <c r="Y535" s="96"/>
      <c r="Z535" s="96"/>
      <c r="AA535" s="96"/>
      <c r="AB535" s="96"/>
      <c r="AC535" s="96"/>
      <c r="AD535" s="96"/>
    </row>
    <row r="536">
      <c r="A536" s="66"/>
      <c r="B536" s="103"/>
      <c r="C536" s="54"/>
      <c r="D536" s="66"/>
      <c r="E536" s="66"/>
      <c r="F536" s="100"/>
      <c r="G536" s="100">
        <v>46023.0</v>
      </c>
      <c r="H536" s="58">
        <v>0.0</v>
      </c>
      <c r="I536" s="66"/>
      <c r="J536" s="66"/>
      <c r="K536" s="66"/>
      <c r="L536" s="104"/>
      <c r="M536" s="66"/>
      <c r="N536" s="100"/>
      <c r="O536" s="55"/>
      <c r="P536" s="215"/>
      <c r="Q536" s="100"/>
      <c r="R536" s="96"/>
      <c r="S536" s="96"/>
      <c r="T536" s="96"/>
      <c r="U536" s="96"/>
      <c r="V536" s="96"/>
      <c r="W536" s="96"/>
      <c r="X536" s="96"/>
      <c r="Y536" s="96"/>
      <c r="Z536" s="96"/>
      <c r="AA536" s="96"/>
      <c r="AB536" s="96"/>
      <c r="AC536" s="96"/>
      <c r="AD536" s="96"/>
    </row>
    <row r="537">
      <c r="A537" s="66"/>
      <c r="B537" s="103"/>
      <c r="C537" s="54"/>
      <c r="D537" s="66"/>
      <c r="E537" s="66"/>
      <c r="F537" s="100"/>
      <c r="G537" s="100">
        <v>46023.0</v>
      </c>
      <c r="H537" s="58">
        <v>0.0</v>
      </c>
      <c r="I537" s="66"/>
      <c r="J537" s="66"/>
      <c r="K537" s="66"/>
      <c r="L537" s="104"/>
      <c r="M537" s="66"/>
      <c r="N537" s="100"/>
      <c r="O537" s="55"/>
      <c r="P537" s="215"/>
      <c r="Q537" s="100"/>
      <c r="R537" s="96"/>
      <c r="S537" s="96"/>
      <c r="T537" s="96"/>
      <c r="U537" s="96"/>
      <c r="V537" s="96"/>
      <c r="W537" s="96"/>
      <c r="X537" s="96"/>
      <c r="Y537" s="96"/>
      <c r="Z537" s="96"/>
      <c r="AA537" s="96"/>
      <c r="AB537" s="96"/>
      <c r="AC537" s="96"/>
      <c r="AD537" s="96"/>
    </row>
    <row r="538">
      <c r="A538" s="66"/>
      <c r="B538" s="103"/>
      <c r="C538" s="54"/>
      <c r="D538" s="66"/>
      <c r="E538" s="66"/>
      <c r="F538" s="100"/>
      <c r="G538" s="100">
        <v>46023.0</v>
      </c>
      <c r="H538" s="58">
        <v>0.0</v>
      </c>
      <c r="I538" s="66"/>
      <c r="J538" s="66"/>
      <c r="K538" s="66"/>
      <c r="L538" s="104"/>
      <c r="M538" s="66"/>
      <c r="N538" s="100"/>
      <c r="O538" s="55"/>
      <c r="P538" s="215"/>
      <c r="Q538" s="100"/>
      <c r="R538" s="96"/>
      <c r="S538" s="96"/>
      <c r="T538" s="96"/>
      <c r="U538" s="96"/>
      <c r="V538" s="96"/>
      <c r="W538" s="96"/>
      <c r="X538" s="96"/>
      <c r="Y538" s="96"/>
      <c r="Z538" s="96"/>
      <c r="AA538" s="96"/>
      <c r="AB538" s="96"/>
      <c r="AC538" s="96"/>
      <c r="AD538" s="96"/>
    </row>
    <row r="539">
      <c r="A539" s="66"/>
      <c r="B539" s="103"/>
      <c r="C539" s="54"/>
      <c r="D539" s="66"/>
      <c r="E539" s="66"/>
      <c r="F539" s="100"/>
      <c r="G539" s="100">
        <v>46023.0</v>
      </c>
      <c r="H539" s="58">
        <v>0.0</v>
      </c>
      <c r="I539" s="66"/>
      <c r="J539" s="66"/>
      <c r="K539" s="66"/>
      <c r="L539" s="104"/>
      <c r="M539" s="66"/>
      <c r="N539" s="100"/>
      <c r="O539" s="55"/>
      <c r="P539" s="215"/>
      <c r="Q539" s="100"/>
      <c r="R539" s="96"/>
      <c r="S539" s="96"/>
      <c r="T539" s="96"/>
      <c r="U539" s="96"/>
      <c r="V539" s="96"/>
      <c r="W539" s="96"/>
      <c r="X539" s="96"/>
      <c r="Y539" s="96"/>
      <c r="Z539" s="96"/>
      <c r="AA539" s="96"/>
      <c r="AB539" s="96"/>
      <c r="AC539" s="96"/>
      <c r="AD539" s="96"/>
    </row>
    <row r="540">
      <c r="A540" s="66"/>
      <c r="B540" s="103"/>
      <c r="C540" s="54"/>
      <c r="D540" s="66"/>
      <c r="E540" s="66"/>
      <c r="F540" s="100"/>
      <c r="G540" s="100">
        <v>46023.0</v>
      </c>
      <c r="H540" s="58">
        <v>0.0</v>
      </c>
      <c r="I540" s="66"/>
      <c r="J540" s="66"/>
      <c r="K540" s="66"/>
      <c r="L540" s="104"/>
      <c r="M540" s="66"/>
      <c r="N540" s="100"/>
      <c r="O540" s="55"/>
      <c r="P540" s="215"/>
      <c r="Q540" s="100"/>
      <c r="R540" s="96"/>
      <c r="S540" s="96"/>
      <c r="T540" s="96"/>
      <c r="U540" s="96"/>
      <c r="V540" s="96"/>
      <c r="W540" s="96"/>
      <c r="X540" s="96"/>
      <c r="Y540" s="96"/>
      <c r="Z540" s="96"/>
      <c r="AA540" s="96"/>
      <c r="AB540" s="96"/>
      <c r="AC540" s="96"/>
      <c r="AD540" s="96"/>
    </row>
    <row r="541">
      <c r="A541" s="66"/>
      <c r="B541" s="103"/>
      <c r="C541" s="54"/>
      <c r="D541" s="66"/>
      <c r="E541" s="66"/>
      <c r="F541" s="100"/>
      <c r="G541" s="100">
        <v>46023.0</v>
      </c>
      <c r="H541" s="58">
        <v>0.0</v>
      </c>
      <c r="I541" s="66"/>
      <c r="J541" s="66"/>
      <c r="K541" s="66"/>
      <c r="L541" s="104"/>
      <c r="M541" s="66"/>
      <c r="N541" s="100"/>
      <c r="O541" s="55"/>
      <c r="P541" s="215"/>
      <c r="Q541" s="100"/>
      <c r="R541" s="96"/>
      <c r="S541" s="96"/>
      <c r="T541" s="96"/>
      <c r="U541" s="96"/>
      <c r="V541" s="96"/>
      <c r="W541" s="96"/>
      <c r="X541" s="96"/>
      <c r="Y541" s="96"/>
      <c r="Z541" s="96"/>
      <c r="AA541" s="96"/>
      <c r="AB541" s="96"/>
      <c r="AC541" s="96"/>
      <c r="AD541" s="96"/>
    </row>
    <row r="542">
      <c r="A542" s="66"/>
      <c r="B542" s="103"/>
      <c r="C542" s="54"/>
      <c r="D542" s="66"/>
      <c r="E542" s="66"/>
      <c r="F542" s="100"/>
      <c r="G542" s="100">
        <v>46023.0</v>
      </c>
      <c r="H542" s="58">
        <v>0.0</v>
      </c>
      <c r="I542" s="66"/>
      <c r="J542" s="66"/>
      <c r="K542" s="66"/>
      <c r="L542" s="104"/>
      <c r="M542" s="66"/>
      <c r="N542" s="100"/>
      <c r="O542" s="55"/>
      <c r="P542" s="215"/>
      <c r="Q542" s="100"/>
      <c r="R542" s="96"/>
      <c r="S542" s="96"/>
      <c r="T542" s="96"/>
      <c r="U542" s="96"/>
      <c r="V542" s="96"/>
      <c r="W542" s="96"/>
      <c r="X542" s="96"/>
      <c r="Y542" s="96"/>
      <c r="Z542" s="96"/>
      <c r="AA542" s="96"/>
      <c r="AB542" s="96"/>
      <c r="AC542" s="96"/>
      <c r="AD542" s="96"/>
    </row>
    <row r="543">
      <c r="A543" s="66"/>
      <c r="B543" s="103"/>
      <c r="C543" s="54"/>
      <c r="D543" s="66"/>
      <c r="E543" s="66"/>
      <c r="F543" s="100"/>
      <c r="G543" s="100">
        <v>46023.0</v>
      </c>
      <c r="H543" s="58">
        <v>0.0</v>
      </c>
      <c r="I543" s="66"/>
      <c r="J543" s="66"/>
      <c r="K543" s="66"/>
      <c r="L543" s="104"/>
      <c r="M543" s="66"/>
      <c r="N543" s="100"/>
      <c r="O543" s="55"/>
      <c r="P543" s="215"/>
      <c r="Q543" s="100"/>
      <c r="R543" s="96"/>
      <c r="S543" s="96"/>
      <c r="T543" s="96"/>
      <c r="U543" s="96"/>
      <c r="V543" s="96"/>
      <c r="W543" s="96"/>
      <c r="X543" s="96"/>
      <c r="Y543" s="96"/>
      <c r="Z543" s="96"/>
      <c r="AA543" s="96"/>
      <c r="AB543" s="96"/>
      <c r="AC543" s="96"/>
      <c r="AD543" s="96"/>
    </row>
    <row r="544">
      <c r="A544" s="66"/>
      <c r="B544" s="103"/>
      <c r="C544" s="54"/>
      <c r="D544" s="66"/>
      <c r="E544" s="66"/>
      <c r="F544" s="100"/>
      <c r="G544" s="100">
        <v>46023.0</v>
      </c>
      <c r="H544" s="58">
        <v>0.0</v>
      </c>
      <c r="I544" s="66"/>
      <c r="J544" s="66"/>
      <c r="K544" s="66"/>
      <c r="L544" s="104"/>
      <c r="M544" s="66"/>
      <c r="N544" s="100"/>
      <c r="O544" s="55"/>
      <c r="P544" s="215"/>
      <c r="Q544" s="100"/>
      <c r="R544" s="96"/>
      <c r="S544" s="96"/>
      <c r="T544" s="96"/>
      <c r="U544" s="96"/>
      <c r="V544" s="96"/>
      <c r="W544" s="96"/>
      <c r="X544" s="96"/>
      <c r="Y544" s="96"/>
      <c r="Z544" s="96"/>
      <c r="AA544" s="96"/>
      <c r="AB544" s="96"/>
      <c r="AC544" s="96"/>
      <c r="AD544" s="96"/>
    </row>
    <row r="545">
      <c r="A545" s="66"/>
      <c r="B545" s="103"/>
      <c r="C545" s="54"/>
      <c r="D545" s="66"/>
      <c r="E545" s="66"/>
      <c r="F545" s="100"/>
      <c r="G545" s="100">
        <v>46023.0</v>
      </c>
      <c r="H545" s="58">
        <v>0.0</v>
      </c>
      <c r="I545" s="66"/>
      <c r="J545" s="66"/>
      <c r="K545" s="66"/>
      <c r="L545" s="104"/>
      <c r="M545" s="66"/>
      <c r="N545" s="100"/>
      <c r="O545" s="55"/>
      <c r="P545" s="215"/>
      <c r="Q545" s="100"/>
      <c r="R545" s="96"/>
      <c r="S545" s="96"/>
      <c r="T545" s="96"/>
      <c r="U545" s="96"/>
      <c r="V545" s="96"/>
      <c r="W545" s="96"/>
      <c r="X545" s="96"/>
      <c r="Y545" s="96"/>
      <c r="Z545" s="96"/>
      <c r="AA545" s="96"/>
      <c r="AB545" s="96"/>
      <c r="AC545" s="96"/>
      <c r="AD545" s="96"/>
    </row>
    <row r="546">
      <c r="A546" s="66"/>
      <c r="B546" s="103"/>
      <c r="C546" s="54"/>
      <c r="D546" s="66"/>
      <c r="E546" s="66"/>
      <c r="F546" s="100"/>
      <c r="G546" s="100">
        <v>46023.0</v>
      </c>
      <c r="H546" s="58">
        <v>0.0</v>
      </c>
      <c r="I546" s="66"/>
      <c r="J546" s="66"/>
      <c r="K546" s="66"/>
      <c r="L546" s="104"/>
      <c r="M546" s="66"/>
      <c r="N546" s="100"/>
      <c r="O546" s="55"/>
      <c r="P546" s="215"/>
      <c r="Q546" s="100"/>
      <c r="R546" s="96"/>
      <c r="S546" s="96"/>
      <c r="T546" s="96"/>
      <c r="U546" s="96"/>
      <c r="V546" s="96"/>
      <c r="W546" s="96"/>
      <c r="X546" s="96"/>
      <c r="Y546" s="96"/>
      <c r="Z546" s="96"/>
      <c r="AA546" s="96"/>
      <c r="AB546" s="96"/>
      <c r="AC546" s="96"/>
      <c r="AD546" s="96"/>
    </row>
    <row r="547">
      <c r="A547" s="66"/>
      <c r="B547" s="103"/>
      <c r="C547" s="54"/>
      <c r="D547" s="66"/>
      <c r="E547" s="66"/>
      <c r="F547" s="100"/>
      <c r="G547" s="100">
        <v>46023.0</v>
      </c>
      <c r="H547" s="58">
        <v>0.0</v>
      </c>
      <c r="I547" s="66"/>
      <c r="J547" s="66"/>
      <c r="K547" s="66"/>
      <c r="L547" s="104"/>
      <c r="M547" s="66"/>
      <c r="N547" s="100"/>
      <c r="O547" s="55"/>
      <c r="P547" s="215"/>
      <c r="Q547" s="100"/>
      <c r="R547" s="96"/>
      <c r="S547" s="96"/>
      <c r="T547" s="96"/>
      <c r="U547" s="96"/>
      <c r="V547" s="96"/>
      <c r="W547" s="96"/>
      <c r="X547" s="96"/>
      <c r="Y547" s="96"/>
      <c r="Z547" s="96"/>
      <c r="AA547" s="96"/>
      <c r="AB547" s="96"/>
      <c r="AC547" s="96"/>
      <c r="AD547" s="96"/>
    </row>
    <row r="548">
      <c r="A548" s="66"/>
      <c r="B548" s="103"/>
      <c r="C548" s="54"/>
      <c r="D548" s="66"/>
      <c r="E548" s="66"/>
      <c r="F548" s="100"/>
      <c r="G548" s="100">
        <v>46023.0</v>
      </c>
      <c r="H548" s="58">
        <v>0.0</v>
      </c>
      <c r="I548" s="66"/>
      <c r="J548" s="66"/>
      <c r="K548" s="66"/>
      <c r="L548" s="104"/>
      <c r="M548" s="66"/>
      <c r="N548" s="100"/>
      <c r="O548" s="55"/>
      <c r="P548" s="215"/>
      <c r="Q548" s="100"/>
      <c r="R548" s="96"/>
      <c r="S548" s="96"/>
      <c r="T548" s="96"/>
      <c r="U548" s="96"/>
      <c r="V548" s="96"/>
      <c r="W548" s="96"/>
      <c r="X548" s="96"/>
      <c r="Y548" s="96"/>
      <c r="Z548" s="96"/>
      <c r="AA548" s="96"/>
      <c r="AB548" s="96"/>
      <c r="AC548" s="96"/>
      <c r="AD548" s="96"/>
    </row>
    <row r="549">
      <c r="A549" s="66"/>
      <c r="B549" s="103"/>
      <c r="C549" s="54"/>
      <c r="D549" s="66"/>
      <c r="E549" s="66"/>
      <c r="F549" s="100"/>
      <c r="G549" s="100">
        <v>46023.0</v>
      </c>
      <c r="H549" s="58">
        <v>0.0</v>
      </c>
      <c r="I549" s="66"/>
      <c r="J549" s="66"/>
      <c r="K549" s="66"/>
      <c r="L549" s="104"/>
      <c r="M549" s="66"/>
      <c r="N549" s="100"/>
      <c r="O549" s="55"/>
      <c r="P549" s="215"/>
      <c r="Q549" s="100"/>
      <c r="R549" s="96"/>
      <c r="S549" s="96"/>
      <c r="T549" s="96"/>
      <c r="U549" s="96"/>
      <c r="V549" s="96"/>
      <c r="W549" s="96"/>
      <c r="X549" s="96"/>
      <c r="Y549" s="96"/>
      <c r="Z549" s="96"/>
      <c r="AA549" s="96"/>
      <c r="AB549" s="96"/>
      <c r="AC549" s="96"/>
      <c r="AD549" s="96"/>
    </row>
    <row r="550">
      <c r="A550" s="66"/>
      <c r="B550" s="103"/>
      <c r="C550" s="54"/>
      <c r="D550" s="66"/>
      <c r="E550" s="66"/>
      <c r="F550" s="100"/>
      <c r="G550" s="100">
        <v>46023.0</v>
      </c>
      <c r="H550" s="58">
        <v>0.0</v>
      </c>
      <c r="I550" s="66"/>
      <c r="J550" s="66"/>
      <c r="K550" s="66"/>
      <c r="L550" s="104"/>
      <c r="M550" s="66"/>
      <c r="N550" s="100"/>
      <c r="O550" s="55"/>
      <c r="P550" s="215"/>
      <c r="Q550" s="100"/>
      <c r="R550" s="96"/>
      <c r="S550" s="96"/>
      <c r="T550" s="96"/>
      <c r="U550" s="96"/>
      <c r="V550" s="96"/>
      <c r="W550" s="96"/>
      <c r="X550" s="96"/>
      <c r="Y550" s="96"/>
      <c r="Z550" s="96"/>
      <c r="AA550" s="96"/>
      <c r="AB550" s="96"/>
      <c r="AC550" s="96"/>
      <c r="AD550" s="96"/>
    </row>
    <row r="551">
      <c r="A551" s="66"/>
      <c r="B551" s="103"/>
      <c r="C551" s="54"/>
      <c r="D551" s="66"/>
      <c r="E551" s="66"/>
      <c r="F551" s="100"/>
      <c r="G551" s="100">
        <v>46023.0</v>
      </c>
      <c r="H551" s="58">
        <v>0.0</v>
      </c>
      <c r="I551" s="66"/>
      <c r="J551" s="66"/>
      <c r="K551" s="66"/>
      <c r="L551" s="104"/>
      <c r="M551" s="66"/>
      <c r="N551" s="100"/>
      <c r="O551" s="55"/>
      <c r="P551" s="215"/>
      <c r="Q551" s="100"/>
      <c r="R551" s="96"/>
      <c r="S551" s="96"/>
      <c r="T551" s="96"/>
      <c r="U551" s="96"/>
      <c r="V551" s="96"/>
      <c r="W551" s="96"/>
      <c r="X551" s="96"/>
      <c r="Y551" s="96"/>
      <c r="Z551" s="96"/>
      <c r="AA551" s="96"/>
      <c r="AB551" s="96"/>
      <c r="AC551" s="96"/>
      <c r="AD551" s="96"/>
    </row>
    <row r="552">
      <c r="A552" s="66"/>
      <c r="B552" s="103"/>
      <c r="C552" s="54"/>
      <c r="D552" s="66"/>
      <c r="E552" s="66"/>
      <c r="F552" s="100"/>
      <c r="G552" s="100">
        <v>46023.0</v>
      </c>
      <c r="H552" s="58">
        <v>0.0</v>
      </c>
      <c r="I552" s="66"/>
      <c r="J552" s="66"/>
      <c r="K552" s="66"/>
      <c r="L552" s="104"/>
      <c r="M552" s="66"/>
      <c r="N552" s="100"/>
      <c r="O552" s="55"/>
      <c r="P552" s="215"/>
      <c r="Q552" s="100"/>
      <c r="R552" s="96"/>
      <c r="S552" s="96"/>
      <c r="T552" s="96"/>
      <c r="U552" s="96"/>
      <c r="V552" s="96"/>
      <c r="W552" s="96"/>
      <c r="X552" s="96"/>
      <c r="Y552" s="96"/>
      <c r="Z552" s="96"/>
      <c r="AA552" s="96"/>
      <c r="AB552" s="96"/>
      <c r="AC552" s="96"/>
      <c r="AD552" s="96"/>
    </row>
    <row r="553">
      <c r="A553" s="66"/>
      <c r="B553" s="103"/>
      <c r="C553" s="54"/>
      <c r="D553" s="66"/>
      <c r="E553" s="66"/>
      <c r="F553" s="100"/>
      <c r="G553" s="100">
        <v>46023.0</v>
      </c>
      <c r="H553" s="58">
        <v>0.0</v>
      </c>
      <c r="I553" s="66"/>
      <c r="J553" s="66"/>
      <c r="K553" s="66"/>
      <c r="L553" s="104"/>
      <c r="M553" s="66"/>
      <c r="N553" s="100"/>
      <c r="O553" s="55"/>
      <c r="P553" s="215"/>
      <c r="Q553" s="100"/>
      <c r="R553" s="96"/>
      <c r="S553" s="96"/>
      <c r="T553" s="96"/>
      <c r="U553" s="96"/>
      <c r="V553" s="96"/>
      <c r="W553" s="96"/>
      <c r="X553" s="96"/>
      <c r="Y553" s="96"/>
      <c r="Z553" s="96"/>
      <c r="AA553" s="96"/>
      <c r="AB553" s="96"/>
      <c r="AC553" s="96"/>
      <c r="AD553" s="96"/>
    </row>
    <row r="554">
      <c r="A554" s="66"/>
      <c r="B554" s="103"/>
      <c r="C554" s="54"/>
      <c r="D554" s="66"/>
      <c r="E554" s="66"/>
      <c r="F554" s="100"/>
      <c r="G554" s="100">
        <v>46023.0</v>
      </c>
      <c r="H554" s="58">
        <v>0.0</v>
      </c>
      <c r="I554" s="66"/>
      <c r="J554" s="66"/>
      <c r="K554" s="66"/>
      <c r="L554" s="104"/>
      <c r="M554" s="66"/>
      <c r="N554" s="100"/>
      <c r="O554" s="55"/>
      <c r="P554" s="215"/>
      <c r="Q554" s="100"/>
      <c r="R554" s="96"/>
      <c r="S554" s="96"/>
      <c r="T554" s="96"/>
      <c r="U554" s="96"/>
      <c r="V554" s="96"/>
      <c r="W554" s="96"/>
      <c r="X554" s="96"/>
      <c r="Y554" s="96"/>
      <c r="Z554" s="96"/>
      <c r="AA554" s="96"/>
      <c r="AB554" s="96"/>
      <c r="AC554" s="96"/>
      <c r="AD554" s="96"/>
    </row>
    <row r="555">
      <c r="A555" s="66"/>
      <c r="B555" s="103"/>
      <c r="C555" s="54"/>
      <c r="D555" s="66"/>
      <c r="E555" s="66"/>
      <c r="F555" s="100"/>
      <c r="G555" s="100">
        <v>46023.0</v>
      </c>
      <c r="H555" s="58">
        <v>0.0</v>
      </c>
      <c r="I555" s="66"/>
      <c r="J555" s="66"/>
      <c r="K555" s="66"/>
      <c r="L555" s="104"/>
      <c r="M555" s="66"/>
      <c r="N555" s="100"/>
      <c r="O555" s="55"/>
      <c r="P555" s="215"/>
      <c r="Q555" s="100"/>
      <c r="R555" s="96"/>
      <c r="S555" s="96"/>
      <c r="T555" s="96"/>
      <c r="U555" s="96"/>
      <c r="V555" s="96"/>
      <c r="W555" s="96"/>
      <c r="X555" s="96"/>
      <c r="Y555" s="96"/>
      <c r="Z555" s="96"/>
      <c r="AA555" s="96"/>
      <c r="AB555" s="96"/>
      <c r="AC555" s="96"/>
      <c r="AD555" s="96"/>
    </row>
    <row r="556">
      <c r="A556" s="66"/>
      <c r="B556" s="103"/>
      <c r="C556" s="54"/>
      <c r="D556" s="66"/>
      <c r="E556" s="66"/>
      <c r="F556" s="100"/>
      <c r="G556" s="100">
        <v>46023.0</v>
      </c>
      <c r="H556" s="58">
        <v>0.0</v>
      </c>
      <c r="I556" s="66"/>
      <c r="J556" s="66"/>
      <c r="K556" s="66"/>
      <c r="L556" s="104"/>
      <c r="M556" s="66"/>
      <c r="N556" s="100"/>
      <c r="O556" s="55"/>
      <c r="P556" s="215"/>
      <c r="Q556" s="100"/>
      <c r="R556" s="96"/>
      <c r="S556" s="96"/>
      <c r="T556" s="96"/>
      <c r="U556" s="96"/>
      <c r="V556" s="96"/>
      <c r="W556" s="96"/>
      <c r="X556" s="96"/>
      <c r="Y556" s="96"/>
      <c r="Z556" s="96"/>
      <c r="AA556" s="96"/>
      <c r="AB556" s="96"/>
      <c r="AC556" s="96"/>
      <c r="AD556" s="96"/>
    </row>
    <row r="557">
      <c r="A557" s="66"/>
      <c r="B557" s="103"/>
      <c r="C557" s="54"/>
      <c r="D557" s="66"/>
      <c r="E557" s="66"/>
      <c r="F557" s="100"/>
      <c r="G557" s="100">
        <v>46023.0</v>
      </c>
      <c r="H557" s="58">
        <v>0.0</v>
      </c>
      <c r="I557" s="66"/>
      <c r="J557" s="66"/>
      <c r="K557" s="66"/>
      <c r="L557" s="104"/>
      <c r="M557" s="66"/>
      <c r="N557" s="100"/>
      <c r="O557" s="55"/>
      <c r="P557" s="215"/>
      <c r="Q557" s="100"/>
      <c r="R557" s="96"/>
      <c r="S557" s="96"/>
      <c r="T557" s="96"/>
      <c r="U557" s="96"/>
      <c r="V557" s="96"/>
      <c r="W557" s="96"/>
      <c r="X557" s="96"/>
      <c r="Y557" s="96"/>
      <c r="Z557" s="96"/>
      <c r="AA557" s="96"/>
      <c r="AB557" s="96"/>
      <c r="AC557" s="96"/>
      <c r="AD557" s="96"/>
    </row>
    <row r="558">
      <c r="A558" s="66"/>
      <c r="B558" s="103"/>
      <c r="C558" s="54"/>
      <c r="D558" s="66"/>
      <c r="E558" s="66"/>
      <c r="F558" s="100"/>
      <c r="G558" s="100">
        <v>46023.0</v>
      </c>
      <c r="H558" s="58">
        <v>0.0</v>
      </c>
      <c r="I558" s="66"/>
      <c r="J558" s="66"/>
      <c r="K558" s="66"/>
      <c r="L558" s="104"/>
      <c r="M558" s="66"/>
      <c r="N558" s="100"/>
      <c r="O558" s="55"/>
      <c r="P558" s="215"/>
      <c r="Q558" s="100"/>
      <c r="R558" s="96"/>
      <c r="S558" s="96"/>
      <c r="T558" s="96"/>
      <c r="U558" s="96"/>
      <c r="V558" s="96"/>
      <c r="W558" s="96"/>
      <c r="X558" s="96"/>
      <c r="Y558" s="96"/>
      <c r="Z558" s="96"/>
      <c r="AA558" s="96"/>
      <c r="AB558" s="96"/>
      <c r="AC558" s="96"/>
      <c r="AD558" s="96"/>
    </row>
    <row r="559">
      <c r="A559" s="66"/>
      <c r="B559" s="103"/>
      <c r="C559" s="54"/>
      <c r="D559" s="66"/>
      <c r="E559" s="66"/>
      <c r="F559" s="100"/>
      <c r="G559" s="100">
        <v>46023.0</v>
      </c>
      <c r="H559" s="58">
        <v>0.0</v>
      </c>
      <c r="I559" s="66"/>
      <c r="J559" s="66"/>
      <c r="K559" s="66"/>
      <c r="L559" s="104"/>
      <c r="M559" s="66"/>
      <c r="N559" s="100"/>
      <c r="O559" s="55"/>
      <c r="P559" s="215"/>
      <c r="Q559" s="100"/>
      <c r="R559" s="96"/>
      <c r="S559" s="96"/>
      <c r="T559" s="96"/>
      <c r="U559" s="96"/>
      <c r="V559" s="96"/>
      <c r="W559" s="96"/>
      <c r="X559" s="96"/>
      <c r="Y559" s="96"/>
      <c r="Z559" s="96"/>
      <c r="AA559" s="96"/>
      <c r="AB559" s="96"/>
      <c r="AC559" s="96"/>
      <c r="AD559" s="96"/>
    </row>
    <row r="560">
      <c r="A560" s="66"/>
      <c r="B560" s="103"/>
      <c r="C560" s="54"/>
      <c r="D560" s="66"/>
      <c r="E560" s="66"/>
      <c r="F560" s="100"/>
      <c r="G560" s="100">
        <v>46023.0</v>
      </c>
      <c r="H560" s="58">
        <v>0.0</v>
      </c>
      <c r="I560" s="66"/>
      <c r="J560" s="66"/>
      <c r="K560" s="66"/>
      <c r="L560" s="104"/>
      <c r="M560" s="66"/>
      <c r="N560" s="100"/>
      <c r="O560" s="55"/>
      <c r="P560" s="215"/>
      <c r="Q560" s="100"/>
      <c r="R560" s="96"/>
      <c r="S560" s="96"/>
      <c r="T560" s="96"/>
      <c r="U560" s="96"/>
      <c r="V560" s="96"/>
      <c r="W560" s="96"/>
      <c r="X560" s="96"/>
      <c r="Y560" s="96"/>
      <c r="Z560" s="96"/>
      <c r="AA560" s="96"/>
      <c r="AB560" s="96"/>
      <c r="AC560" s="96"/>
      <c r="AD560" s="96"/>
    </row>
    <row r="561">
      <c r="A561" s="66"/>
      <c r="B561" s="103"/>
      <c r="C561" s="54"/>
      <c r="D561" s="66"/>
      <c r="E561" s="66"/>
      <c r="F561" s="100"/>
      <c r="G561" s="100">
        <v>46023.0</v>
      </c>
      <c r="H561" s="58">
        <v>0.0</v>
      </c>
      <c r="I561" s="66"/>
      <c r="J561" s="66"/>
      <c r="K561" s="66"/>
      <c r="L561" s="104"/>
      <c r="M561" s="66"/>
      <c r="N561" s="100"/>
      <c r="O561" s="55"/>
      <c r="P561" s="215"/>
      <c r="Q561" s="100"/>
      <c r="R561" s="96"/>
      <c r="S561" s="96"/>
      <c r="T561" s="96"/>
      <c r="U561" s="96"/>
      <c r="V561" s="96"/>
      <c r="W561" s="96"/>
      <c r="X561" s="96"/>
      <c r="Y561" s="96"/>
      <c r="Z561" s="96"/>
      <c r="AA561" s="96"/>
      <c r="AB561" s="96"/>
      <c r="AC561" s="96"/>
      <c r="AD561" s="96"/>
    </row>
    <row r="562">
      <c r="A562" s="66"/>
      <c r="B562" s="103"/>
      <c r="C562" s="54"/>
      <c r="D562" s="66"/>
      <c r="E562" s="66"/>
      <c r="F562" s="100"/>
      <c r="G562" s="100">
        <v>46023.0</v>
      </c>
      <c r="H562" s="58">
        <v>0.0</v>
      </c>
      <c r="I562" s="66"/>
      <c r="J562" s="66"/>
      <c r="K562" s="66"/>
      <c r="L562" s="104"/>
      <c r="M562" s="66"/>
      <c r="N562" s="100"/>
      <c r="O562" s="55"/>
      <c r="P562" s="215"/>
      <c r="Q562" s="100"/>
      <c r="R562" s="96"/>
      <c r="S562" s="96"/>
      <c r="T562" s="96"/>
      <c r="U562" s="96"/>
      <c r="V562" s="96"/>
      <c r="W562" s="96"/>
      <c r="X562" s="96"/>
      <c r="Y562" s="96"/>
      <c r="Z562" s="96"/>
      <c r="AA562" s="96"/>
      <c r="AB562" s="96"/>
      <c r="AC562" s="96"/>
      <c r="AD562" s="96"/>
    </row>
    <row r="563">
      <c r="A563" s="66"/>
      <c r="B563" s="103"/>
      <c r="C563" s="54"/>
      <c r="D563" s="66"/>
      <c r="E563" s="66"/>
      <c r="F563" s="100"/>
      <c r="G563" s="100">
        <v>46023.0</v>
      </c>
      <c r="H563" s="58">
        <v>0.0</v>
      </c>
      <c r="I563" s="66"/>
      <c r="J563" s="66"/>
      <c r="K563" s="66"/>
      <c r="L563" s="104"/>
      <c r="M563" s="66"/>
      <c r="N563" s="100"/>
      <c r="O563" s="55"/>
      <c r="P563" s="215"/>
      <c r="Q563" s="100"/>
      <c r="R563" s="96"/>
      <c r="S563" s="96"/>
      <c r="T563" s="96"/>
      <c r="U563" s="96"/>
      <c r="V563" s="96"/>
      <c r="W563" s="96"/>
      <c r="X563" s="96"/>
      <c r="Y563" s="96"/>
      <c r="Z563" s="96"/>
      <c r="AA563" s="96"/>
      <c r="AB563" s="96"/>
      <c r="AC563" s="96"/>
      <c r="AD563" s="96"/>
    </row>
    <row r="564">
      <c r="A564" s="66"/>
      <c r="B564" s="103"/>
      <c r="C564" s="54"/>
      <c r="D564" s="66"/>
      <c r="E564" s="66"/>
      <c r="F564" s="100"/>
      <c r="G564" s="100">
        <v>46023.0</v>
      </c>
      <c r="H564" s="58">
        <v>0.0</v>
      </c>
      <c r="I564" s="66"/>
      <c r="J564" s="66"/>
      <c r="K564" s="66"/>
      <c r="L564" s="104"/>
      <c r="M564" s="66"/>
      <c r="N564" s="100"/>
      <c r="O564" s="55"/>
      <c r="P564" s="215"/>
      <c r="Q564" s="100"/>
      <c r="R564" s="96"/>
      <c r="S564" s="96"/>
      <c r="T564" s="96"/>
      <c r="U564" s="96"/>
      <c r="V564" s="96"/>
      <c r="W564" s="96"/>
      <c r="X564" s="96"/>
      <c r="Y564" s="96"/>
      <c r="Z564" s="96"/>
      <c r="AA564" s="96"/>
      <c r="AB564" s="96"/>
      <c r="AC564" s="96"/>
      <c r="AD564" s="96"/>
    </row>
    <row r="565">
      <c r="A565" s="66"/>
      <c r="B565" s="103"/>
      <c r="C565" s="54"/>
      <c r="D565" s="66"/>
      <c r="E565" s="66"/>
      <c r="F565" s="100"/>
      <c r="G565" s="100">
        <v>46023.0</v>
      </c>
      <c r="H565" s="58">
        <v>0.0</v>
      </c>
      <c r="I565" s="66"/>
      <c r="J565" s="66"/>
      <c r="K565" s="66"/>
      <c r="L565" s="104"/>
      <c r="M565" s="66"/>
      <c r="N565" s="100"/>
      <c r="O565" s="55"/>
      <c r="P565" s="215"/>
      <c r="Q565" s="100"/>
      <c r="R565" s="96"/>
      <c r="S565" s="96"/>
      <c r="T565" s="96"/>
      <c r="U565" s="96"/>
      <c r="V565" s="96"/>
      <c r="W565" s="96"/>
      <c r="X565" s="96"/>
      <c r="Y565" s="96"/>
      <c r="Z565" s="96"/>
      <c r="AA565" s="96"/>
      <c r="AB565" s="96"/>
      <c r="AC565" s="96"/>
      <c r="AD565" s="96"/>
    </row>
    <row r="566">
      <c r="A566" s="66"/>
      <c r="B566" s="103"/>
      <c r="C566" s="54"/>
      <c r="D566" s="66"/>
      <c r="E566" s="66"/>
      <c r="F566" s="100"/>
      <c r="G566" s="100">
        <v>46023.0</v>
      </c>
      <c r="H566" s="58">
        <v>0.0</v>
      </c>
      <c r="I566" s="66"/>
      <c r="J566" s="66"/>
      <c r="K566" s="66"/>
      <c r="L566" s="104"/>
      <c r="M566" s="66"/>
      <c r="N566" s="100"/>
      <c r="O566" s="55"/>
      <c r="P566" s="215"/>
      <c r="Q566" s="100"/>
      <c r="R566" s="96"/>
      <c r="S566" s="96"/>
      <c r="T566" s="96"/>
      <c r="U566" s="96"/>
      <c r="V566" s="96"/>
      <c r="W566" s="96"/>
      <c r="X566" s="96"/>
      <c r="Y566" s="96"/>
      <c r="Z566" s="96"/>
      <c r="AA566" s="96"/>
      <c r="AB566" s="96"/>
      <c r="AC566" s="96"/>
      <c r="AD566" s="96"/>
    </row>
    <row r="567">
      <c r="A567" s="66"/>
      <c r="B567" s="103"/>
      <c r="C567" s="54"/>
      <c r="D567" s="66"/>
      <c r="E567" s="66"/>
      <c r="F567" s="100"/>
      <c r="G567" s="100">
        <v>46023.0</v>
      </c>
      <c r="H567" s="58">
        <v>0.0</v>
      </c>
      <c r="I567" s="66"/>
      <c r="J567" s="66"/>
      <c r="K567" s="66"/>
      <c r="L567" s="104"/>
      <c r="M567" s="66"/>
      <c r="N567" s="100"/>
      <c r="O567" s="55"/>
      <c r="P567" s="215"/>
      <c r="Q567" s="100"/>
      <c r="R567" s="96"/>
      <c r="S567" s="96"/>
      <c r="T567" s="96"/>
      <c r="U567" s="96"/>
      <c r="V567" s="96"/>
      <c r="W567" s="96"/>
      <c r="X567" s="96"/>
      <c r="Y567" s="96"/>
      <c r="Z567" s="96"/>
      <c r="AA567" s="96"/>
      <c r="AB567" s="96"/>
      <c r="AC567" s="96"/>
      <c r="AD567" s="96"/>
    </row>
    <row r="568">
      <c r="A568" s="66"/>
      <c r="B568" s="103"/>
      <c r="C568" s="54"/>
      <c r="D568" s="66"/>
      <c r="E568" s="66"/>
      <c r="F568" s="100"/>
      <c r="G568" s="100">
        <v>46023.0</v>
      </c>
      <c r="H568" s="58">
        <v>0.0</v>
      </c>
      <c r="I568" s="66"/>
      <c r="J568" s="66"/>
      <c r="K568" s="66"/>
      <c r="L568" s="104"/>
      <c r="M568" s="66"/>
      <c r="N568" s="100"/>
      <c r="O568" s="55"/>
      <c r="P568" s="215"/>
      <c r="Q568" s="100"/>
      <c r="R568" s="96"/>
      <c r="S568" s="96"/>
      <c r="T568" s="96"/>
      <c r="U568" s="96"/>
      <c r="V568" s="96"/>
      <c r="W568" s="96"/>
      <c r="X568" s="96"/>
      <c r="Y568" s="96"/>
      <c r="Z568" s="96"/>
      <c r="AA568" s="96"/>
      <c r="AB568" s="96"/>
      <c r="AC568" s="96"/>
      <c r="AD568" s="96"/>
    </row>
    <row r="569">
      <c r="A569" s="66"/>
      <c r="B569" s="103"/>
      <c r="C569" s="54"/>
      <c r="D569" s="66"/>
      <c r="E569" s="66"/>
      <c r="F569" s="100"/>
      <c r="G569" s="100">
        <v>46023.0</v>
      </c>
      <c r="H569" s="58">
        <v>0.0</v>
      </c>
      <c r="I569" s="66"/>
      <c r="J569" s="66"/>
      <c r="K569" s="66"/>
      <c r="L569" s="104"/>
      <c r="M569" s="66"/>
      <c r="N569" s="100"/>
      <c r="O569" s="55"/>
      <c r="P569" s="215"/>
      <c r="Q569" s="100"/>
      <c r="R569" s="96"/>
      <c r="S569" s="96"/>
      <c r="T569" s="96"/>
      <c r="U569" s="96"/>
      <c r="V569" s="96"/>
      <c r="W569" s="96"/>
      <c r="X569" s="96"/>
      <c r="Y569" s="96"/>
      <c r="Z569" s="96"/>
      <c r="AA569" s="96"/>
      <c r="AB569" s="96"/>
      <c r="AC569" s="96"/>
      <c r="AD569" s="96"/>
    </row>
    <row r="570">
      <c r="A570" s="66"/>
      <c r="B570" s="103"/>
      <c r="C570" s="54"/>
      <c r="D570" s="66"/>
      <c r="E570" s="66"/>
      <c r="F570" s="100"/>
      <c r="G570" s="100">
        <v>46023.0</v>
      </c>
      <c r="H570" s="58">
        <v>0.0</v>
      </c>
      <c r="I570" s="66"/>
      <c r="J570" s="66"/>
      <c r="K570" s="66"/>
      <c r="L570" s="104"/>
      <c r="M570" s="66"/>
      <c r="N570" s="100"/>
      <c r="O570" s="55"/>
      <c r="P570" s="215"/>
      <c r="Q570" s="100"/>
      <c r="R570" s="96"/>
      <c r="S570" s="96"/>
      <c r="T570" s="96"/>
      <c r="U570" s="96"/>
      <c r="V570" s="96"/>
      <c r="W570" s="96"/>
      <c r="X570" s="96"/>
      <c r="Y570" s="96"/>
      <c r="Z570" s="96"/>
      <c r="AA570" s="96"/>
      <c r="AB570" s="96"/>
      <c r="AC570" s="96"/>
      <c r="AD570" s="96"/>
    </row>
    <row r="571">
      <c r="A571" s="66"/>
      <c r="B571" s="103"/>
      <c r="C571" s="54"/>
      <c r="D571" s="66"/>
      <c r="E571" s="66"/>
      <c r="F571" s="100"/>
      <c r="G571" s="100">
        <v>46023.0</v>
      </c>
      <c r="H571" s="58">
        <v>0.0</v>
      </c>
      <c r="I571" s="66"/>
      <c r="J571" s="66"/>
      <c r="K571" s="66"/>
      <c r="L571" s="104"/>
      <c r="M571" s="66"/>
      <c r="N571" s="100"/>
      <c r="O571" s="55"/>
      <c r="P571" s="215"/>
      <c r="Q571" s="100"/>
      <c r="R571" s="96"/>
      <c r="S571" s="96"/>
      <c r="T571" s="96"/>
      <c r="U571" s="96"/>
      <c r="V571" s="96"/>
      <c r="W571" s="96"/>
      <c r="X571" s="96"/>
      <c r="Y571" s="96"/>
      <c r="Z571" s="96"/>
      <c r="AA571" s="96"/>
      <c r="AB571" s="96"/>
      <c r="AC571" s="96"/>
      <c r="AD571" s="96"/>
    </row>
    <row r="572">
      <c r="A572" s="66"/>
      <c r="B572" s="103"/>
      <c r="C572" s="54"/>
      <c r="D572" s="66"/>
      <c r="E572" s="66"/>
      <c r="F572" s="100"/>
      <c r="G572" s="100">
        <v>46023.0</v>
      </c>
      <c r="H572" s="58">
        <v>0.0</v>
      </c>
      <c r="I572" s="66"/>
      <c r="J572" s="66"/>
      <c r="K572" s="66"/>
      <c r="L572" s="104"/>
      <c r="M572" s="66"/>
      <c r="N572" s="100"/>
      <c r="O572" s="55"/>
      <c r="P572" s="215"/>
      <c r="Q572" s="100"/>
      <c r="R572" s="96"/>
      <c r="S572" s="96"/>
      <c r="T572" s="96"/>
      <c r="U572" s="96"/>
      <c r="V572" s="96"/>
      <c r="W572" s="96"/>
      <c r="X572" s="96"/>
      <c r="Y572" s="96"/>
      <c r="Z572" s="96"/>
      <c r="AA572" s="96"/>
      <c r="AB572" s="96"/>
      <c r="AC572" s="96"/>
      <c r="AD572" s="96"/>
    </row>
    <row r="573">
      <c r="A573" s="66"/>
      <c r="B573" s="103"/>
      <c r="C573" s="54"/>
      <c r="D573" s="66"/>
      <c r="E573" s="66"/>
      <c r="F573" s="100"/>
      <c r="G573" s="100">
        <v>46023.0</v>
      </c>
      <c r="H573" s="58">
        <v>0.0</v>
      </c>
      <c r="I573" s="66"/>
      <c r="J573" s="66"/>
      <c r="K573" s="66"/>
      <c r="L573" s="104"/>
      <c r="M573" s="66"/>
      <c r="N573" s="100"/>
      <c r="O573" s="55"/>
      <c r="P573" s="215"/>
      <c r="Q573" s="100"/>
      <c r="R573" s="96"/>
      <c r="S573" s="96"/>
      <c r="T573" s="96"/>
      <c r="U573" s="96"/>
      <c r="V573" s="96"/>
      <c r="W573" s="96"/>
      <c r="X573" s="96"/>
      <c r="Y573" s="96"/>
      <c r="Z573" s="96"/>
      <c r="AA573" s="96"/>
      <c r="AB573" s="96"/>
      <c r="AC573" s="96"/>
      <c r="AD573" s="96"/>
    </row>
    <row r="574">
      <c r="A574" s="66"/>
      <c r="B574" s="103"/>
      <c r="C574" s="54"/>
      <c r="D574" s="66"/>
      <c r="E574" s="66"/>
      <c r="F574" s="100"/>
      <c r="G574" s="100">
        <v>46023.0</v>
      </c>
      <c r="H574" s="58">
        <v>0.0</v>
      </c>
      <c r="I574" s="66"/>
      <c r="J574" s="66"/>
      <c r="K574" s="66"/>
      <c r="L574" s="104"/>
      <c r="M574" s="66"/>
      <c r="N574" s="100"/>
      <c r="O574" s="55"/>
      <c r="P574" s="215"/>
      <c r="Q574" s="100"/>
      <c r="R574" s="96"/>
      <c r="S574" s="96"/>
      <c r="T574" s="96"/>
      <c r="U574" s="96"/>
      <c r="V574" s="96"/>
      <c r="W574" s="96"/>
      <c r="X574" s="96"/>
      <c r="Y574" s="96"/>
      <c r="Z574" s="96"/>
      <c r="AA574" s="96"/>
      <c r="AB574" s="96"/>
      <c r="AC574" s="96"/>
      <c r="AD574" s="96"/>
    </row>
    <row r="575">
      <c r="A575" s="66"/>
      <c r="B575" s="103"/>
      <c r="C575" s="54"/>
      <c r="D575" s="66"/>
      <c r="E575" s="66"/>
      <c r="F575" s="100"/>
      <c r="G575" s="100">
        <v>46023.0</v>
      </c>
      <c r="H575" s="58">
        <v>0.0</v>
      </c>
      <c r="I575" s="66"/>
      <c r="J575" s="66"/>
      <c r="K575" s="66"/>
      <c r="L575" s="104"/>
      <c r="M575" s="66"/>
      <c r="N575" s="100"/>
      <c r="O575" s="55"/>
      <c r="P575" s="215"/>
      <c r="Q575" s="100"/>
      <c r="R575" s="96"/>
      <c r="S575" s="96"/>
      <c r="T575" s="96"/>
      <c r="U575" s="96"/>
      <c r="V575" s="96"/>
      <c r="W575" s="96"/>
      <c r="X575" s="96"/>
      <c r="Y575" s="96"/>
      <c r="Z575" s="96"/>
      <c r="AA575" s="96"/>
      <c r="AB575" s="96"/>
      <c r="AC575" s="96"/>
      <c r="AD575" s="96"/>
    </row>
    <row r="576">
      <c r="A576" s="66"/>
      <c r="B576" s="103"/>
      <c r="C576" s="54"/>
      <c r="D576" s="66"/>
      <c r="E576" s="66"/>
      <c r="F576" s="100"/>
      <c r="G576" s="100">
        <v>46023.0</v>
      </c>
      <c r="H576" s="58">
        <v>0.0</v>
      </c>
      <c r="I576" s="66"/>
      <c r="J576" s="66"/>
      <c r="K576" s="66"/>
      <c r="L576" s="104"/>
      <c r="M576" s="66"/>
      <c r="N576" s="100"/>
      <c r="O576" s="55"/>
      <c r="P576" s="215"/>
      <c r="Q576" s="100"/>
      <c r="R576" s="96"/>
      <c r="S576" s="96"/>
      <c r="T576" s="96"/>
      <c r="U576" s="96"/>
      <c r="V576" s="96"/>
      <c r="W576" s="96"/>
      <c r="X576" s="96"/>
      <c r="Y576" s="96"/>
      <c r="Z576" s="96"/>
      <c r="AA576" s="96"/>
      <c r="AB576" s="96"/>
      <c r="AC576" s="96"/>
      <c r="AD576" s="96"/>
    </row>
    <row r="577">
      <c r="A577" s="66"/>
      <c r="B577" s="103"/>
      <c r="C577" s="54"/>
      <c r="D577" s="66"/>
      <c r="E577" s="66"/>
      <c r="F577" s="100"/>
      <c r="G577" s="100">
        <v>46023.0</v>
      </c>
      <c r="H577" s="58">
        <v>0.0</v>
      </c>
      <c r="I577" s="66"/>
      <c r="J577" s="66"/>
      <c r="K577" s="66"/>
      <c r="L577" s="104"/>
      <c r="M577" s="66"/>
      <c r="N577" s="100"/>
      <c r="O577" s="55"/>
      <c r="P577" s="215"/>
      <c r="Q577" s="100"/>
      <c r="R577" s="96"/>
      <c r="S577" s="96"/>
      <c r="T577" s="96"/>
      <c r="U577" s="96"/>
      <c r="V577" s="96"/>
      <c r="W577" s="96"/>
      <c r="X577" s="96"/>
      <c r="Y577" s="96"/>
      <c r="Z577" s="96"/>
      <c r="AA577" s="96"/>
      <c r="AB577" s="96"/>
      <c r="AC577" s="96"/>
      <c r="AD577" s="96"/>
    </row>
    <row r="578">
      <c r="A578" s="66"/>
      <c r="B578" s="103"/>
      <c r="C578" s="54"/>
      <c r="D578" s="66"/>
      <c r="E578" s="66"/>
      <c r="F578" s="100"/>
      <c r="G578" s="100">
        <v>46023.0</v>
      </c>
      <c r="H578" s="58">
        <v>0.0</v>
      </c>
      <c r="I578" s="66"/>
      <c r="J578" s="66"/>
      <c r="K578" s="66"/>
      <c r="L578" s="104"/>
      <c r="M578" s="66"/>
      <c r="N578" s="100"/>
      <c r="O578" s="55"/>
      <c r="P578" s="215"/>
      <c r="Q578" s="100"/>
      <c r="R578" s="96"/>
      <c r="S578" s="96"/>
      <c r="T578" s="96"/>
      <c r="U578" s="96"/>
      <c r="V578" s="96"/>
      <c r="W578" s="96"/>
      <c r="X578" s="96"/>
      <c r="Y578" s="96"/>
      <c r="Z578" s="96"/>
      <c r="AA578" s="96"/>
      <c r="AB578" s="96"/>
      <c r="AC578" s="96"/>
      <c r="AD578" s="96"/>
    </row>
    <row r="579">
      <c r="A579" s="66"/>
      <c r="B579" s="103"/>
      <c r="C579" s="54"/>
      <c r="D579" s="66"/>
      <c r="E579" s="66"/>
      <c r="F579" s="100"/>
      <c r="G579" s="100">
        <v>46023.0</v>
      </c>
      <c r="H579" s="58">
        <v>0.0</v>
      </c>
      <c r="I579" s="66"/>
      <c r="J579" s="66"/>
      <c r="K579" s="66"/>
      <c r="L579" s="104"/>
      <c r="M579" s="66"/>
      <c r="N579" s="100"/>
      <c r="O579" s="55"/>
      <c r="P579" s="215"/>
      <c r="Q579" s="100"/>
      <c r="R579" s="96"/>
      <c r="S579" s="96"/>
      <c r="T579" s="96"/>
      <c r="U579" s="96"/>
      <c r="V579" s="96"/>
      <c r="W579" s="96"/>
      <c r="X579" s="96"/>
      <c r="Y579" s="96"/>
      <c r="Z579" s="96"/>
      <c r="AA579" s="96"/>
      <c r="AB579" s="96"/>
      <c r="AC579" s="96"/>
      <c r="AD579" s="96"/>
    </row>
    <row r="580">
      <c r="A580" s="66"/>
      <c r="B580" s="103"/>
      <c r="C580" s="54"/>
      <c r="D580" s="66"/>
      <c r="E580" s="66"/>
      <c r="F580" s="100"/>
      <c r="G580" s="100">
        <v>46023.0</v>
      </c>
      <c r="H580" s="58">
        <v>0.0</v>
      </c>
      <c r="I580" s="66"/>
      <c r="J580" s="66"/>
      <c r="K580" s="66"/>
      <c r="L580" s="104"/>
      <c r="M580" s="66"/>
      <c r="N580" s="100"/>
      <c r="O580" s="55"/>
      <c r="P580" s="215"/>
      <c r="Q580" s="100"/>
      <c r="R580" s="96"/>
      <c r="S580" s="96"/>
      <c r="T580" s="96"/>
      <c r="U580" s="96"/>
      <c r="V580" s="96"/>
      <c r="W580" s="96"/>
      <c r="X580" s="96"/>
      <c r="Y580" s="96"/>
      <c r="Z580" s="96"/>
      <c r="AA580" s="96"/>
      <c r="AB580" s="96"/>
      <c r="AC580" s="96"/>
      <c r="AD580" s="96"/>
    </row>
    <row r="581">
      <c r="A581" s="66"/>
      <c r="B581" s="103"/>
      <c r="C581" s="54"/>
      <c r="D581" s="66"/>
      <c r="E581" s="66"/>
      <c r="F581" s="100"/>
      <c r="G581" s="100">
        <v>46023.0</v>
      </c>
      <c r="H581" s="58">
        <v>0.0</v>
      </c>
      <c r="I581" s="66"/>
      <c r="J581" s="66"/>
      <c r="K581" s="66"/>
      <c r="L581" s="104"/>
      <c r="M581" s="66"/>
      <c r="N581" s="100"/>
      <c r="O581" s="55"/>
      <c r="P581" s="215"/>
      <c r="Q581" s="100"/>
      <c r="R581" s="96"/>
      <c r="S581" s="96"/>
      <c r="T581" s="96"/>
      <c r="U581" s="96"/>
      <c r="V581" s="96"/>
      <c r="W581" s="96"/>
      <c r="X581" s="96"/>
      <c r="Y581" s="96"/>
      <c r="Z581" s="96"/>
      <c r="AA581" s="96"/>
      <c r="AB581" s="96"/>
      <c r="AC581" s="96"/>
      <c r="AD581" s="96"/>
    </row>
    <row r="582">
      <c r="A582" s="66"/>
      <c r="B582" s="103"/>
      <c r="C582" s="54"/>
      <c r="D582" s="66"/>
      <c r="E582" s="66"/>
      <c r="F582" s="100"/>
      <c r="G582" s="100">
        <v>46023.0</v>
      </c>
      <c r="H582" s="58">
        <v>0.0</v>
      </c>
      <c r="I582" s="66"/>
      <c r="J582" s="66"/>
      <c r="K582" s="66"/>
      <c r="L582" s="104"/>
      <c r="M582" s="66"/>
      <c r="N582" s="100"/>
      <c r="O582" s="55"/>
      <c r="P582" s="215"/>
      <c r="Q582" s="100"/>
      <c r="R582" s="96"/>
      <c r="S582" s="96"/>
      <c r="T582" s="96"/>
      <c r="U582" s="96"/>
      <c r="V582" s="96"/>
      <c r="W582" s="96"/>
      <c r="X582" s="96"/>
      <c r="Y582" s="96"/>
      <c r="Z582" s="96"/>
      <c r="AA582" s="96"/>
      <c r="AB582" s="96"/>
      <c r="AC582" s="96"/>
      <c r="AD582" s="96"/>
    </row>
    <row r="583">
      <c r="A583" s="66"/>
      <c r="B583" s="103"/>
      <c r="C583" s="54"/>
      <c r="D583" s="66"/>
      <c r="E583" s="66"/>
      <c r="F583" s="100"/>
      <c r="G583" s="100">
        <v>46023.0</v>
      </c>
      <c r="H583" s="58">
        <v>0.0</v>
      </c>
      <c r="I583" s="66"/>
      <c r="J583" s="66"/>
      <c r="K583" s="66"/>
      <c r="L583" s="104"/>
      <c r="M583" s="66"/>
      <c r="N583" s="100"/>
      <c r="O583" s="55"/>
      <c r="P583" s="215"/>
      <c r="Q583" s="100"/>
      <c r="R583" s="96"/>
      <c r="S583" s="96"/>
      <c r="T583" s="96"/>
      <c r="U583" s="96"/>
      <c r="V583" s="96"/>
      <c r="W583" s="96"/>
      <c r="X583" s="96"/>
      <c r="Y583" s="96"/>
      <c r="Z583" s="96"/>
      <c r="AA583" s="96"/>
      <c r="AB583" s="96"/>
      <c r="AC583" s="96"/>
      <c r="AD583" s="96"/>
    </row>
    <row r="584">
      <c r="A584" s="66"/>
      <c r="B584" s="103"/>
      <c r="C584" s="54"/>
      <c r="D584" s="66"/>
      <c r="E584" s="66"/>
      <c r="F584" s="100"/>
      <c r="G584" s="100">
        <v>46023.0</v>
      </c>
      <c r="H584" s="58">
        <v>0.0</v>
      </c>
      <c r="I584" s="66"/>
      <c r="J584" s="66"/>
      <c r="K584" s="66"/>
      <c r="L584" s="104"/>
      <c r="M584" s="66"/>
      <c r="N584" s="100"/>
      <c r="O584" s="55"/>
      <c r="P584" s="215"/>
      <c r="Q584" s="100"/>
      <c r="R584" s="96"/>
      <c r="S584" s="96"/>
      <c r="T584" s="96"/>
      <c r="U584" s="96"/>
      <c r="V584" s="96"/>
      <c r="W584" s="96"/>
      <c r="X584" s="96"/>
      <c r="Y584" s="96"/>
      <c r="Z584" s="96"/>
      <c r="AA584" s="96"/>
      <c r="AB584" s="96"/>
      <c r="AC584" s="96"/>
      <c r="AD584" s="96"/>
    </row>
    <row r="585">
      <c r="A585" s="66"/>
      <c r="B585" s="103"/>
      <c r="C585" s="54"/>
      <c r="D585" s="66"/>
      <c r="E585" s="66"/>
      <c r="F585" s="100"/>
      <c r="G585" s="100">
        <v>46023.0</v>
      </c>
      <c r="H585" s="58">
        <v>0.0</v>
      </c>
      <c r="I585" s="66"/>
      <c r="J585" s="66"/>
      <c r="K585" s="66"/>
      <c r="L585" s="104"/>
      <c r="M585" s="66"/>
      <c r="N585" s="100"/>
      <c r="O585" s="55"/>
      <c r="P585" s="215"/>
      <c r="Q585" s="100"/>
      <c r="R585" s="96"/>
      <c r="S585" s="96"/>
      <c r="T585" s="96"/>
      <c r="U585" s="96"/>
      <c r="V585" s="96"/>
      <c r="W585" s="96"/>
      <c r="X585" s="96"/>
      <c r="Y585" s="96"/>
      <c r="Z585" s="96"/>
      <c r="AA585" s="96"/>
      <c r="AB585" s="96"/>
      <c r="AC585" s="96"/>
      <c r="AD585" s="96"/>
    </row>
    <row r="586">
      <c r="A586" s="66"/>
      <c r="B586" s="103"/>
      <c r="C586" s="54"/>
      <c r="D586" s="66"/>
      <c r="E586" s="66"/>
      <c r="F586" s="100"/>
      <c r="G586" s="100">
        <v>46023.0</v>
      </c>
      <c r="H586" s="58">
        <v>0.0</v>
      </c>
      <c r="I586" s="66"/>
      <c r="J586" s="66"/>
      <c r="K586" s="66"/>
      <c r="L586" s="104"/>
      <c r="M586" s="66"/>
      <c r="N586" s="100"/>
      <c r="O586" s="55"/>
      <c r="P586" s="215"/>
      <c r="Q586" s="100"/>
      <c r="R586" s="96"/>
      <c r="S586" s="96"/>
      <c r="T586" s="96"/>
      <c r="U586" s="96"/>
      <c r="V586" s="96"/>
      <c r="W586" s="96"/>
      <c r="X586" s="96"/>
      <c r="Y586" s="96"/>
      <c r="Z586" s="96"/>
      <c r="AA586" s="96"/>
      <c r="AB586" s="96"/>
      <c r="AC586" s="96"/>
      <c r="AD586" s="96"/>
    </row>
    <row r="587">
      <c r="A587" s="66"/>
      <c r="B587" s="103"/>
      <c r="C587" s="54"/>
      <c r="D587" s="66"/>
      <c r="E587" s="66"/>
      <c r="F587" s="100"/>
      <c r="G587" s="100">
        <v>46023.0</v>
      </c>
      <c r="H587" s="58">
        <v>0.0</v>
      </c>
      <c r="I587" s="66"/>
      <c r="J587" s="66"/>
      <c r="K587" s="66"/>
      <c r="L587" s="104"/>
      <c r="M587" s="66"/>
      <c r="N587" s="100"/>
      <c r="O587" s="55"/>
      <c r="P587" s="215"/>
      <c r="Q587" s="100"/>
      <c r="R587" s="96"/>
      <c r="S587" s="96"/>
      <c r="T587" s="96"/>
      <c r="U587" s="96"/>
      <c r="V587" s="96"/>
      <c r="W587" s="96"/>
      <c r="X587" s="96"/>
      <c r="Y587" s="96"/>
      <c r="Z587" s="96"/>
      <c r="AA587" s="96"/>
      <c r="AB587" s="96"/>
      <c r="AC587" s="96"/>
      <c r="AD587" s="96"/>
    </row>
    <row r="588">
      <c r="A588" s="66"/>
      <c r="B588" s="103"/>
      <c r="C588" s="54"/>
      <c r="D588" s="66"/>
      <c r="E588" s="66"/>
      <c r="F588" s="100"/>
      <c r="G588" s="100">
        <v>46023.0</v>
      </c>
      <c r="H588" s="58">
        <v>0.0</v>
      </c>
      <c r="I588" s="66"/>
      <c r="J588" s="66"/>
      <c r="K588" s="66"/>
      <c r="L588" s="104"/>
      <c r="M588" s="66"/>
      <c r="N588" s="100"/>
      <c r="O588" s="55"/>
      <c r="P588" s="215"/>
      <c r="Q588" s="100"/>
      <c r="R588" s="96"/>
      <c r="S588" s="96"/>
      <c r="T588" s="96"/>
      <c r="U588" s="96"/>
      <c r="V588" s="96"/>
      <c r="W588" s="96"/>
      <c r="X588" s="96"/>
      <c r="Y588" s="96"/>
      <c r="Z588" s="96"/>
      <c r="AA588" s="96"/>
      <c r="AB588" s="96"/>
      <c r="AC588" s="96"/>
      <c r="AD588" s="96"/>
    </row>
    <row r="589">
      <c r="A589" s="66"/>
      <c r="B589" s="103"/>
      <c r="C589" s="54"/>
      <c r="D589" s="66"/>
      <c r="E589" s="66"/>
      <c r="F589" s="100"/>
      <c r="G589" s="100">
        <v>46023.0</v>
      </c>
      <c r="H589" s="58">
        <v>0.0</v>
      </c>
      <c r="I589" s="66"/>
      <c r="J589" s="66"/>
      <c r="K589" s="66"/>
      <c r="L589" s="104"/>
      <c r="M589" s="66"/>
      <c r="N589" s="100"/>
      <c r="O589" s="55"/>
      <c r="P589" s="215"/>
      <c r="Q589" s="100"/>
      <c r="R589" s="96"/>
      <c r="S589" s="96"/>
      <c r="T589" s="96"/>
      <c r="U589" s="96"/>
      <c r="V589" s="96"/>
      <c r="W589" s="96"/>
      <c r="X589" s="96"/>
      <c r="Y589" s="96"/>
      <c r="Z589" s="96"/>
      <c r="AA589" s="96"/>
      <c r="AB589" s="96"/>
      <c r="AC589" s="96"/>
      <c r="AD589" s="96"/>
    </row>
    <row r="590">
      <c r="A590" s="66"/>
      <c r="B590" s="103"/>
      <c r="C590" s="54"/>
      <c r="D590" s="66"/>
      <c r="E590" s="66"/>
      <c r="F590" s="100"/>
      <c r="G590" s="100">
        <v>46023.0</v>
      </c>
      <c r="H590" s="58">
        <v>0.0</v>
      </c>
      <c r="I590" s="66"/>
      <c r="J590" s="66"/>
      <c r="K590" s="66"/>
      <c r="L590" s="104"/>
      <c r="M590" s="66"/>
      <c r="N590" s="100"/>
      <c r="O590" s="55"/>
      <c r="P590" s="215"/>
      <c r="Q590" s="100"/>
      <c r="R590" s="96"/>
      <c r="S590" s="96"/>
      <c r="T590" s="96"/>
      <c r="U590" s="96"/>
      <c r="V590" s="96"/>
      <c r="W590" s="96"/>
      <c r="X590" s="96"/>
      <c r="Y590" s="96"/>
      <c r="Z590" s="96"/>
      <c r="AA590" s="96"/>
      <c r="AB590" s="96"/>
      <c r="AC590" s="96"/>
      <c r="AD590" s="96"/>
    </row>
    <row r="591">
      <c r="A591" s="66"/>
      <c r="B591" s="103"/>
      <c r="C591" s="54"/>
      <c r="D591" s="66"/>
      <c r="E591" s="66"/>
      <c r="F591" s="100"/>
      <c r="G591" s="100">
        <v>46023.0</v>
      </c>
      <c r="H591" s="58">
        <v>0.0</v>
      </c>
      <c r="I591" s="66"/>
      <c r="J591" s="66"/>
      <c r="K591" s="66"/>
      <c r="L591" s="104"/>
      <c r="M591" s="66"/>
      <c r="N591" s="100"/>
      <c r="O591" s="55"/>
      <c r="P591" s="215"/>
      <c r="Q591" s="100"/>
      <c r="R591" s="96"/>
      <c r="S591" s="96"/>
      <c r="T591" s="96"/>
      <c r="U591" s="96"/>
      <c r="V591" s="96"/>
      <c r="W591" s="96"/>
      <c r="X591" s="96"/>
      <c r="Y591" s="96"/>
      <c r="Z591" s="96"/>
      <c r="AA591" s="96"/>
      <c r="AB591" s="96"/>
      <c r="AC591" s="96"/>
      <c r="AD591" s="96"/>
    </row>
    <row r="592">
      <c r="A592" s="66"/>
      <c r="B592" s="103"/>
      <c r="C592" s="54"/>
      <c r="D592" s="66"/>
      <c r="E592" s="66"/>
      <c r="F592" s="100"/>
      <c r="G592" s="100">
        <v>46023.0</v>
      </c>
      <c r="H592" s="58">
        <v>0.0</v>
      </c>
      <c r="I592" s="66"/>
      <c r="J592" s="66"/>
      <c r="K592" s="66"/>
      <c r="L592" s="104"/>
      <c r="M592" s="66"/>
      <c r="N592" s="100"/>
      <c r="O592" s="55"/>
      <c r="P592" s="215"/>
      <c r="Q592" s="100"/>
      <c r="R592" s="96"/>
      <c r="S592" s="96"/>
      <c r="T592" s="96"/>
      <c r="U592" s="96"/>
      <c r="V592" s="96"/>
      <c r="W592" s="96"/>
      <c r="X592" s="96"/>
      <c r="Y592" s="96"/>
      <c r="Z592" s="96"/>
      <c r="AA592" s="96"/>
      <c r="AB592" s="96"/>
      <c r="AC592" s="96"/>
      <c r="AD592" s="96"/>
    </row>
    <row r="593">
      <c r="A593" s="66"/>
      <c r="B593" s="103"/>
      <c r="C593" s="54"/>
      <c r="D593" s="66"/>
      <c r="E593" s="66"/>
      <c r="F593" s="100"/>
      <c r="G593" s="100">
        <v>46023.0</v>
      </c>
      <c r="H593" s="58">
        <v>0.0</v>
      </c>
      <c r="I593" s="66"/>
      <c r="J593" s="66"/>
      <c r="K593" s="66"/>
      <c r="L593" s="104"/>
      <c r="M593" s="66"/>
      <c r="N593" s="100"/>
      <c r="O593" s="55"/>
      <c r="P593" s="215"/>
      <c r="Q593" s="100"/>
      <c r="R593" s="96"/>
      <c r="S593" s="96"/>
      <c r="T593" s="96"/>
      <c r="U593" s="96"/>
      <c r="V593" s="96"/>
      <c r="W593" s="96"/>
      <c r="X593" s="96"/>
      <c r="Y593" s="96"/>
      <c r="Z593" s="96"/>
      <c r="AA593" s="96"/>
      <c r="AB593" s="96"/>
      <c r="AC593" s="96"/>
      <c r="AD593" s="96"/>
    </row>
    <row r="594">
      <c r="A594" s="66"/>
      <c r="B594" s="103"/>
      <c r="C594" s="54"/>
      <c r="D594" s="66"/>
      <c r="E594" s="66"/>
      <c r="F594" s="100"/>
      <c r="G594" s="100">
        <v>46023.0</v>
      </c>
      <c r="H594" s="58">
        <v>0.0</v>
      </c>
      <c r="I594" s="66"/>
      <c r="J594" s="66"/>
      <c r="K594" s="66"/>
      <c r="L594" s="104"/>
      <c r="M594" s="66"/>
      <c r="N594" s="100"/>
      <c r="O594" s="55"/>
      <c r="P594" s="215"/>
      <c r="Q594" s="100"/>
      <c r="R594" s="96"/>
      <c r="S594" s="96"/>
      <c r="T594" s="96"/>
      <c r="U594" s="96"/>
      <c r="V594" s="96"/>
      <c r="W594" s="96"/>
      <c r="X594" s="96"/>
      <c r="Y594" s="96"/>
      <c r="Z594" s="96"/>
      <c r="AA594" s="96"/>
      <c r="AB594" s="96"/>
      <c r="AC594" s="96"/>
      <c r="AD594" s="96"/>
    </row>
    <row r="595">
      <c r="A595" s="66"/>
      <c r="B595" s="103"/>
      <c r="C595" s="54"/>
      <c r="D595" s="66"/>
      <c r="E595" s="66"/>
      <c r="F595" s="100"/>
      <c r="G595" s="100">
        <v>46023.0</v>
      </c>
      <c r="H595" s="58">
        <v>0.0</v>
      </c>
      <c r="I595" s="66"/>
      <c r="J595" s="66"/>
      <c r="K595" s="66"/>
      <c r="L595" s="104"/>
      <c r="M595" s="66"/>
      <c r="N595" s="100"/>
      <c r="O595" s="55"/>
      <c r="P595" s="215"/>
      <c r="Q595" s="100"/>
      <c r="R595" s="96"/>
      <c r="S595" s="96"/>
      <c r="T595" s="96"/>
      <c r="U595" s="96"/>
      <c r="V595" s="96"/>
      <c r="W595" s="96"/>
      <c r="X595" s="96"/>
      <c r="Y595" s="96"/>
      <c r="Z595" s="96"/>
      <c r="AA595" s="96"/>
      <c r="AB595" s="96"/>
      <c r="AC595" s="96"/>
      <c r="AD595" s="96"/>
    </row>
    <row r="596">
      <c r="A596" s="66"/>
      <c r="B596" s="103"/>
      <c r="C596" s="54"/>
      <c r="D596" s="66"/>
      <c r="E596" s="66"/>
      <c r="F596" s="100"/>
      <c r="G596" s="100">
        <v>46023.0</v>
      </c>
      <c r="H596" s="58">
        <v>0.0</v>
      </c>
      <c r="I596" s="66"/>
      <c r="J596" s="66"/>
      <c r="K596" s="66"/>
      <c r="L596" s="104"/>
      <c r="M596" s="66"/>
      <c r="N596" s="100"/>
      <c r="O596" s="55"/>
      <c r="P596" s="215"/>
      <c r="Q596" s="100"/>
      <c r="R596" s="96"/>
      <c r="S596" s="96"/>
      <c r="T596" s="96"/>
      <c r="U596" s="96"/>
      <c r="V596" s="96"/>
      <c r="W596" s="96"/>
      <c r="X596" s="96"/>
      <c r="Y596" s="96"/>
      <c r="Z596" s="96"/>
      <c r="AA596" s="96"/>
      <c r="AB596" s="96"/>
      <c r="AC596" s="96"/>
      <c r="AD596" s="96"/>
    </row>
    <row r="597">
      <c r="A597" s="66"/>
      <c r="B597" s="103"/>
      <c r="C597" s="54"/>
      <c r="D597" s="66"/>
      <c r="E597" s="66"/>
      <c r="F597" s="100"/>
      <c r="G597" s="100">
        <v>46023.0</v>
      </c>
      <c r="H597" s="58">
        <v>0.0</v>
      </c>
      <c r="I597" s="66"/>
      <c r="J597" s="66"/>
      <c r="K597" s="66"/>
      <c r="L597" s="104"/>
      <c r="M597" s="66"/>
      <c r="N597" s="100"/>
      <c r="O597" s="55"/>
      <c r="P597" s="215"/>
      <c r="Q597" s="100"/>
      <c r="R597" s="96"/>
      <c r="S597" s="96"/>
      <c r="T597" s="96"/>
      <c r="U597" s="96"/>
      <c r="V597" s="96"/>
      <c r="W597" s="96"/>
      <c r="X597" s="96"/>
      <c r="Y597" s="96"/>
      <c r="Z597" s="96"/>
      <c r="AA597" s="96"/>
      <c r="AB597" s="96"/>
      <c r="AC597" s="96"/>
      <c r="AD597" s="96"/>
    </row>
    <row r="598">
      <c r="A598" s="66"/>
      <c r="B598" s="103"/>
      <c r="C598" s="54"/>
      <c r="D598" s="66"/>
      <c r="E598" s="66"/>
      <c r="F598" s="100"/>
      <c r="G598" s="100">
        <v>46023.0</v>
      </c>
      <c r="H598" s="58">
        <v>0.0</v>
      </c>
      <c r="I598" s="66"/>
      <c r="J598" s="66"/>
      <c r="K598" s="66"/>
      <c r="L598" s="104"/>
      <c r="M598" s="66"/>
      <c r="N598" s="100"/>
      <c r="O598" s="55"/>
      <c r="P598" s="215"/>
      <c r="Q598" s="100"/>
      <c r="R598" s="96"/>
      <c r="S598" s="96"/>
      <c r="T598" s="96"/>
      <c r="U598" s="96"/>
      <c r="V598" s="96"/>
      <c r="W598" s="96"/>
      <c r="X598" s="96"/>
      <c r="Y598" s="96"/>
      <c r="Z598" s="96"/>
      <c r="AA598" s="96"/>
      <c r="AB598" s="96"/>
      <c r="AC598" s="96"/>
      <c r="AD598" s="96"/>
    </row>
    <row r="599">
      <c r="A599" s="66"/>
      <c r="B599" s="103"/>
      <c r="C599" s="54"/>
      <c r="D599" s="66"/>
      <c r="E599" s="66"/>
      <c r="F599" s="100"/>
      <c r="G599" s="100">
        <v>46023.0</v>
      </c>
      <c r="H599" s="58">
        <v>0.0</v>
      </c>
      <c r="I599" s="66"/>
      <c r="J599" s="66"/>
      <c r="K599" s="66"/>
      <c r="L599" s="104"/>
      <c r="M599" s="66"/>
      <c r="N599" s="100"/>
      <c r="O599" s="55"/>
      <c r="P599" s="215"/>
      <c r="Q599" s="100"/>
      <c r="R599" s="96"/>
      <c r="S599" s="96"/>
      <c r="T599" s="96"/>
      <c r="U599" s="96"/>
      <c r="V599" s="96"/>
      <c r="W599" s="96"/>
      <c r="X599" s="96"/>
      <c r="Y599" s="96"/>
      <c r="Z599" s="96"/>
      <c r="AA599" s="96"/>
      <c r="AB599" s="96"/>
      <c r="AC599" s="96"/>
      <c r="AD599" s="96"/>
    </row>
    <row r="600">
      <c r="A600" s="66"/>
      <c r="B600" s="103"/>
      <c r="C600" s="54"/>
      <c r="D600" s="66"/>
      <c r="E600" s="66"/>
      <c r="F600" s="100"/>
      <c r="G600" s="100">
        <v>46023.0</v>
      </c>
      <c r="H600" s="58">
        <v>0.0</v>
      </c>
      <c r="I600" s="66"/>
      <c r="J600" s="66"/>
      <c r="K600" s="66"/>
      <c r="L600" s="104"/>
      <c r="M600" s="66"/>
      <c r="N600" s="100"/>
      <c r="O600" s="55"/>
      <c r="P600" s="215"/>
      <c r="Q600" s="100"/>
      <c r="R600" s="96"/>
      <c r="S600" s="96"/>
      <c r="T600" s="96"/>
      <c r="U600" s="96"/>
      <c r="V600" s="96"/>
      <c r="W600" s="96"/>
      <c r="X600" s="96"/>
      <c r="Y600" s="96"/>
      <c r="Z600" s="96"/>
      <c r="AA600" s="96"/>
      <c r="AB600" s="96"/>
      <c r="AC600" s="96"/>
      <c r="AD600" s="96"/>
    </row>
    <row r="601">
      <c r="A601" s="66"/>
      <c r="B601" s="103"/>
      <c r="C601" s="54"/>
      <c r="D601" s="66"/>
      <c r="E601" s="66"/>
      <c r="F601" s="100"/>
      <c r="G601" s="100">
        <v>46023.0</v>
      </c>
      <c r="H601" s="58">
        <v>0.0</v>
      </c>
      <c r="I601" s="66"/>
      <c r="J601" s="66"/>
      <c r="K601" s="66"/>
      <c r="L601" s="104"/>
      <c r="M601" s="66"/>
      <c r="N601" s="100"/>
      <c r="O601" s="55"/>
      <c r="P601" s="215"/>
      <c r="Q601" s="100"/>
      <c r="R601" s="96"/>
      <c r="S601" s="96"/>
      <c r="T601" s="96"/>
      <c r="U601" s="96"/>
      <c r="V601" s="96"/>
      <c r="W601" s="96"/>
      <c r="X601" s="96"/>
      <c r="Y601" s="96"/>
      <c r="Z601" s="96"/>
      <c r="AA601" s="96"/>
      <c r="AB601" s="96"/>
      <c r="AC601" s="96"/>
      <c r="AD601" s="96"/>
    </row>
    <row r="602">
      <c r="A602" s="66"/>
      <c r="B602" s="103"/>
      <c r="C602" s="54"/>
      <c r="D602" s="66"/>
      <c r="E602" s="66"/>
      <c r="F602" s="100"/>
      <c r="G602" s="100">
        <v>46023.0</v>
      </c>
      <c r="H602" s="58">
        <v>0.0</v>
      </c>
      <c r="I602" s="66"/>
      <c r="J602" s="66"/>
      <c r="K602" s="66"/>
      <c r="L602" s="104"/>
      <c r="M602" s="66"/>
      <c r="N602" s="100"/>
      <c r="O602" s="55"/>
      <c r="P602" s="215"/>
      <c r="Q602" s="100"/>
      <c r="R602" s="96"/>
      <c r="S602" s="96"/>
      <c r="T602" s="96"/>
      <c r="U602" s="96"/>
      <c r="V602" s="96"/>
      <c r="W602" s="96"/>
      <c r="X602" s="96"/>
      <c r="Y602" s="96"/>
      <c r="Z602" s="96"/>
      <c r="AA602" s="96"/>
      <c r="AB602" s="96"/>
      <c r="AC602" s="96"/>
      <c r="AD602" s="96"/>
    </row>
    <row r="603">
      <c r="A603" s="66"/>
      <c r="B603" s="103"/>
      <c r="C603" s="54"/>
      <c r="D603" s="66"/>
      <c r="E603" s="66"/>
      <c r="F603" s="100"/>
      <c r="G603" s="100">
        <v>46023.0</v>
      </c>
      <c r="H603" s="58">
        <v>0.0</v>
      </c>
      <c r="I603" s="66"/>
      <c r="J603" s="66"/>
      <c r="K603" s="66"/>
      <c r="L603" s="104"/>
      <c r="M603" s="66"/>
      <c r="N603" s="100"/>
      <c r="O603" s="55"/>
      <c r="P603" s="215"/>
      <c r="Q603" s="100"/>
      <c r="R603" s="96"/>
      <c r="S603" s="96"/>
      <c r="T603" s="96"/>
      <c r="U603" s="96"/>
      <c r="V603" s="96"/>
      <c r="W603" s="96"/>
      <c r="X603" s="96"/>
      <c r="Y603" s="96"/>
      <c r="Z603" s="96"/>
      <c r="AA603" s="96"/>
      <c r="AB603" s="96"/>
      <c r="AC603" s="96"/>
      <c r="AD603" s="96"/>
    </row>
    <row r="604">
      <c r="A604" s="66"/>
      <c r="B604" s="103"/>
      <c r="C604" s="54"/>
      <c r="D604" s="66"/>
      <c r="E604" s="66"/>
      <c r="F604" s="100"/>
      <c r="G604" s="100">
        <v>46023.0</v>
      </c>
      <c r="H604" s="58">
        <v>0.0</v>
      </c>
      <c r="I604" s="66"/>
      <c r="J604" s="66"/>
      <c r="K604" s="66"/>
      <c r="L604" s="104"/>
      <c r="M604" s="66"/>
      <c r="N604" s="100"/>
      <c r="O604" s="55"/>
      <c r="P604" s="215"/>
      <c r="Q604" s="100"/>
      <c r="R604" s="96"/>
      <c r="S604" s="96"/>
      <c r="T604" s="96"/>
      <c r="U604" s="96"/>
      <c r="V604" s="96"/>
      <c r="W604" s="96"/>
      <c r="X604" s="96"/>
      <c r="Y604" s="96"/>
      <c r="Z604" s="96"/>
      <c r="AA604" s="96"/>
      <c r="AB604" s="96"/>
      <c r="AC604" s="96"/>
      <c r="AD604" s="96"/>
    </row>
    <row r="605">
      <c r="A605" s="66"/>
      <c r="B605" s="103"/>
      <c r="C605" s="54"/>
      <c r="D605" s="66"/>
      <c r="E605" s="66"/>
      <c r="F605" s="100"/>
      <c r="G605" s="100">
        <v>46023.0</v>
      </c>
      <c r="H605" s="58">
        <v>0.0</v>
      </c>
      <c r="I605" s="66"/>
      <c r="J605" s="66"/>
      <c r="K605" s="66"/>
      <c r="L605" s="104"/>
      <c r="M605" s="66"/>
      <c r="N605" s="100"/>
      <c r="O605" s="55"/>
      <c r="P605" s="215"/>
      <c r="Q605" s="100"/>
      <c r="R605" s="96"/>
      <c r="S605" s="96"/>
      <c r="T605" s="96"/>
      <c r="U605" s="96"/>
      <c r="V605" s="96"/>
      <c r="W605" s="96"/>
      <c r="X605" s="96"/>
      <c r="Y605" s="96"/>
      <c r="Z605" s="96"/>
      <c r="AA605" s="96"/>
      <c r="AB605" s="96"/>
      <c r="AC605" s="96"/>
      <c r="AD605" s="96"/>
    </row>
    <row r="606">
      <c r="A606" s="66"/>
      <c r="B606" s="103"/>
      <c r="C606" s="54"/>
      <c r="D606" s="66"/>
      <c r="E606" s="66"/>
      <c r="F606" s="100"/>
      <c r="G606" s="100">
        <v>46023.0</v>
      </c>
      <c r="H606" s="58">
        <v>0.0</v>
      </c>
      <c r="I606" s="66"/>
      <c r="J606" s="66"/>
      <c r="K606" s="66"/>
      <c r="L606" s="104"/>
      <c r="M606" s="66"/>
      <c r="N606" s="100"/>
      <c r="O606" s="55"/>
      <c r="P606" s="215"/>
      <c r="Q606" s="100"/>
      <c r="R606" s="96"/>
      <c r="S606" s="96"/>
      <c r="T606" s="96"/>
      <c r="U606" s="96"/>
      <c r="V606" s="96"/>
      <c r="W606" s="96"/>
      <c r="X606" s="96"/>
      <c r="Y606" s="96"/>
      <c r="Z606" s="96"/>
      <c r="AA606" s="96"/>
      <c r="AB606" s="96"/>
      <c r="AC606" s="96"/>
      <c r="AD606" s="96"/>
    </row>
    <row r="607">
      <c r="A607" s="66"/>
      <c r="B607" s="103"/>
      <c r="C607" s="54"/>
      <c r="D607" s="66"/>
      <c r="E607" s="66"/>
      <c r="F607" s="100"/>
      <c r="G607" s="100">
        <v>46023.0</v>
      </c>
      <c r="H607" s="58">
        <v>0.0</v>
      </c>
      <c r="I607" s="66"/>
      <c r="J607" s="66"/>
      <c r="K607" s="66"/>
      <c r="L607" s="104"/>
      <c r="M607" s="66"/>
      <c r="N607" s="100"/>
      <c r="O607" s="55"/>
      <c r="P607" s="215"/>
      <c r="Q607" s="100"/>
      <c r="R607" s="96"/>
      <c r="S607" s="96"/>
      <c r="T607" s="96"/>
      <c r="U607" s="96"/>
      <c r="V607" s="96"/>
      <c r="W607" s="96"/>
      <c r="X607" s="96"/>
      <c r="Y607" s="96"/>
      <c r="Z607" s="96"/>
      <c r="AA607" s="96"/>
      <c r="AB607" s="96"/>
      <c r="AC607" s="96"/>
      <c r="AD607" s="96"/>
    </row>
    <row r="608">
      <c r="A608" s="66"/>
      <c r="B608" s="103"/>
      <c r="C608" s="54"/>
      <c r="D608" s="66"/>
      <c r="E608" s="66"/>
      <c r="F608" s="100"/>
      <c r="G608" s="100">
        <v>46023.0</v>
      </c>
      <c r="H608" s="58">
        <v>0.0</v>
      </c>
      <c r="I608" s="66"/>
      <c r="J608" s="66"/>
      <c r="K608" s="66"/>
      <c r="L608" s="104"/>
      <c r="M608" s="66"/>
      <c r="N608" s="100"/>
      <c r="O608" s="55"/>
      <c r="P608" s="215"/>
      <c r="Q608" s="100"/>
      <c r="R608" s="96"/>
      <c r="S608" s="96"/>
      <c r="T608" s="96"/>
      <c r="U608" s="96"/>
      <c r="V608" s="96"/>
      <c r="W608" s="96"/>
      <c r="X608" s="96"/>
      <c r="Y608" s="96"/>
      <c r="Z608" s="96"/>
      <c r="AA608" s="96"/>
      <c r="AB608" s="96"/>
      <c r="AC608" s="96"/>
      <c r="AD608" s="96"/>
    </row>
    <row r="609">
      <c r="A609" s="66"/>
      <c r="B609" s="103"/>
      <c r="C609" s="54"/>
      <c r="D609" s="66"/>
      <c r="E609" s="66"/>
      <c r="F609" s="100"/>
      <c r="G609" s="100">
        <v>46023.0</v>
      </c>
      <c r="H609" s="58">
        <v>0.0</v>
      </c>
      <c r="I609" s="66"/>
      <c r="J609" s="66"/>
      <c r="K609" s="66"/>
      <c r="L609" s="104"/>
      <c r="M609" s="66"/>
      <c r="N609" s="100"/>
      <c r="O609" s="55"/>
      <c r="P609" s="215"/>
      <c r="Q609" s="100"/>
      <c r="R609" s="96"/>
      <c r="S609" s="96"/>
      <c r="T609" s="96"/>
      <c r="U609" s="96"/>
      <c r="V609" s="96"/>
      <c r="W609" s="96"/>
      <c r="X609" s="96"/>
      <c r="Y609" s="96"/>
      <c r="Z609" s="96"/>
      <c r="AA609" s="96"/>
      <c r="AB609" s="96"/>
      <c r="AC609" s="96"/>
      <c r="AD609" s="96"/>
    </row>
    <row r="610">
      <c r="A610" s="66"/>
      <c r="B610" s="103"/>
      <c r="C610" s="54"/>
      <c r="D610" s="66"/>
      <c r="E610" s="66"/>
      <c r="F610" s="100"/>
      <c r="G610" s="100">
        <v>46023.0</v>
      </c>
      <c r="H610" s="58">
        <v>0.0</v>
      </c>
      <c r="I610" s="66"/>
      <c r="J610" s="66"/>
      <c r="K610" s="66"/>
      <c r="L610" s="104"/>
      <c r="M610" s="66"/>
      <c r="N610" s="100"/>
      <c r="O610" s="55"/>
      <c r="P610" s="215"/>
      <c r="Q610" s="100"/>
      <c r="R610" s="96"/>
      <c r="S610" s="96"/>
      <c r="T610" s="96"/>
      <c r="U610" s="96"/>
      <c r="V610" s="96"/>
      <c r="W610" s="96"/>
      <c r="X610" s="96"/>
      <c r="Y610" s="96"/>
      <c r="Z610" s="96"/>
      <c r="AA610" s="96"/>
      <c r="AB610" s="96"/>
      <c r="AC610" s="96"/>
      <c r="AD610" s="96"/>
    </row>
    <row r="611">
      <c r="A611" s="66"/>
      <c r="B611" s="103"/>
      <c r="C611" s="54"/>
      <c r="D611" s="66"/>
      <c r="E611" s="66"/>
      <c r="F611" s="100"/>
      <c r="G611" s="100">
        <v>46023.0</v>
      </c>
      <c r="H611" s="58">
        <v>0.0</v>
      </c>
      <c r="I611" s="66"/>
      <c r="J611" s="66"/>
      <c r="K611" s="66"/>
      <c r="L611" s="104"/>
      <c r="M611" s="66"/>
      <c r="N611" s="100"/>
      <c r="O611" s="55"/>
      <c r="P611" s="215"/>
      <c r="Q611" s="100"/>
      <c r="R611" s="96"/>
      <c r="S611" s="96"/>
      <c r="T611" s="96"/>
      <c r="U611" s="96"/>
      <c r="V611" s="96"/>
      <c r="W611" s="96"/>
      <c r="X611" s="96"/>
      <c r="Y611" s="96"/>
      <c r="Z611" s="96"/>
      <c r="AA611" s="96"/>
      <c r="AB611" s="96"/>
      <c r="AC611" s="96"/>
      <c r="AD611" s="96"/>
    </row>
    <row r="612">
      <c r="A612" s="66"/>
      <c r="B612" s="103"/>
      <c r="C612" s="54"/>
      <c r="D612" s="66"/>
      <c r="E612" s="66"/>
      <c r="F612" s="100"/>
      <c r="G612" s="100">
        <v>46023.0</v>
      </c>
      <c r="H612" s="58">
        <v>0.0</v>
      </c>
      <c r="I612" s="66"/>
      <c r="J612" s="66"/>
      <c r="K612" s="66"/>
      <c r="L612" s="104"/>
      <c r="M612" s="66"/>
      <c r="N612" s="100"/>
      <c r="O612" s="55"/>
      <c r="P612" s="215"/>
      <c r="Q612" s="100"/>
      <c r="R612" s="96"/>
      <c r="S612" s="96"/>
      <c r="T612" s="96"/>
      <c r="U612" s="96"/>
      <c r="V612" s="96"/>
      <c r="W612" s="96"/>
      <c r="X612" s="96"/>
      <c r="Y612" s="96"/>
      <c r="Z612" s="96"/>
      <c r="AA612" s="96"/>
      <c r="AB612" s="96"/>
      <c r="AC612" s="96"/>
      <c r="AD612" s="96"/>
    </row>
    <row r="613">
      <c r="A613" s="66"/>
      <c r="B613" s="103"/>
      <c r="C613" s="54"/>
      <c r="D613" s="66"/>
      <c r="E613" s="66"/>
      <c r="F613" s="100"/>
      <c r="G613" s="100">
        <v>46023.0</v>
      </c>
      <c r="H613" s="58">
        <v>0.0</v>
      </c>
      <c r="I613" s="66"/>
      <c r="J613" s="66"/>
      <c r="K613" s="66"/>
      <c r="L613" s="104"/>
      <c r="M613" s="66"/>
      <c r="N613" s="100"/>
      <c r="O613" s="55"/>
      <c r="P613" s="215"/>
      <c r="Q613" s="100"/>
      <c r="R613" s="96"/>
      <c r="S613" s="96"/>
      <c r="T613" s="96"/>
      <c r="U613" s="96"/>
      <c r="V613" s="96"/>
      <c r="W613" s="96"/>
      <c r="X613" s="96"/>
      <c r="Y613" s="96"/>
      <c r="Z613" s="96"/>
      <c r="AA613" s="96"/>
      <c r="AB613" s="96"/>
      <c r="AC613" s="96"/>
      <c r="AD613" s="96"/>
    </row>
    <row r="614">
      <c r="A614" s="66"/>
      <c r="B614" s="103"/>
      <c r="C614" s="54"/>
      <c r="D614" s="66"/>
      <c r="E614" s="66"/>
      <c r="F614" s="100"/>
      <c r="G614" s="100">
        <v>46023.0</v>
      </c>
      <c r="H614" s="58">
        <v>0.0</v>
      </c>
      <c r="I614" s="66"/>
      <c r="J614" s="66"/>
      <c r="K614" s="66"/>
      <c r="L614" s="104"/>
      <c r="M614" s="66"/>
      <c r="N614" s="100"/>
      <c r="O614" s="55"/>
      <c r="P614" s="215"/>
      <c r="Q614" s="100"/>
      <c r="R614" s="96"/>
      <c r="S614" s="96"/>
      <c r="T614" s="96"/>
      <c r="U614" s="96"/>
      <c r="V614" s="96"/>
      <c r="W614" s="96"/>
      <c r="X614" s="96"/>
      <c r="Y614" s="96"/>
      <c r="Z614" s="96"/>
      <c r="AA614" s="96"/>
      <c r="AB614" s="96"/>
      <c r="AC614" s="96"/>
      <c r="AD614" s="96"/>
    </row>
    <row r="615">
      <c r="A615" s="66"/>
      <c r="B615" s="103"/>
      <c r="C615" s="54"/>
      <c r="D615" s="66"/>
      <c r="E615" s="66"/>
      <c r="F615" s="100"/>
      <c r="G615" s="100">
        <v>46023.0</v>
      </c>
      <c r="H615" s="58">
        <v>0.0</v>
      </c>
      <c r="I615" s="66"/>
      <c r="J615" s="66"/>
      <c r="K615" s="66"/>
      <c r="L615" s="104"/>
      <c r="M615" s="66"/>
      <c r="N615" s="100"/>
      <c r="O615" s="55"/>
      <c r="P615" s="215"/>
      <c r="Q615" s="100"/>
      <c r="R615" s="96"/>
      <c r="S615" s="96"/>
      <c r="T615" s="96"/>
      <c r="U615" s="96"/>
      <c r="V615" s="96"/>
      <c r="W615" s="96"/>
      <c r="X615" s="96"/>
      <c r="Y615" s="96"/>
      <c r="Z615" s="96"/>
      <c r="AA615" s="96"/>
      <c r="AB615" s="96"/>
      <c r="AC615" s="96"/>
      <c r="AD615" s="96"/>
    </row>
    <row r="616">
      <c r="A616" s="66"/>
      <c r="B616" s="103"/>
      <c r="C616" s="54"/>
      <c r="D616" s="66"/>
      <c r="E616" s="66"/>
      <c r="F616" s="100"/>
      <c r="G616" s="100">
        <v>46023.0</v>
      </c>
      <c r="H616" s="58">
        <v>0.0</v>
      </c>
      <c r="I616" s="66"/>
      <c r="J616" s="66"/>
      <c r="K616" s="66"/>
      <c r="L616" s="104"/>
      <c r="M616" s="66"/>
      <c r="N616" s="100"/>
      <c r="O616" s="55"/>
      <c r="P616" s="215"/>
      <c r="Q616" s="100"/>
      <c r="R616" s="96"/>
      <c r="S616" s="96"/>
      <c r="T616" s="96"/>
      <c r="U616" s="96"/>
      <c r="V616" s="96"/>
      <c r="W616" s="96"/>
      <c r="X616" s="96"/>
      <c r="Y616" s="96"/>
      <c r="Z616" s="96"/>
      <c r="AA616" s="96"/>
      <c r="AB616" s="96"/>
      <c r="AC616" s="96"/>
      <c r="AD616" s="96"/>
    </row>
    <row r="617">
      <c r="A617" s="66"/>
      <c r="B617" s="103"/>
      <c r="C617" s="54"/>
      <c r="D617" s="66"/>
      <c r="E617" s="66"/>
      <c r="F617" s="100"/>
      <c r="G617" s="100">
        <v>46023.0</v>
      </c>
      <c r="H617" s="58">
        <v>0.0</v>
      </c>
      <c r="I617" s="66"/>
      <c r="J617" s="66"/>
      <c r="K617" s="66"/>
      <c r="L617" s="104"/>
      <c r="M617" s="66"/>
      <c r="N617" s="100"/>
      <c r="O617" s="55"/>
      <c r="P617" s="215"/>
      <c r="Q617" s="100"/>
      <c r="R617" s="96"/>
      <c r="S617" s="96"/>
      <c r="T617" s="96"/>
      <c r="U617" s="96"/>
      <c r="V617" s="96"/>
      <c r="W617" s="96"/>
      <c r="X617" s="96"/>
      <c r="Y617" s="96"/>
      <c r="Z617" s="96"/>
      <c r="AA617" s="96"/>
      <c r="AB617" s="96"/>
      <c r="AC617" s="96"/>
      <c r="AD617" s="96"/>
    </row>
    <row r="618">
      <c r="A618" s="66"/>
      <c r="B618" s="103"/>
      <c r="C618" s="54"/>
      <c r="D618" s="66"/>
      <c r="E618" s="66"/>
      <c r="F618" s="100"/>
      <c r="G618" s="100">
        <v>46023.0</v>
      </c>
      <c r="H618" s="58">
        <v>0.0</v>
      </c>
      <c r="I618" s="66"/>
      <c r="J618" s="66"/>
      <c r="K618" s="66"/>
      <c r="L618" s="104"/>
      <c r="M618" s="66"/>
      <c r="N618" s="100"/>
      <c r="O618" s="55"/>
      <c r="P618" s="215"/>
      <c r="Q618" s="100"/>
      <c r="R618" s="96"/>
      <c r="S618" s="96"/>
      <c r="T618" s="96"/>
      <c r="U618" s="96"/>
      <c r="V618" s="96"/>
      <c r="W618" s="96"/>
      <c r="X618" s="96"/>
      <c r="Y618" s="96"/>
      <c r="Z618" s="96"/>
      <c r="AA618" s="96"/>
      <c r="AB618" s="96"/>
      <c r="AC618" s="96"/>
      <c r="AD618" s="96"/>
    </row>
    <row r="619">
      <c r="A619" s="66"/>
      <c r="B619" s="103"/>
      <c r="C619" s="54"/>
      <c r="D619" s="66"/>
      <c r="E619" s="66"/>
      <c r="F619" s="100"/>
      <c r="G619" s="100">
        <v>46023.0</v>
      </c>
      <c r="H619" s="58">
        <v>0.0</v>
      </c>
      <c r="I619" s="66"/>
      <c r="J619" s="66"/>
      <c r="K619" s="66"/>
      <c r="L619" s="104"/>
      <c r="M619" s="66"/>
      <c r="N619" s="100"/>
      <c r="O619" s="55"/>
      <c r="P619" s="215"/>
      <c r="Q619" s="100"/>
      <c r="R619" s="96"/>
      <c r="S619" s="96"/>
      <c r="T619" s="96"/>
      <c r="U619" s="96"/>
      <c r="V619" s="96"/>
      <c r="W619" s="96"/>
      <c r="X619" s="96"/>
      <c r="Y619" s="96"/>
      <c r="Z619" s="96"/>
      <c r="AA619" s="96"/>
      <c r="AB619" s="96"/>
      <c r="AC619" s="96"/>
      <c r="AD619" s="96"/>
    </row>
    <row r="620">
      <c r="A620" s="66"/>
      <c r="B620" s="103"/>
      <c r="C620" s="54"/>
      <c r="D620" s="66"/>
      <c r="E620" s="66"/>
      <c r="F620" s="100"/>
      <c r="G620" s="100">
        <v>46023.0</v>
      </c>
      <c r="H620" s="58">
        <v>0.0</v>
      </c>
      <c r="I620" s="66"/>
      <c r="J620" s="66"/>
      <c r="K620" s="66"/>
      <c r="L620" s="104"/>
      <c r="M620" s="66"/>
      <c r="N620" s="100"/>
      <c r="O620" s="55"/>
      <c r="P620" s="215"/>
      <c r="Q620" s="100"/>
      <c r="R620" s="96"/>
      <c r="S620" s="96"/>
      <c r="T620" s="96"/>
      <c r="U620" s="96"/>
      <c r="V620" s="96"/>
      <c r="W620" s="96"/>
      <c r="X620" s="96"/>
      <c r="Y620" s="96"/>
      <c r="Z620" s="96"/>
      <c r="AA620" s="96"/>
      <c r="AB620" s="96"/>
      <c r="AC620" s="96"/>
      <c r="AD620" s="96"/>
    </row>
    <row r="621">
      <c r="A621" s="66"/>
      <c r="B621" s="103"/>
      <c r="C621" s="54"/>
      <c r="D621" s="66"/>
      <c r="E621" s="66"/>
      <c r="F621" s="100"/>
      <c r="G621" s="100">
        <v>46023.0</v>
      </c>
      <c r="H621" s="58">
        <v>0.0</v>
      </c>
      <c r="I621" s="66"/>
      <c r="J621" s="66"/>
      <c r="K621" s="66"/>
      <c r="L621" s="104"/>
      <c r="M621" s="66"/>
      <c r="N621" s="100"/>
      <c r="O621" s="55"/>
      <c r="P621" s="215"/>
      <c r="Q621" s="100"/>
      <c r="R621" s="96"/>
      <c r="S621" s="96"/>
      <c r="T621" s="96"/>
      <c r="U621" s="96"/>
      <c r="V621" s="96"/>
      <c r="W621" s="96"/>
      <c r="X621" s="96"/>
      <c r="Y621" s="96"/>
      <c r="Z621" s="96"/>
      <c r="AA621" s="96"/>
      <c r="AB621" s="96"/>
      <c r="AC621" s="96"/>
      <c r="AD621" s="96"/>
    </row>
    <row r="622">
      <c r="A622" s="66"/>
      <c r="B622" s="103"/>
      <c r="C622" s="54"/>
      <c r="D622" s="66"/>
      <c r="E622" s="66"/>
      <c r="F622" s="100"/>
      <c r="G622" s="100">
        <v>46023.0</v>
      </c>
      <c r="H622" s="58">
        <v>0.0</v>
      </c>
      <c r="I622" s="66"/>
      <c r="J622" s="66"/>
      <c r="K622" s="66"/>
      <c r="L622" s="104"/>
      <c r="M622" s="66"/>
      <c r="N622" s="100"/>
      <c r="O622" s="55"/>
      <c r="P622" s="215"/>
      <c r="Q622" s="100"/>
      <c r="R622" s="96"/>
      <c r="S622" s="96"/>
      <c r="T622" s="96"/>
      <c r="U622" s="96"/>
      <c r="V622" s="96"/>
      <c r="W622" s="96"/>
      <c r="X622" s="96"/>
      <c r="Y622" s="96"/>
      <c r="Z622" s="96"/>
      <c r="AA622" s="96"/>
      <c r="AB622" s="96"/>
      <c r="AC622" s="96"/>
      <c r="AD622" s="96"/>
    </row>
    <row r="623">
      <c r="A623" s="66"/>
      <c r="B623" s="103"/>
      <c r="C623" s="54"/>
      <c r="D623" s="66"/>
      <c r="E623" s="66"/>
      <c r="F623" s="100"/>
      <c r="G623" s="100">
        <v>46023.0</v>
      </c>
      <c r="H623" s="58">
        <v>0.0</v>
      </c>
      <c r="I623" s="66"/>
      <c r="J623" s="66"/>
      <c r="K623" s="66"/>
      <c r="L623" s="104"/>
      <c r="M623" s="66"/>
      <c r="N623" s="100"/>
      <c r="O623" s="55"/>
      <c r="P623" s="215"/>
      <c r="Q623" s="100"/>
      <c r="R623" s="96"/>
      <c r="S623" s="96"/>
      <c r="T623" s="96"/>
      <c r="U623" s="96"/>
      <c r="V623" s="96"/>
      <c r="W623" s="96"/>
      <c r="X623" s="96"/>
      <c r="Y623" s="96"/>
      <c r="Z623" s="96"/>
      <c r="AA623" s="96"/>
      <c r="AB623" s="96"/>
      <c r="AC623" s="96"/>
      <c r="AD623" s="96"/>
    </row>
    <row r="624">
      <c r="A624" s="66"/>
      <c r="B624" s="103"/>
      <c r="C624" s="54"/>
      <c r="D624" s="66"/>
      <c r="E624" s="66"/>
      <c r="F624" s="100"/>
      <c r="G624" s="100">
        <v>46023.0</v>
      </c>
      <c r="H624" s="58">
        <v>0.0</v>
      </c>
      <c r="I624" s="66"/>
      <c r="J624" s="66"/>
      <c r="K624" s="66"/>
      <c r="L624" s="104"/>
      <c r="M624" s="66"/>
      <c r="N624" s="100"/>
      <c r="O624" s="55"/>
      <c r="P624" s="215"/>
      <c r="Q624" s="100"/>
      <c r="R624" s="96"/>
      <c r="S624" s="96"/>
      <c r="T624" s="96"/>
      <c r="U624" s="96"/>
      <c r="V624" s="96"/>
      <c r="W624" s="96"/>
      <c r="X624" s="96"/>
      <c r="Y624" s="96"/>
      <c r="Z624" s="96"/>
      <c r="AA624" s="96"/>
      <c r="AB624" s="96"/>
      <c r="AC624" s="96"/>
      <c r="AD624" s="96"/>
    </row>
    <row r="625">
      <c r="A625" s="66"/>
      <c r="B625" s="103"/>
      <c r="C625" s="54"/>
      <c r="D625" s="66"/>
      <c r="E625" s="66"/>
      <c r="F625" s="100"/>
      <c r="G625" s="100">
        <v>46023.0</v>
      </c>
      <c r="H625" s="58">
        <v>0.0</v>
      </c>
      <c r="I625" s="66"/>
      <c r="J625" s="66"/>
      <c r="K625" s="66"/>
      <c r="L625" s="104"/>
      <c r="M625" s="66"/>
      <c r="N625" s="100"/>
      <c r="O625" s="55"/>
      <c r="P625" s="215"/>
      <c r="Q625" s="100"/>
      <c r="R625" s="96"/>
      <c r="S625" s="96"/>
      <c r="T625" s="96"/>
      <c r="U625" s="96"/>
      <c r="V625" s="96"/>
      <c r="W625" s="96"/>
      <c r="X625" s="96"/>
      <c r="Y625" s="96"/>
      <c r="Z625" s="96"/>
      <c r="AA625" s="96"/>
      <c r="AB625" s="96"/>
      <c r="AC625" s="96"/>
      <c r="AD625" s="96"/>
    </row>
    <row r="626">
      <c r="A626" s="66"/>
      <c r="B626" s="103"/>
      <c r="C626" s="54"/>
      <c r="D626" s="66"/>
      <c r="E626" s="66"/>
      <c r="F626" s="100"/>
      <c r="G626" s="100">
        <v>46023.0</v>
      </c>
      <c r="H626" s="58">
        <v>0.0</v>
      </c>
      <c r="I626" s="66"/>
      <c r="J626" s="66"/>
      <c r="K626" s="66"/>
      <c r="L626" s="104"/>
      <c r="M626" s="66"/>
      <c r="N626" s="100"/>
      <c r="O626" s="55"/>
      <c r="P626" s="215"/>
      <c r="Q626" s="100"/>
      <c r="R626" s="96"/>
      <c r="S626" s="96"/>
      <c r="T626" s="96"/>
      <c r="U626" s="96"/>
      <c r="V626" s="96"/>
      <c r="W626" s="96"/>
      <c r="X626" s="96"/>
      <c r="Y626" s="96"/>
      <c r="Z626" s="96"/>
      <c r="AA626" s="96"/>
      <c r="AB626" s="96"/>
      <c r="AC626" s="96"/>
      <c r="AD626" s="96"/>
    </row>
    <row r="627">
      <c r="A627" s="66"/>
      <c r="B627" s="103"/>
      <c r="C627" s="54"/>
      <c r="D627" s="66"/>
      <c r="E627" s="66"/>
      <c r="F627" s="100"/>
      <c r="G627" s="100">
        <v>46023.0</v>
      </c>
      <c r="H627" s="58">
        <v>0.0</v>
      </c>
      <c r="I627" s="66"/>
      <c r="J627" s="66"/>
      <c r="K627" s="66"/>
      <c r="L627" s="104"/>
      <c r="M627" s="66"/>
      <c r="N627" s="100"/>
      <c r="O627" s="55"/>
      <c r="P627" s="215"/>
      <c r="Q627" s="100"/>
      <c r="R627" s="96"/>
      <c r="S627" s="96"/>
      <c r="T627" s="96"/>
      <c r="U627" s="96"/>
      <c r="V627" s="96"/>
      <c r="W627" s="96"/>
      <c r="X627" s="96"/>
      <c r="Y627" s="96"/>
      <c r="Z627" s="96"/>
      <c r="AA627" s="96"/>
      <c r="AB627" s="96"/>
      <c r="AC627" s="96"/>
      <c r="AD627" s="96"/>
    </row>
    <row r="628">
      <c r="A628" s="66"/>
      <c r="B628" s="103"/>
      <c r="C628" s="54"/>
      <c r="D628" s="66"/>
      <c r="E628" s="66"/>
      <c r="F628" s="100"/>
      <c r="G628" s="100">
        <v>46023.0</v>
      </c>
      <c r="H628" s="58">
        <v>0.0</v>
      </c>
      <c r="I628" s="66"/>
      <c r="J628" s="66"/>
      <c r="K628" s="66"/>
      <c r="L628" s="104"/>
      <c r="M628" s="66"/>
      <c r="N628" s="100"/>
      <c r="O628" s="55"/>
      <c r="P628" s="215"/>
      <c r="Q628" s="100"/>
      <c r="R628" s="96"/>
      <c r="S628" s="96"/>
      <c r="T628" s="96"/>
      <c r="U628" s="96"/>
      <c r="V628" s="96"/>
      <c r="W628" s="96"/>
      <c r="X628" s="96"/>
      <c r="Y628" s="96"/>
      <c r="Z628" s="96"/>
      <c r="AA628" s="96"/>
      <c r="AB628" s="96"/>
      <c r="AC628" s="96"/>
      <c r="AD628" s="96"/>
    </row>
    <row r="629">
      <c r="A629" s="66"/>
      <c r="B629" s="103"/>
      <c r="C629" s="54"/>
      <c r="D629" s="66"/>
      <c r="E629" s="66"/>
      <c r="F629" s="100"/>
      <c r="G629" s="100">
        <v>46023.0</v>
      </c>
      <c r="H629" s="58">
        <v>0.0</v>
      </c>
      <c r="I629" s="66"/>
      <c r="J629" s="66"/>
      <c r="K629" s="66"/>
      <c r="L629" s="104"/>
      <c r="M629" s="66"/>
      <c r="N629" s="100"/>
      <c r="O629" s="55"/>
      <c r="P629" s="215"/>
      <c r="Q629" s="100"/>
      <c r="R629" s="96"/>
      <c r="S629" s="96"/>
      <c r="T629" s="96"/>
      <c r="U629" s="96"/>
      <c r="V629" s="96"/>
      <c r="W629" s="96"/>
      <c r="X629" s="96"/>
      <c r="Y629" s="96"/>
      <c r="Z629" s="96"/>
      <c r="AA629" s="96"/>
      <c r="AB629" s="96"/>
      <c r="AC629" s="96"/>
      <c r="AD629" s="96"/>
    </row>
    <row r="630">
      <c r="A630" s="66"/>
      <c r="B630" s="103"/>
      <c r="C630" s="54"/>
      <c r="D630" s="66"/>
      <c r="E630" s="66"/>
      <c r="F630" s="100"/>
      <c r="G630" s="100">
        <v>46023.0</v>
      </c>
      <c r="H630" s="58">
        <v>0.0</v>
      </c>
      <c r="I630" s="66"/>
      <c r="J630" s="66"/>
      <c r="K630" s="66"/>
      <c r="L630" s="104"/>
      <c r="M630" s="66"/>
      <c r="N630" s="100"/>
      <c r="O630" s="55"/>
      <c r="P630" s="215"/>
      <c r="Q630" s="100"/>
      <c r="R630" s="96"/>
      <c r="S630" s="96"/>
      <c r="T630" s="96"/>
      <c r="U630" s="96"/>
      <c r="V630" s="96"/>
      <c r="W630" s="96"/>
      <c r="X630" s="96"/>
      <c r="Y630" s="96"/>
      <c r="Z630" s="96"/>
      <c r="AA630" s="96"/>
      <c r="AB630" s="96"/>
      <c r="AC630" s="96"/>
      <c r="AD630" s="96"/>
    </row>
    <row r="631">
      <c r="A631" s="66"/>
      <c r="B631" s="103"/>
      <c r="C631" s="54"/>
      <c r="D631" s="66"/>
      <c r="E631" s="66"/>
      <c r="F631" s="100"/>
      <c r="G631" s="100">
        <v>46023.0</v>
      </c>
      <c r="H631" s="58">
        <v>0.0</v>
      </c>
      <c r="I631" s="66"/>
      <c r="J631" s="66"/>
      <c r="K631" s="66"/>
      <c r="L631" s="104"/>
      <c r="M631" s="66"/>
      <c r="N631" s="100"/>
      <c r="O631" s="55"/>
      <c r="P631" s="215"/>
      <c r="Q631" s="100"/>
      <c r="R631" s="96"/>
      <c r="S631" s="96"/>
      <c r="T631" s="96"/>
      <c r="U631" s="96"/>
      <c r="V631" s="96"/>
      <c r="W631" s="96"/>
      <c r="X631" s="96"/>
      <c r="Y631" s="96"/>
      <c r="Z631" s="96"/>
      <c r="AA631" s="96"/>
      <c r="AB631" s="96"/>
      <c r="AC631" s="96"/>
      <c r="AD631" s="96"/>
    </row>
    <row r="632">
      <c r="A632" s="66"/>
      <c r="B632" s="103"/>
      <c r="C632" s="54"/>
      <c r="D632" s="66"/>
      <c r="E632" s="66"/>
      <c r="F632" s="100"/>
      <c r="G632" s="100">
        <v>46023.0</v>
      </c>
      <c r="H632" s="58">
        <v>0.0</v>
      </c>
      <c r="I632" s="66"/>
      <c r="J632" s="66"/>
      <c r="K632" s="66"/>
      <c r="L632" s="104"/>
      <c r="M632" s="66"/>
      <c r="N632" s="100"/>
      <c r="O632" s="55"/>
      <c r="P632" s="215"/>
      <c r="Q632" s="100"/>
      <c r="R632" s="96"/>
      <c r="S632" s="96"/>
      <c r="T632" s="96"/>
      <c r="U632" s="96"/>
      <c r="V632" s="96"/>
      <c r="W632" s="96"/>
      <c r="X632" s="96"/>
      <c r="Y632" s="96"/>
      <c r="Z632" s="96"/>
      <c r="AA632" s="96"/>
      <c r="AB632" s="96"/>
      <c r="AC632" s="96"/>
      <c r="AD632" s="96"/>
    </row>
    <row r="633">
      <c r="A633" s="66"/>
      <c r="B633" s="103"/>
      <c r="C633" s="54"/>
      <c r="D633" s="66"/>
      <c r="E633" s="66"/>
      <c r="F633" s="100"/>
      <c r="G633" s="100">
        <v>46023.0</v>
      </c>
      <c r="H633" s="58">
        <v>0.0</v>
      </c>
      <c r="I633" s="66"/>
      <c r="J633" s="66"/>
      <c r="K633" s="66"/>
      <c r="L633" s="104"/>
      <c r="M633" s="66"/>
      <c r="N633" s="100"/>
      <c r="O633" s="55"/>
      <c r="P633" s="215"/>
      <c r="Q633" s="100"/>
      <c r="R633" s="96"/>
      <c r="S633" s="96"/>
      <c r="T633" s="96"/>
      <c r="U633" s="96"/>
      <c r="V633" s="96"/>
      <c r="W633" s="96"/>
      <c r="X633" s="96"/>
      <c r="Y633" s="96"/>
      <c r="Z633" s="96"/>
      <c r="AA633" s="96"/>
      <c r="AB633" s="96"/>
      <c r="AC633" s="96"/>
      <c r="AD633" s="96"/>
    </row>
    <row r="634">
      <c r="A634" s="66"/>
      <c r="B634" s="103"/>
      <c r="C634" s="54"/>
      <c r="D634" s="66"/>
      <c r="E634" s="66"/>
      <c r="F634" s="100"/>
      <c r="G634" s="100">
        <v>46023.0</v>
      </c>
      <c r="H634" s="58">
        <v>0.0</v>
      </c>
      <c r="I634" s="66"/>
      <c r="J634" s="66"/>
      <c r="K634" s="66"/>
      <c r="L634" s="104"/>
      <c r="M634" s="66"/>
      <c r="N634" s="100"/>
      <c r="O634" s="55"/>
      <c r="P634" s="215"/>
      <c r="Q634" s="100"/>
      <c r="R634" s="96"/>
      <c r="S634" s="96"/>
      <c r="T634" s="96"/>
      <c r="U634" s="96"/>
      <c r="V634" s="96"/>
      <c r="W634" s="96"/>
      <c r="X634" s="96"/>
      <c r="Y634" s="96"/>
      <c r="Z634" s="96"/>
      <c r="AA634" s="96"/>
      <c r="AB634" s="96"/>
      <c r="AC634" s="96"/>
      <c r="AD634" s="96"/>
    </row>
    <row r="635">
      <c r="A635" s="66"/>
      <c r="B635" s="103"/>
      <c r="C635" s="54"/>
      <c r="D635" s="66"/>
      <c r="E635" s="66"/>
      <c r="F635" s="100"/>
      <c r="G635" s="100">
        <v>46023.0</v>
      </c>
      <c r="H635" s="58">
        <v>0.0</v>
      </c>
      <c r="I635" s="66"/>
      <c r="J635" s="66"/>
      <c r="K635" s="66"/>
      <c r="L635" s="104"/>
      <c r="M635" s="66"/>
      <c r="N635" s="100"/>
      <c r="O635" s="55"/>
      <c r="P635" s="215"/>
      <c r="Q635" s="100"/>
      <c r="R635" s="96"/>
      <c r="S635" s="96"/>
      <c r="T635" s="96"/>
      <c r="U635" s="96"/>
      <c r="V635" s="96"/>
      <c r="W635" s="96"/>
      <c r="X635" s="96"/>
      <c r="Y635" s="96"/>
      <c r="Z635" s="96"/>
      <c r="AA635" s="96"/>
      <c r="AB635" s="96"/>
      <c r="AC635" s="96"/>
      <c r="AD635" s="96"/>
    </row>
    <row r="636">
      <c r="A636" s="66"/>
      <c r="B636" s="103"/>
      <c r="C636" s="54"/>
      <c r="D636" s="66"/>
      <c r="E636" s="66"/>
      <c r="F636" s="100"/>
      <c r="G636" s="100">
        <v>46023.0</v>
      </c>
      <c r="H636" s="58">
        <v>0.0</v>
      </c>
      <c r="I636" s="66"/>
      <c r="J636" s="66"/>
      <c r="K636" s="66"/>
      <c r="L636" s="104"/>
      <c r="M636" s="66"/>
      <c r="N636" s="100"/>
      <c r="O636" s="55"/>
      <c r="P636" s="215"/>
      <c r="Q636" s="100"/>
      <c r="R636" s="96"/>
      <c r="S636" s="96"/>
      <c r="T636" s="96"/>
      <c r="U636" s="96"/>
      <c r="V636" s="96"/>
      <c r="W636" s="96"/>
      <c r="X636" s="96"/>
      <c r="Y636" s="96"/>
      <c r="Z636" s="96"/>
      <c r="AA636" s="96"/>
      <c r="AB636" s="96"/>
      <c r="AC636" s="96"/>
      <c r="AD636" s="96"/>
    </row>
    <row r="637">
      <c r="A637" s="66"/>
      <c r="B637" s="103"/>
      <c r="C637" s="54"/>
      <c r="D637" s="66"/>
      <c r="E637" s="66"/>
      <c r="F637" s="100"/>
      <c r="G637" s="100">
        <v>46023.0</v>
      </c>
      <c r="H637" s="58">
        <v>0.0</v>
      </c>
      <c r="I637" s="66"/>
      <c r="J637" s="66"/>
      <c r="K637" s="66"/>
      <c r="L637" s="104"/>
      <c r="M637" s="66"/>
      <c r="N637" s="100"/>
      <c r="O637" s="55"/>
      <c r="P637" s="215"/>
      <c r="Q637" s="100"/>
      <c r="R637" s="96"/>
      <c r="S637" s="96"/>
      <c r="T637" s="96"/>
      <c r="U637" s="96"/>
      <c r="V637" s="96"/>
      <c r="W637" s="96"/>
      <c r="X637" s="96"/>
      <c r="Y637" s="96"/>
      <c r="Z637" s="96"/>
      <c r="AA637" s="96"/>
      <c r="AB637" s="96"/>
      <c r="AC637" s="96"/>
      <c r="AD637" s="96"/>
    </row>
    <row r="638">
      <c r="A638" s="66"/>
      <c r="B638" s="103"/>
      <c r="C638" s="54"/>
      <c r="D638" s="66"/>
      <c r="E638" s="66"/>
      <c r="F638" s="100"/>
      <c r="G638" s="100">
        <v>46023.0</v>
      </c>
      <c r="H638" s="58">
        <v>0.0</v>
      </c>
      <c r="I638" s="66"/>
      <c r="J638" s="66"/>
      <c r="K638" s="66"/>
      <c r="L638" s="104"/>
      <c r="M638" s="66"/>
      <c r="N638" s="100"/>
      <c r="O638" s="55"/>
      <c r="P638" s="215"/>
      <c r="Q638" s="100"/>
      <c r="R638" s="96"/>
      <c r="S638" s="96"/>
      <c r="T638" s="96"/>
      <c r="U638" s="96"/>
      <c r="V638" s="96"/>
      <c r="W638" s="96"/>
      <c r="X638" s="96"/>
      <c r="Y638" s="96"/>
      <c r="Z638" s="96"/>
      <c r="AA638" s="96"/>
      <c r="AB638" s="96"/>
      <c r="AC638" s="96"/>
      <c r="AD638" s="96"/>
    </row>
    <row r="639">
      <c r="A639" s="66"/>
      <c r="B639" s="103"/>
      <c r="C639" s="54"/>
      <c r="D639" s="66"/>
      <c r="E639" s="66"/>
      <c r="F639" s="100"/>
      <c r="G639" s="100">
        <v>46023.0</v>
      </c>
      <c r="H639" s="58">
        <v>0.0</v>
      </c>
      <c r="I639" s="66"/>
      <c r="J639" s="66"/>
      <c r="K639" s="66"/>
      <c r="L639" s="104"/>
      <c r="M639" s="66"/>
      <c r="N639" s="100"/>
      <c r="O639" s="55"/>
      <c r="P639" s="215"/>
      <c r="Q639" s="100"/>
      <c r="R639" s="96"/>
      <c r="S639" s="96"/>
      <c r="T639" s="96"/>
      <c r="U639" s="96"/>
      <c r="V639" s="96"/>
      <c r="W639" s="96"/>
      <c r="X639" s="96"/>
      <c r="Y639" s="96"/>
      <c r="Z639" s="96"/>
      <c r="AA639" s="96"/>
      <c r="AB639" s="96"/>
      <c r="AC639" s="96"/>
      <c r="AD639" s="96"/>
    </row>
    <row r="640">
      <c r="A640" s="66"/>
      <c r="B640" s="103"/>
      <c r="C640" s="54"/>
      <c r="D640" s="66"/>
      <c r="E640" s="66"/>
      <c r="F640" s="100"/>
      <c r="G640" s="100">
        <v>46023.0</v>
      </c>
      <c r="H640" s="58">
        <v>0.0</v>
      </c>
      <c r="I640" s="66"/>
      <c r="J640" s="66"/>
      <c r="K640" s="66"/>
      <c r="L640" s="104"/>
      <c r="M640" s="66"/>
      <c r="N640" s="100"/>
      <c r="O640" s="55"/>
      <c r="P640" s="215"/>
      <c r="Q640" s="100"/>
      <c r="R640" s="96"/>
      <c r="S640" s="96"/>
      <c r="T640" s="96"/>
      <c r="U640" s="96"/>
      <c r="V640" s="96"/>
      <c r="W640" s="96"/>
      <c r="X640" s="96"/>
      <c r="Y640" s="96"/>
      <c r="Z640" s="96"/>
      <c r="AA640" s="96"/>
      <c r="AB640" s="96"/>
      <c r="AC640" s="96"/>
      <c r="AD640" s="96"/>
    </row>
    <row r="641">
      <c r="A641" s="66"/>
      <c r="B641" s="103"/>
      <c r="C641" s="54"/>
      <c r="D641" s="66"/>
      <c r="E641" s="66"/>
      <c r="F641" s="100"/>
      <c r="G641" s="100">
        <v>46023.0</v>
      </c>
      <c r="H641" s="58">
        <v>0.0</v>
      </c>
      <c r="I641" s="66"/>
      <c r="J641" s="66"/>
      <c r="K641" s="66"/>
      <c r="L641" s="104"/>
      <c r="M641" s="66"/>
      <c r="N641" s="100"/>
      <c r="O641" s="55"/>
      <c r="P641" s="215"/>
      <c r="Q641" s="100"/>
      <c r="R641" s="96"/>
      <c r="S641" s="96"/>
      <c r="T641" s="96"/>
      <c r="U641" s="96"/>
      <c r="V641" s="96"/>
      <c r="W641" s="96"/>
      <c r="X641" s="96"/>
      <c r="Y641" s="96"/>
      <c r="Z641" s="96"/>
      <c r="AA641" s="96"/>
      <c r="AB641" s="96"/>
      <c r="AC641" s="96"/>
      <c r="AD641" s="96"/>
    </row>
    <row r="642">
      <c r="A642" s="66"/>
      <c r="B642" s="103"/>
      <c r="C642" s="54"/>
      <c r="D642" s="66"/>
      <c r="E642" s="66"/>
      <c r="F642" s="100"/>
      <c r="G642" s="100">
        <v>46023.0</v>
      </c>
      <c r="H642" s="58">
        <v>0.0</v>
      </c>
      <c r="I642" s="66"/>
      <c r="J642" s="66"/>
      <c r="K642" s="66"/>
      <c r="L642" s="104"/>
      <c r="M642" s="66"/>
      <c r="N642" s="100"/>
      <c r="O642" s="55"/>
      <c r="P642" s="215"/>
      <c r="Q642" s="100"/>
      <c r="R642" s="96"/>
      <c r="S642" s="96"/>
      <c r="T642" s="96"/>
      <c r="U642" s="96"/>
      <c r="V642" s="96"/>
      <c r="W642" s="96"/>
      <c r="X642" s="96"/>
      <c r="Y642" s="96"/>
      <c r="Z642" s="96"/>
      <c r="AA642" s="96"/>
      <c r="AB642" s="96"/>
      <c r="AC642" s="96"/>
      <c r="AD642" s="96"/>
    </row>
    <row r="643">
      <c r="A643" s="66"/>
      <c r="B643" s="103"/>
      <c r="C643" s="54"/>
      <c r="D643" s="66"/>
      <c r="E643" s="66"/>
      <c r="F643" s="100"/>
      <c r="G643" s="100">
        <v>46023.0</v>
      </c>
      <c r="H643" s="58">
        <v>0.0</v>
      </c>
      <c r="I643" s="66"/>
      <c r="J643" s="66"/>
      <c r="K643" s="66"/>
      <c r="L643" s="104"/>
      <c r="M643" s="66"/>
      <c r="N643" s="100"/>
      <c r="O643" s="55"/>
      <c r="P643" s="215"/>
      <c r="Q643" s="100"/>
      <c r="R643" s="96"/>
      <c r="S643" s="96"/>
      <c r="T643" s="96"/>
      <c r="U643" s="96"/>
      <c r="V643" s="96"/>
      <c r="W643" s="96"/>
      <c r="X643" s="96"/>
      <c r="Y643" s="96"/>
      <c r="Z643" s="96"/>
      <c r="AA643" s="96"/>
      <c r="AB643" s="96"/>
      <c r="AC643" s="96"/>
      <c r="AD643" s="96"/>
    </row>
    <row r="644">
      <c r="A644" s="66"/>
      <c r="B644" s="103"/>
      <c r="C644" s="54"/>
      <c r="D644" s="66"/>
      <c r="E644" s="66"/>
      <c r="F644" s="100"/>
      <c r="G644" s="100">
        <v>46023.0</v>
      </c>
      <c r="H644" s="58">
        <v>0.0</v>
      </c>
      <c r="I644" s="66"/>
      <c r="J644" s="66"/>
      <c r="K644" s="66"/>
      <c r="L644" s="104"/>
      <c r="M644" s="66"/>
      <c r="N644" s="100"/>
      <c r="O644" s="55"/>
      <c r="P644" s="215"/>
      <c r="Q644" s="100"/>
      <c r="R644" s="96"/>
      <c r="S644" s="96"/>
      <c r="T644" s="96"/>
      <c r="U644" s="96"/>
      <c r="V644" s="96"/>
      <c r="W644" s="96"/>
      <c r="X644" s="96"/>
      <c r="Y644" s="96"/>
      <c r="Z644" s="96"/>
      <c r="AA644" s="96"/>
      <c r="AB644" s="96"/>
      <c r="AC644" s="96"/>
      <c r="AD644" s="96"/>
    </row>
    <row r="645">
      <c r="A645" s="66"/>
      <c r="B645" s="103"/>
      <c r="C645" s="54"/>
      <c r="D645" s="66"/>
      <c r="E645" s="66"/>
      <c r="F645" s="100"/>
      <c r="G645" s="100">
        <v>46023.0</v>
      </c>
      <c r="H645" s="58">
        <v>0.0</v>
      </c>
      <c r="I645" s="66"/>
      <c r="J645" s="66"/>
      <c r="K645" s="66"/>
      <c r="L645" s="104"/>
      <c r="M645" s="66"/>
      <c r="N645" s="100"/>
      <c r="O645" s="55"/>
      <c r="P645" s="215"/>
      <c r="Q645" s="100"/>
      <c r="R645" s="96"/>
      <c r="S645" s="96"/>
      <c r="T645" s="96"/>
      <c r="U645" s="96"/>
      <c r="V645" s="96"/>
      <c r="W645" s="96"/>
      <c r="X645" s="96"/>
      <c r="Y645" s="96"/>
      <c r="Z645" s="96"/>
      <c r="AA645" s="96"/>
      <c r="AB645" s="96"/>
      <c r="AC645" s="96"/>
      <c r="AD645" s="96"/>
    </row>
    <row r="646">
      <c r="A646" s="66"/>
      <c r="B646" s="103"/>
      <c r="C646" s="54"/>
      <c r="D646" s="66"/>
      <c r="E646" s="66"/>
      <c r="F646" s="100"/>
      <c r="G646" s="100">
        <v>46023.0</v>
      </c>
      <c r="H646" s="58">
        <v>0.0</v>
      </c>
      <c r="I646" s="66"/>
      <c r="J646" s="66"/>
      <c r="K646" s="66"/>
      <c r="L646" s="104"/>
      <c r="M646" s="66"/>
      <c r="N646" s="100"/>
      <c r="O646" s="55"/>
      <c r="P646" s="215"/>
      <c r="Q646" s="100"/>
      <c r="R646" s="96"/>
      <c r="S646" s="96"/>
      <c r="T646" s="96"/>
      <c r="U646" s="96"/>
      <c r="V646" s="96"/>
      <c r="W646" s="96"/>
      <c r="X646" s="96"/>
      <c r="Y646" s="96"/>
      <c r="Z646" s="96"/>
      <c r="AA646" s="96"/>
      <c r="AB646" s="96"/>
      <c r="AC646" s="96"/>
      <c r="AD646" s="96"/>
    </row>
    <row r="647">
      <c r="A647" s="66"/>
      <c r="B647" s="103"/>
      <c r="C647" s="54"/>
      <c r="D647" s="66"/>
      <c r="E647" s="66"/>
      <c r="F647" s="100"/>
      <c r="G647" s="100">
        <v>46023.0</v>
      </c>
      <c r="H647" s="58">
        <v>0.0</v>
      </c>
      <c r="I647" s="66"/>
      <c r="J647" s="66"/>
      <c r="K647" s="66"/>
      <c r="L647" s="104"/>
      <c r="M647" s="66"/>
      <c r="N647" s="100"/>
      <c r="O647" s="55"/>
      <c r="P647" s="215"/>
      <c r="Q647" s="100"/>
      <c r="R647" s="96"/>
      <c r="S647" s="96"/>
      <c r="T647" s="96"/>
      <c r="U647" s="96"/>
      <c r="V647" s="96"/>
      <c r="W647" s="96"/>
      <c r="X647" s="96"/>
      <c r="Y647" s="96"/>
      <c r="Z647" s="96"/>
      <c r="AA647" s="96"/>
      <c r="AB647" s="96"/>
      <c r="AC647" s="96"/>
      <c r="AD647" s="96"/>
    </row>
    <row r="648">
      <c r="A648" s="66"/>
      <c r="B648" s="103"/>
      <c r="C648" s="54"/>
      <c r="D648" s="66"/>
      <c r="E648" s="66"/>
      <c r="F648" s="100"/>
      <c r="G648" s="100">
        <v>46023.0</v>
      </c>
      <c r="H648" s="58">
        <v>0.0</v>
      </c>
      <c r="I648" s="66"/>
      <c r="J648" s="66"/>
      <c r="K648" s="66"/>
      <c r="L648" s="104"/>
      <c r="M648" s="66"/>
      <c r="N648" s="100"/>
      <c r="O648" s="55"/>
      <c r="P648" s="215"/>
      <c r="Q648" s="100"/>
      <c r="R648" s="96"/>
      <c r="S648" s="96"/>
      <c r="T648" s="96"/>
      <c r="U648" s="96"/>
      <c r="V648" s="96"/>
      <c r="W648" s="96"/>
      <c r="X648" s="96"/>
      <c r="Y648" s="96"/>
      <c r="Z648" s="96"/>
      <c r="AA648" s="96"/>
      <c r="AB648" s="96"/>
      <c r="AC648" s="96"/>
      <c r="AD648" s="96"/>
    </row>
    <row r="649">
      <c r="A649" s="66"/>
      <c r="B649" s="103"/>
      <c r="C649" s="54"/>
      <c r="D649" s="66"/>
      <c r="E649" s="66"/>
      <c r="F649" s="100"/>
      <c r="G649" s="100">
        <v>46023.0</v>
      </c>
      <c r="H649" s="58">
        <v>0.0</v>
      </c>
      <c r="I649" s="66"/>
      <c r="J649" s="66"/>
      <c r="K649" s="66"/>
      <c r="L649" s="104"/>
      <c r="M649" s="66"/>
      <c r="N649" s="100"/>
      <c r="O649" s="55"/>
      <c r="P649" s="215"/>
      <c r="Q649" s="100"/>
      <c r="R649" s="96"/>
      <c r="S649" s="96"/>
      <c r="T649" s="96"/>
      <c r="U649" s="96"/>
      <c r="V649" s="96"/>
      <c r="W649" s="96"/>
      <c r="X649" s="96"/>
      <c r="Y649" s="96"/>
      <c r="Z649" s="96"/>
      <c r="AA649" s="96"/>
      <c r="AB649" s="96"/>
      <c r="AC649" s="96"/>
      <c r="AD649" s="96"/>
    </row>
    <row r="650">
      <c r="A650" s="66"/>
      <c r="B650" s="103"/>
      <c r="C650" s="54"/>
      <c r="D650" s="66"/>
      <c r="E650" s="66"/>
      <c r="F650" s="100"/>
      <c r="G650" s="100">
        <v>46023.0</v>
      </c>
      <c r="H650" s="58">
        <v>0.0</v>
      </c>
      <c r="I650" s="66"/>
      <c r="J650" s="66"/>
      <c r="K650" s="66"/>
      <c r="L650" s="104"/>
      <c r="M650" s="66"/>
      <c r="N650" s="100"/>
      <c r="O650" s="55"/>
      <c r="P650" s="215"/>
      <c r="Q650" s="100"/>
      <c r="R650" s="96"/>
      <c r="S650" s="96"/>
      <c r="T650" s="96"/>
      <c r="U650" s="96"/>
      <c r="V650" s="96"/>
      <c r="W650" s="96"/>
      <c r="X650" s="96"/>
      <c r="Y650" s="96"/>
      <c r="Z650" s="96"/>
      <c r="AA650" s="96"/>
      <c r="AB650" s="96"/>
      <c r="AC650" s="96"/>
      <c r="AD650" s="96"/>
    </row>
    <row r="651">
      <c r="A651" s="66"/>
      <c r="B651" s="103"/>
      <c r="C651" s="54"/>
      <c r="D651" s="66"/>
      <c r="E651" s="66"/>
      <c r="F651" s="100"/>
      <c r="G651" s="100">
        <v>46023.0</v>
      </c>
      <c r="H651" s="58">
        <v>0.0</v>
      </c>
      <c r="I651" s="66"/>
      <c r="J651" s="66"/>
      <c r="K651" s="66"/>
      <c r="L651" s="104"/>
      <c r="M651" s="66"/>
      <c r="N651" s="100"/>
      <c r="O651" s="55"/>
      <c r="P651" s="215"/>
      <c r="Q651" s="100"/>
      <c r="R651" s="96"/>
      <c r="S651" s="96"/>
      <c r="T651" s="96"/>
      <c r="U651" s="96"/>
      <c r="V651" s="96"/>
      <c r="W651" s="96"/>
      <c r="X651" s="96"/>
      <c r="Y651" s="96"/>
      <c r="Z651" s="96"/>
      <c r="AA651" s="96"/>
      <c r="AB651" s="96"/>
      <c r="AC651" s="96"/>
      <c r="AD651" s="96"/>
    </row>
    <row r="652">
      <c r="A652" s="66"/>
      <c r="B652" s="103"/>
      <c r="C652" s="54"/>
      <c r="D652" s="66"/>
      <c r="E652" s="66"/>
      <c r="F652" s="100"/>
      <c r="G652" s="100">
        <v>46023.0</v>
      </c>
      <c r="H652" s="58">
        <v>0.0</v>
      </c>
      <c r="I652" s="66"/>
      <c r="J652" s="66"/>
      <c r="K652" s="66"/>
      <c r="L652" s="104"/>
      <c r="M652" s="66"/>
      <c r="N652" s="100"/>
      <c r="O652" s="55"/>
      <c r="P652" s="215"/>
      <c r="Q652" s="100"/>
      <c r="R652" s="96"/>
      <c r="S652" s="96"/>
      <c r="T652" s="96"/>
      <c r="U652" s="96"/>
      <c r="V652" s="96"/>
      <c r="W652" s="96"/>
      <c r="X652" s="96"/>
      <c r="Y652" s="96"/>
      <c r="Z652" s="96"/>
      <c r="AA652" s="96"/>
      <c r="AB652" s="96"/>
      <c r="AC652" s="96"/>
      <c r="AD652" s="96"/>
    </row>
    <row r="653">
      <c r="A653" s="66"/>
      <c r="B653" s="103"/>
      <c r="C653" s="54"/>
      <c r="D653" s="66"/>
      <c r="E653" s="66"/>
      <c r="F653" s="100"/>
      <c r="G653" s="100">
        <v>46023.0</v>
      </c>
      <c r="H653" s="58">
        <v>0.0</v>
      </c>
      <c r="I653" s="66"/>
      <c r="J653" s="66"/>
      <c r="K653" s="66"/>
      <c r="L653" s="104"/>
      <c r="M653" s="66"/>
      <c r="N653" s="100"/>
      <c r="O653" s="55"/>
      <c r="P653" s="215"/>
      <c r="Q653" s="100"/>
      <c r="R653" s="96"/>
      <c r="S653" s="96"/>
      <c r="T653" s="96"/>
      <c r="U653" s="96"/>
      <c r="V653" s="96"/>
      <c r="W653" s="96"/>
      <c r="X653" s="96"/>
      <c r="Y653" s="96"/>
      <c r="Z653" s="96"/>
      <c r="AA653" s="96"/>
      <c r="AB653" s="96"/>
      <c r="AC653" s="96"/>
      <c r="AD653" s="96"/>
    </row>
    <row r="654">
      <c r="A654" s="66"/>
      <c r="B654" s="103"/>
      <c r="C654" s="54"/>
      <c r="D654" s="66"/>
      <c r="E654" s="66"/>
      <c r="F654" s="100"/>
      <c r="G654" s="100">
        <v>46023.0</v>
      </c>
      <c r="H654" s="58">
        <v>0.0</v>
      </c>
      <c r="I654" s="66"/>
      <c r="J654" s="66"/>
      <c r="K654" s="66"/>
      <c r="L654" s="104"/>
      <c r="M654" s="66"/>
      <c r="N654" s="100"/>
      <c r="O654" s="55"/>
      <c r="P654" s="215"/>
      <c r="Q654" s="100"/>
      <c r="R654" s="96"/>
      <c r="S654" s="96"/>
      <c r="T654" s="96"/>
      <c r="U654" s="96"/>
      <c r="V654" s="96"/>
      <c r="W654" s="96"/>
      <c r="X654" s="96"/>
      <c r="Y654" s="96"/>
      <c r="Z654" s="96"/>
      <c r="AA654" s="96"/>
      <c r="AB654" s="96"/>
      <c r="AC654" s="96"/>
      <c r="AD654" s="96"/>
    </row>
    <row r="655">
      <c r="A655" s="66"/>
      <c r="B655" s="103"/>
      <c r="C655" s="54"/>
      <c r="D655" s="66"/>
      <c r="E655" s="66"/>
      <c r="F655" s="100"/>
      <c r="G655" s="100">
        <v>46023.0</v>
      </c>
      <c r="H655" s="58">
        <v>0.0</v>
      </c>
      <c r="I655" s="66"/>
      <c r="J655" s="66"/>
      <c r="K655" s="66"/>
      <c r="L655" s="104"/>
      <c r="M655" s="66"/>
      <c r="N655" s="100"/>
      <c r="O655" s="55" t="str">
        <f>IF(N655="","SEM DATA APONTADA",(IF(B655="FINALIZADO", "CONCLUÍDO",(IF(B655="ANALISADO", "ANALISADO",IF(N655&lt;TODAY(), "VENCIDO", IF(N655=TODAY(), "VENCE HOJE", IF(N655&lt;=TODAY()+5,"VENCENDO", "NO PRAZO"))))))))</f>
        <v>SEM DATA APONTADA</v>
      </c>
      <c r="P655" s="215"/>
      <c r="Q655" s="100"/>
      <c r="R655" s="96"/>
      <c r="S655" s="96"/>
      <c r="T655" s="96"/>
      <c r="U655" s="96"/>
      <c r="V655" s="96"/>
      <c r="W655" s="96"/>
      <c r="X655" s="96"/>
      <c r="Y655" s="96"/>
      <c r="Z655" s="96"/>
      <c r="AA655" s="96"/>
      <c r="AB655" s="96"/>
      <c r="AC655" s="96"/>
      <c r="AD655" s="96"/>
    </row>
    <row r="656" ht="6.75" customHeight="1">
      <c r="A656" s="236"/>
      <c r="B656" s="236"/>
      <c r="C656" s="236"/>
      <c r="D656" s="236"/>
      <c r="E656" s="236"/>
      <c r="F656" s="236"/>
      <c r="G656" s="236"/>
      <c r="H656" s="236"/>
      <c r="I656" s="236"/>
      <c r="J656" s="236"/>
      <c r="K656" s="236"/>
      <c r="L656" s="237"/>
      <c r="M656" s="236"/>
      <c r="N656" s="236"/>
      <c r="O656" s="236"/>
      <c r="P656" s="238"/>
      <c r="Q656" s="8"/>
      <c r="R656" s="8"/>
      <c r="S656" s="8"/>
      <c r="T656" s="8"/>
      <c r="U656" s="8"/>
      <c r="V656" s="8"/>
      <c r="W656" s="8"/>
      <c r="X656" s="8"/>
      <c r="Y656" s="8"/>
      <c r="Z656" s="8"/>
      <c r="AA656" s="8"/>
      <c r="AB656" s="8"/>
      <c r="AC656" s="8"/>
      <c r="AD656" s="8"/>
    </row>
  </sheetData>
  <customSheetViews>
    <customSheetView guid="{AC04F9B2-CFB8-412D-89A5-5D1912475FB7}" filter="1" showAutoFilter="1">
      <autoFilter ref="$A$1:$R$655">
        <filterColumn colId="10">
          <filters>
            <filter val="TELEMETRIA"/>
            <filter val="CELULAR"/>
            <filter val="ORIENTAÇÃO"/>
          </filters>
        </filterColumn>
      </autoFilter>
    </customSheetView>
    <customSheetView guid="{CB9CB031-55E0-4505-A187-374997BAF372}" filter="1" showAutoFilter="1">
      <autoFilter ref="$A$1:$R$655">
        <filterColumn colId="10">
          <filters>
            <filter val="CELULAR"/>
            <filter val="ORIENTAÇÃO"/>
            <filter val="TORRE"/>
          </filters>
        </filterColumn>
        <filterColumn colId="1">
          <filters blank="1">
            <filter val="EM ANÁLISE"/>
            <filter val="ABERTA"/>
          </filters>
        </filterColumn>
      </autoFilter>
    </customSheetView>
  </customSheetViews>
  <mergeCells count="20">
    <mergeCell ref="A5:A9"/>
    <mergeCell ref="C5:C9"/>
    <mergeCell ref="E5:E9"/>
    <mergeCell ref="G5:G9"/>
    <mergeCell ref="L5:L9"/>
    <mergeCell ref="A77:A83"/>
    <mergeCell ref="C77:C83"/>
    <mergeCell ref="E159:E160"/>
    <mergeCell ref="G159:G160"/>
    <mergeCell ref="L159:L160"/>
    <mergeCell ref="P159:P160"/>
    <mergeCell ref="A182:A191"/>
    <mergeCell ref="A208:A209"/>
    <mergeCell ref="E77:E83"/>
    <mergeCell ref="G77:G83"/>
    <mergeCell ref="A101:A111"/>
    <mergeCell ref="C101:C111"/>
    <mergeCell ref="A115:A121"/>
    <mergeCell ref="A126:A133"/>
    <mergeCell ref="A159:A160"/>
  </mergeCells>
  <conditionalFormatting sqref="O2:O655 Q326">
    <cfRule type="cellIs" dxfId="9" priority="1" operator="equal">
      <formula>"CONCLUÍDO"</formula>
    </cfRule>
  </conditionalFormatting>
  <conditionalFormatting sqref="O2:P655 Q2:Q342 R2:AD655 N310:N317 Q344:Q655">
    <cfRule type="cellIs" dxfId="3" priority="2" operator="equal">
      <formula>"VENCIDO"</formula>
    </cfRule>
  </conditionalFormatting>
  <conditionalFormatting sqref="O2:O655 Q326">
    <cfRule type="cellIs" dxfId="10" priority="3" operator="equal">
      <formula>"VENCE HOJE"</formula>
    </cfRule>
  </conditionalFormatting>
  <conditionalFormatting sqref="O2:O655 Q326">
    <cfRule type="cellIs" dxfId="6" priority="4" operator="equal">
      <formula>"VENCENDO"</formula>
    </cfRule>
  </conditionalFormatting>
  <conditionalFormatting sqref="O2:O655 Q326">
    <cfRule type="cellIs" dxfId="11" priority="5" operator="equal">
      <formula>"ANALISADO"</formula>
    </cfRule>
  </conditionalFormatting>
  <dataValidations>
    <dataValidation type="list" allowBlank="1" showErrorMessage="1" sqref="K2:K655">
      <formula1>"P&amp;D,SUPORTE,MÓDULO,CELULAR,CÂMERAS,ORIENTAÇÃO,SUPER APP,TELEMETRIA,TORRE"</formula1>
    </dataValidation>
    <dataValidation type="list" allowBlank="1" showErrorMessage="1" sqref="C2:C5 C10:C77 C84:C101 C112:C655">
      <formula1>"ADAIR,DIEGO,FLÁVIO,MARLON"</formula1>
    </dataValidation>
    <dataValidation type="list" allowBlank="1" showErrorMessage="1" sqref="I2:I655">
      <formula1>"INCIDENTE CRÍTICO,INCIDENTE NORMAL,REQUISITO DE SERVIÇO,DÚVIDA/TREINAMENTO,AJUSTE/PARAMETRIZAÇÃO,MELHORIA/EVOLUÇÃO"</formula1>
    </dataValidation>
    <dataValidation type="list" allowBlank="1" showErrorMessage="1" sqref="B2:B655">
      <formula1>"ABERTA,EM ANÁLISE,ANALISADO,FINALIZADO"</formula1>
    </dataValidation>
    <dataValidation type="list" allowBlank="1" showErrorMessage="1" sqref="J2:J655">
      <formula1>"DIEGO,GABRIEL,MARLON,NEILOR,PABLO,PEDRO,REINALDO,CARLOS EDUARDO"</formula1>
    </dataValidation>
    <dataValidation type="list" allowBlank="1" showErrorMessage="1" sqref="D293">
      <formula1>'CS - JORNADA DO CLIENTE'!$B$12:$B$216</formula1>
    </dataValidation>
    <dataValidation type="list" allowBlank="1" showErrorMessage="1" sqref="D2:D292 D294:D655">
      <formula1>Clientes!$A$2:$A$101</formula1>
    </dataValidation>
    <dataValidation type="custom" allowBlank="1" showDropDown="1" sqref="F42:G49 F53:G53 F67:G68 F70:G72 F75:G77 F78:F83 F84:G84 F138:G139">
      <formula1>OR(NOT(ISERROR(DATEVALUE(F42))), AND(ISNUMBER(F42), LEFT(CELL("format", F42))="D"))</formula1>
    </dataValidation>
  </dataValidations>
  <hyperlinks>
    <hyperlink r:id="rId1" ref="P161"/>
    <hyperlink r:id="rId2" ref="P327"/>
    <hyperlink r:id="rId3" ref="P329"/>
    <hyperlink r:id="rId4" ref="P332"/>
    <hyperlink r:id="rId5" ref="P341"/>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0"/>
    <col customWidth="1" min="2" max="3" width="23.14"/>
    <col customWidth="1" min="4" max="4" width="11.86"/>
    <col customWidth="1" min="5" max="5" width="20.0"/>
    <col customWidth="1" min="7" max="7" width="29.29"/>
    <col customWidth="1" min="8" max="8" width="23.29"/>
    <col customWidth="1" min="9" max="10" width="36.86"/>
    <col customWidth="1" min="11" max="11" width="27.29"/>
    <col customWidth="1" min="12" max="12" width="104.71"/>
    <col customWidth="1" min="13" max="13" width="32.86"/>
    <col hidden="1" min="15" max="30" width="14.43"/>
  </cols>
  <sheetData>
    <row r="1" ht="29.25" customHeight="1">
      <c r="A1" s="56" t="s">
        <v>263</v>
      </c>
      <c r="B1" s="56" t="s">
        <v>290</v>
      </c>
      <c r="C1" s="56" t="s">
        <v>291</v>
      </c>
      <c r="D1" s="56" t="s">
        <v>292</v>
      </c>
      <c r="E1" s="56" t="s">
        <v>293</v>
      </c>
      <c r="F1" s="59" t="s">
        <v>294</v>
      </c>
      <c r="G1" s="60" t="s">
        <v>246</v>
      </c>
      <c r="H1" s="61" t="s">
        <v>300</v>
      </c>
      <c r="I1" s="59" t="s">
        <v>303</v>
      </c>
      <c r="J1" s="59" t="s">
        <v>305</v>
      </c>
      <c r="K1" s="56" t="s">
        <v>306</v>
      </c>
      <c r="L1" s="63" t="s">
        <v>307</v>
      </c>
      <c r="M1" s="56" t="s">
        <v>308</v>
      </c>
      <c r="N1" s="64"/>
      <c r="O1" s="64"/>
      <c r="P1" s="64"/>
      <c r="Q1" s="64"/>
      <c r="R1" s="64"/>
      <c r="S1" s="64"/>
      <c r="T1" s="64"/>
      <c r="U1" s="64"/>
      <c r="V1" s="64"/>
      <c r="W1" s="64"/>
      <c r="X1" s="64"/>
      <c r="Y1" s="64"/>
      <c r="Z1" s="64"/>
      <c r="AA1" s="64"/>
      <c r="AB1" s="64"/>
      <c r="AC1" s="64"/>
      <c r="AD1" s="64"/>
    </row>
    <row r="2">
      <c r="A2" s="65" t="s">
        <v>312</v>
      </c>
      <c r="B2" s="65" t="s">
        <v>319</v>
      </c>
      <c r="C2" s="65" t="s">
        <v>321</v>
      </c>
      <c r="D2" s="65">
        <v>2026.0</v>
      </c>
      <c r="E2" s="65">
        <v>8.60369054733769E14</v>
      </c>
      <c r="F2" s="65" t="s">
        <v>326</v>
      </c>
      <c r="G2" s="68" t="s">
        <v>328</v>
      </c>
      <c r="H2" s="69">
        <v>42348.0</v>
      </c>
      <c r="I2" s="65" t="s">
        <v>337</v>
      </c>
      <c r="J2" s="71"/>
      <c r="K2" s="73"/>
      <c r="L2" s="73"/>
      <c r="M2" s="73" t="s">
        <v>338</v>
      </c>
    </row>
    <row r="3">
      <c r="A3" s="65" t="s">
        <v>340</v>
      </c>
      <c r="B3" s="65" t="s">
        <v>319</v>
      </c>
      <c r="C3" s="65" t="s">
        <v>321</v>
      </c>
      <c r="D3" s="65">
        <v>2026.0</v>
      </c>
      <c r="E3" s="65">
        <v>8.60369054405285E14</v>
      </c>
      <c r="F3" s="65" t="s">
        <v>326</v>
      </c>
      <c r="G3" s="68" t="s">
        <v>328</v>
      </c>
      <c r="H3" s="69">
        <v>42348.0</v>
      </c>
      <c r="I3" s="65" t="s">
        <v>337</v>
      </c>
      <c r="J3" s="71"/>
      <c r="K3" s="73"/>
      <c r="L3" s="73"/>
      <c r="M3" s="73" t="s">
        <v>338</v>
      </c>
    </row>
    <row r="4">
      <c r="A4" s="75" t="s">
        <v>348</v>
      </c>
      <c r="B4" s="75" t="s">
        <v>319</v>
      </c>
      <c r="C4" s="75" t="s">
        <v>351</v>
      </c>
      <c r="D4" s="75">
        <v>2022.0</v>
      </c>
      <c r="E4" s="75">
        <v>8.60369054161425E14</v>
      </c>
      <c r="F4" s="76" t="s">
        <v>326</v>
      </c>
      <c r="G4" s="68" t="s">
        <v>328</v>
      </c>
      <c r="H4" s="69">
        <v>45658.0</v>
      </c>
      <c r="I4" s="78" t="s">
        <v>337</v>
      </c>
      <c r="J4" s="78"/>
      <c r="K4" s="79"/>
      <c r="L4" s="80"/>
      <c r="M4" s="81"/>
    </row>
    <row r="5">
      <c r="A5" s="75" t="s">
        <v>364</v>
      </c>
      <c r="B5" s="75" t="s">
        <v>319</v>
      </c>
      <c r="C5" s="75" t="s">
        <v>351</v>
      </c>
      <c r="D5" s="75">
        <v>2022.0</v>
      </c>
      <c r="E5" s="75">
        <v>8.60369054159759E14</v>
      </c>
      <c r="F5" s="76" t="s">
        <v>326</v>
      </c>
      <c r="G5" s="68" t="s">
        <v>328</v>
      </c>
      <c r="H5" s="69">
        <v>45658.0</v>
      </c>
      <c r="I5" s="78" t="s">
        <v>337</v>
      </c>
      <c r="J5" s="78"/>
      <c r="K5" s="79"/>
      <c r="L5" s="80"/>
      <c r="M5" s="81"/>
    </row>
    <row r="6">
      <c r="A6" s="75" t="s">
        <v>371</v>
      </c>
      <c r="B6" s="75" t="s">
        <v>374</v>
      </c>
      <c r="C6" s="75" t="s">
        <v>376</v>
      </c>
      <c r="D6" s="75">
        <v>2019.0</v>
      </c>
      <c r="E6" s="75">
        <v>8.60369052136403E14</v>
      </c>
      <c r="F6" s="76" t="s">
        <v>326</v>
      </c>
      <c r="G6" s="68" t="s">
        <v>378</v>
      </c>
      <c r="H6" s="69">
        <v>45809.0</v>
      </c>
      <c r="I6" s="78" t="s">
        <v>337</v>
      </c>
      <c r="J6" s="78"/>
      <c r="K6" s="79"/>
      <c r="L6" s="80"/>
      <c r="M6" s="81"/>
      <c r="N6" s="83" t="s">
        <v>380</v>
      </c>
    </row>
    <row r="7">
      <c r="A7" s="75" t="s">
        <v>384</v>
      </c>
      <c r="B7" s="75" t="s">
        <v>374</v>
      </c>
      <c r="C7" s="75" t="s">
        <v>376</v>
      </c>
      <c r="D7" s="75"/>
      <c r="E7" s="75">
        <v>8.60369052467709E14</v>
      </c>
      <c r="F7" s="76" t="s">
        <v>326</v>
      </c>
      <c r="G7" s="68" t="s">
        <v>378</v>
      </c>
      <c r="H7" s="69">
        <v>45809.0</v>
      </c>
      <c r="I7" s="78" t="s">
        <v>337</v>
      </c>
      <c r="J7" s="78"/>
      <c r="K7" s="79"/>
      <c r="L7" s="80"/>
      <c r="M7" s="81"/>
      <c r="N7" s="83" t="s">
        <v>380</v>
      </c>
    </row>
    <row r="8">
      <c r="A8" s="75" t="s">
        <v>388</v>
      </c>
      <c r="B8" s="75" t="s">
        <v>389</v>
      </c>
      <c r="C8" s="75" t="s">
        <v>390</v>
      </c>
      <c r="D8" s="75"/>
      <c r="E8" s="75">
        <v>8.60369054187024E14</v>
      </c>
      <c r="F8" s="76" t="s">
        <v>326</v>
      </c>
      <c r="G8" s="68" t="s">
        <v>378</v>
      </c>
      <c r="H8" s="69">
        <v>45809.0</v>
      </c>
      <c r="I8" s="78" t="s">
        <v>337</v>
      </c>
      <c r="J8" s="78"/>
      <c r="K8" s="79"/>
      <c r="L8" s="80"/>
      <c r="M8" s="81"/>
      <c r="N8" s="83" t="s">
        <v>380</v>
      </c>
    </row>
    <row r="9">
      <c r="A9" s="75" t="s">
        <v>396</v>
      </c>
      <c r="B9" s="75" t="s">
        <v>319</v>
      </c>
      <c r="C9" s="75" t="s">
        <v>397</v>
      </c>
      <c r="D9" s="75">
        <v>2021.0</v>
      </c>
      <c r="E9" s="75">
        <v>8.60369051060679E14</v>
      </c>
      <c r="F9" s="76" t="s">
        <v>398</v>
      </c>
      <c r="G9" s="68" t="s">
        <v>378</v>
      </c>
      <c r="H9" s="69">
        <v>45809.0</v>
      </c>
      <c r="I9" s="78" t="s">
        <v>337</v>
      </c>
      <c r="J9" s="78"/>
      <c r="K9" s="79"/>
      <c r="L9" s="80"/>
      <c r="M9" s="81"/>
    </row>
    <row r="10">
      <c r="A10" s="75" t="s">
        <v>402</v>
      </c>
      <c r="B10" s="75" t="s">
        <v>319</v>
      </c>
      <c r="C10" s="75" t="s">
        <v>405</v>
      </c>
      <c r="D10" s="75">
        <v>2021.0</v>
      </c>
      <c r="E10" s="75">
        <v>8.60369051067369E14</v>
      </c>
      <c r="F10" s="76" t="s">
        <v>398</v>
      </c>
      <c r="G10" s="68" t="s">
        <v>378</v>
      </c>
      <c r="H10" s="69">
        <v>45809.0</v>
      </c>
      <c r="I10" s="78" t="s">
        <v>337</v>
      </c>
      <c r="J10" s="78"/>
      <c r="K10" s="79"/>
      <c r="L10" s="80"/>
      <c r="M10" s="81"/>
    </row>
    <row r="11">
      <c r="A11" s="75" t="s">
        <v>410</v>
      </c>
      <c r="B11" s="75" t="s">
        <v>374</v>
      </c>
      <c r="C11" s="75" t="s">
        <v>414</v>
      </c>
      <c r="D11" s="75"/>
      <c r="E11" s="75">
        <v>8.60369052168562E14</v>
      </c>
      <c r="F11" s="76" t="s">
        <v>398</v>
      </c>
      <c r="G11" s="68" t="s">
        <v>378</v>
      </c>
      <c r="H11" s="69">
        <v>45809.0</v>
      </c>
      <c r="I11" s="78" t="s">
        <v>337</v>
      </c>
      <c r="J11" s="78"/>
      <c r="K11" s="79"/>
      <c r="L11" s="80"/>
      <c r="M11" s="81"/>
      <c r="N11" s="83" t="s">
        <v>380</v>
      </c>
    </row>
    <row r="12">
      <c r="A12" s="75" t="s">
        <v>417</v>
      </c>
      <c r="B12" s="75" t="s">
        <v>374</v>
      </c>
      <c r="C12" s="75" t="s">
        <v>414</v>
      </c>
      <c r="D12" s="75"/>
      <c r="E12" s="75">
        <v>8.60369052116744E14</v>
      </c>
      <c r="F12" s="76" t="s">
        <v>398</v>
      </c>
      <c r="G12" s="68" t="s">
        <v>378</v>
      </c>
      <c r="H12" s="69">
        <v>45809.0</v>
      </c>
      <c r="I12" s="78" t="s">
        <v>337</v>
      </c>
      <c r="J12" s="78"/>
      <c r="K12" s="79"/>
      <c r="L12" s="80"/>
      <c r="M12" s="81"/>
      <c r="N12" s="83" t="s">
        <v>380</v>
      </c>
    </row>
    <row r="13">
      <c r="A13" s="75" t="s">
        <v>423</v>
      </c>
      <c r="B13" s="75" t="s">
        <v>374</v>
      </c>
      <c r="C13" s="75" t="s">
        <v>414</v>
      </c>
      <c r="D13" s="75"/>
      <c r="E13" s="75">
        <v>8.60369052167192E14</v>
      </c>
      <c r="F13" s="76" t="s">
        <v>398</v>
      </c>
      <c r="G13" s="68" t="s">
        <v>378</v>
      </c>
      <c r="H13" s="69">
        <v>45809.0</v>
      </c>
      <c r="I13" s="78" t="s">
        <v>337</v>
      </c>
      <c r="J13" s="78"/>
      <c r="K13" s="79"/>
      <c r="L13" s="80"/>
      <c r="M13" s="81"/>
      <c r="N13" s="83" t="s">
        <v>380</v>
      </c>
    </row>
    <row r="14">
      <c r="A14" s="75" t="s">
        <v>427</v>
      </c>
      <c r="B14" s="75" t="s">
        <v>374</v>
      </c>
      <c r="C14" s="75" t="s">
        <v>414</v>
      </c>
      <c r="D14" s="75"/>
      <c r="E14" s="75">
        <v>8.60369052464086E14</v>
      </c>
      <c r="F14" s="76" t="s">
        <v>326</v>
      </c>
      <c r="G14" s="68" t="s">
        <v>378</v>
      </c>
      <c r="H14" s="69">
        <v>45809.0</v>
      </c>
      <c r="I14" s="78" t="s">
        <v>337</v>
      </c>
      <c r="J14" s="78"/>
      <c r="K14" s="79"/>
      <c r="L14" s="80"/>
      <c r="M14" s="81"/>
      <c r="N14" s="83" t="s">
        <v>380</v>
      </c>
    </row>
    <row r="15">
      <c r="A15" s="75" t="s">
        <v>438</v>
      </c>
      <c r="B15" s="75" t="s">
        <v>374</v>
      </c>
      <c r="C15" s="75" t="s">
        <v>414</v>
      </c>
      <c r="D15" s="75"/>
      <c r="E15" s="75">
        <v>8.60369051078713E14</v>
      </c>
      <c r="F15" s="76" t="s">
        <v>398</v>
      </c>
      <c r="G15" s="68" t="s">
        <v>378</v>
      </c>
      <c r="H15" s="69">
        <v>45809.0</v>
      </c>
      <c r="I15" s="78" t="s">
        <v>337</v>
      </c>
      <c r="J15" s="78"/>
      <c r="K15" s="79"/>
      <c r="L15" s="80"/>
      <c r="M15" s="81"/>
      <c r="N15" s="83" t="s">
        <v>380</v>
      </c>
    </row>
    <row r="16">
      <c r="A16" s="75" t="s">
        <v>439</v>
      </c>
      <c r="B16" s="75" t="s">
        <v>374</v>
      </c>
      <c r="C16" s="75" t="s">
        <v>414</v>
      </c>
      <c r="D16" s="75"/>
      <c r="E16" s="75">
        <v>8.60369052158779E14</v>
      </c>
      <c r="F16" s="76" t="s">
        <v>398</v>
      </c>
      <c r="G16" s="68" t="s">
        <v>378</v>
      </c>
      <c r="H16" s="69">
        <v>45809.0</v>
      </c>
      <c r="I16" s="78" t="s">
        <v>337</v>
      </c>
      <c r="J16" s="78"/>
      <c r="K16" s="79"/>
      <c r="L16" s="80"/>
      <c r="M16" s="81"/>
      <c r="N16" s="83" t="s">
        <v>380</v>
      </c>
    </row>
    <row r="17">
      <c r="A17" s="75" t="s">
        <v>446</v>
      </c>
      <c r="B17" s="75" t="s">
        <v>374</v>
      </c>
      <c r="C17" s="75" t="s">
        <v>414</v>
      </c>
      <c r="D17" s="75"/>
      <c r="E17" s="75">
        <v>8.60369052145172E14</v>
      </c>
      <c r="F17" s="76" t="s">
        <v>398</v>
      </c>
      <c r="G17" s="68" t="s">
        <v>378</v>
      </c>
      <c r="H17" s="69">
        <v>45809.0</v>
      </c>
      <c r="I17" s="78" t="s">
        <v>337</v>
      </c>
      <c r="J17" s="78"/>
      <c r="K17" s="79"/>
      <c r="L17" s="80"/>
      <c r="M17" s="81"/>
      <c r="N17" s="83" t="s">
        <v>380</v>
      </c>
    </row>
    <row r="18">
      <c r="A18" s="75" t="s">
        <v>447</v>
      </c>
      <c r="B18" s="75" t="s">
        <v>374</v>
      </c>
      <c r="C18" s="75" t="s">
        <v>414</v>
      </c>
      <c r="D18" s="75"/>
      <c r="E18" s="75">
        <v>8.60369052166814E14</v>
      </c>
      <c r="F18" s="76" t="s">
        <v>398</v>
      </c>
      <c r="G18" s="68" t="s">
        <v>378</v>
      </c>
      <c r="H18" s="69">
        <v>45809.0</v>
      </c>
      <c r="I18" s="78" t="s">
        <v>337</v>
      </c>
      <c r="J18" s="78"/>
      <c r="K18" s="79"/>
      <c r="L18" s="80"/>
      <c r="M18" s="81"/>
      <c r="N18" s="83" t="s">
        <v>380</v>
      </c>
    </row>
    <row r="19">
      <c r="A19" s="75" t="s">
        <v>457</v>
      </c>
      <c r="B19" s="75" t="s">
        <v>374</v>
      </c>
      <c r="C19" s="75" t="s">
        <v>414</v>
      </c>
      <c r="D19" s="75"/>
      <c r="E19" s="75">
        <v>8.6036905214962E14</v>
      </c>
      <c r="F19" s="76" t="s">
        <v>398</v>
      </c>
      <c r="G19" s="68" t="s">
        <v>378</v>
      </c>
      <c r="H19" s="69">
        <v>45809.0</v>
      </c>
      <c r="I19" s="78" t="s">
        <v>337</v>
      </c>
      <c r="J19" s="78"/>
      <c r="K19" s="79"/>
      <c r="L19" s="80"/>
      <c r="M19" s="81"/>
      <c r="N19" s="83" t="s">
        <v>380</v>
      </c>
    </row>
    <row r="20">
      <c r="A20" s="75" t="s">
        <v>458</v>
      </c>
      <c r="B20" s="75" t="s">
        <v>374</v>
      </c>
      <c r="C20" s="75" t="s">
        <v>414</v>
      </c>
      <c r="D20" s="75"/>
      <c r="E20" s="75">
        <v>8.6036905211727E14</v>
      </c>
      <c r="F20" s="76" t="s">
        <v>398</v>
      </c>
      <c r="G20" s="68" t="s">
        <v>378</v>
      </c>
      <c r="H20" s="69">
        <v>45809.0</v>
      </c>
      <c r="I20" s="78" t="s">
        <v>337</v>
      </c>
      <c r="J20" s="78"/>
      <c r="K20" s="79"/>
      <c r="L20" s="80"/>
      <c r="M20" s="81"/>
      <c r="N20" s="83" t="s">
        <v>380</v>
      </c>
    </row>
    <row r="21">
      <c r="A21" s="75" t="s">
        <v>464</v>
      </c>
      <c r="B21" s="75" t="s">
        <v>374</v>
      </c>
      <c r="C21" s="75" t="s">
        <v>466</v>
      </c>
      <c r="D21" s="75"/>
      <c r="E21" s="75">
        <v>8.60369052140074E14</v>
      </c>
      <c r="F21" s="76" t="s">
        <v>398</v>
      </c>
      <c r="G21" s="68" t="s">
        <v>378</v>
      </c>
      <c r="H21" s="69">
        <v>45809.0</v>
      </c>
      <c r="I21" s="78" t="s">
        <v>337</v>
      </c>
      <c r="J21" s="78"/>
      <c r="K21" s="79"/>
      <c r="L21" s="80"/>
      <c r="M21" s="81"/>
      <c r="N21" s="83" t="s">
        <v>380</v>
      </c>
    </row>
    <row r="22">
      <c r="A22" s="75" t="s">
        <v>468</v>
      </c>
      <c r="B22" s="75" t="s">
        <v>374</v>
      </c>
      <c r="C22" s="75" t="s">
        <v>469</v>
      </c>
      <c r="D22" s="75">
        <v>2022.0</v>
      </c>
      <c r="E22" s="75">
        <v>8.60369052174826E14</v>
      </c>
      <c r="F22" s="76" t="s">
        <v>398</v>
      </c>
      <c r="G22" s="68" t="s">
        <v>378</v>
      </c>
      <c r="H22" s="69">
        <v>45809.0</v>
      </c>
      <c r="I22" s="78" t="s">
        <v>337</v>
      </c>
      <c r="J22" s="78"/>
      <c r="K22" s="79"/>
      <c r="L22" s="80"/>
      <c r="M22" s="81"/>
    </row>
    <row r="23">
      <c r="A23" s="75" t="s">
        <v>475</v>
      </c>
      <c r="B23" s="75" t="s">
        <v>319</v>
      </c>
      <c r="C23" s="75" t="s">
        <v>480</v>
      </c>
      <c r="D23" s="75">
        <v>2022.0</v>
      </c>
      <c r="E23" s="75">
        <v>8.6036905215546E14</v>
      </c>
      <c r="F23" s="76" t="s">
        <v>398</v>
      </c>
      <c r="G23" s="68" t="s">
        <v>378</v>
      </c>
      <c r="H23" s="69">
        <v>45809.0</v>
      </c>
      <c r="I23" s="78" t="s">
        <v>337</v>
      </c>
      <c r="J23" s="78"/>
      <c r="K23" s="79"/>
      <c r="L23" s="80"/>
      <c r="M23" s="81"/>
    </row>
    <row r="24">
      <c r="A24" s="75" t="s">
        <v>484</v>
      </c>
      <c r="B24" s="75" t="s">
        <v>374</v>
      </c>
      <c r="C24" s="75" t="s">
        <v>466</v>
      </c>
      <c r="D24" s="75"/>
      <c r="E24" s="75">
        <v>8.60369052167879E14</v>
      </c>
      <c r="F24" s="76" t="s">
        <v>398</v>
      </c>
      <c r="G24" s="68" t="s">
        <v>378</v>
      </c>
      <c r="H24" s="69">
        <v>45809.0</v>
      </c>
      <c r="I24" s="78" t="s">
        <v>337</v>
      </c>
      <c r="J24" s="78"/>
      <c r="K24" s="79"/>
      <c r="L24" s="80"/>
      <c r="M24" s="81"/>
      <c r="N24" s="83" t="s">
        <v>380</v>
      </c>
    </row>
    <row r="25">
      <c r="A25" s="75" t="s">
        <v>486</v>
      </c>
      <c r="B25" s="75" t="s">
        <v>374</v>
      </c>
      <c r="C25" s="75" t="s">
        <v>466</v>
      </c>
      <c r="D25" s="75"/>
      <c r="E25" s="75">
        <v>8.60369052471503E14</v>
      </c>
      <c r="F25" s="76" t="s">
        <v>326</v>
      </c>
      <c r="G25" s="68" t="s">
        <v>378</v>
      </c>
      <c r="H25" s="69">
        <v>45809.0</v>
      </c>
      <c r="I25" s="78" t="s">
        <v>337</v>
      </c>
      <c r="J25" s="78"/>
      <c r="K25" s="79"/>
      <c r="L25" s="80"/>
      <c r="M25" s="81"/>
      <c r="N25" s="83" t="s">
        <v>380</v>
      </c>
    </row>
    <row r="26">
      <c r="A26" s="75" t="s">
        <v>492</v>
      </c>
      <c r="B26" s="75" t="s">
        <v>374</v>
      </c>
      <c r="C26" s="75" t="s">
        <v>466</v>
      </c>
      <c r="D26" s="75"/>
      <c r="E26" s="75">
        <v>8.60369052137088E14</v>
      </c>
      <c r="F26" s="76" t="s">
        <v>398</v>
      </c>
      <c r="G26" s="68" t="s">
        <v>378</v>
      </c>
      <c r="H26" s="69">
        <v>45809.0</v>
      </c>
      <c r="I26" s="78" t="s">
        <v>337</v>
      </c>
      <c r="J26" s="78"/>
      <c r="K26" s="79"/>
      <c r="L26" s="80"/>
      <c r="M26" s="81"/>
      <c r="N26" s="83" t="s">
        <v>380</v>
      </c>
    </row>
    <row r="27">
      <c r="A27" s="75" t="s">
        <v>496</v>
      </c>
      <c r="B27" s="75" t="s">
        <v>374</v>
      </c>
      <c r="C27" s="75" t="s">
        <v>466</v>
      </c>
      <c r="D27" s="75"/>
      <c r="E27" s="75">
        <v>8.60369052171392E14</v>
      </c>
      <c r="F27" s="76" t="s">
        <v>398</v>
      </c>
      <c r="G27" s="68" t="s">
        <v>378</v>
      </c>
      <c r="H27" s="69">
        <v>45809.0</v>
      </c>
      <c r="I27" s="78" t="s">
        <v>337</v>
      </c>
      <c r="J27" s="78"/>
      <c r="K27" s="79"/>
      <c r="L27" s="80"/>
      <c r="M27" s="81"/>
      <c r="N27" s="83" t="s">
        <v>380</v>
      </c>
    </row>
    <row r="28">
      <c r="A28" s="75" t="s">
        <v>500</v>
      </c>
      <c r="B28" s="75" t="s">
        <v>374</v>
      </c>
      <c r="C28" s="75" t="s">
        <v>466</v>
      </c>
      <c r="D28" s="75"/>
      <c r="E28" s="75">
        <v>8.60369052155544E14</v>
      </c>
      <c r="F28" s="76" t="s">
        <v>398</v>
      </c>
      <c r="G28" s="68" t="s">
        <v>378</v>
      </c>
      <c r="H28" s="69">
        <v>45809.0</v>
      </c>
      <c r="I28" s="78" t="s">
        <v>337</v>
      </c>
      <c r="J28" s="78"/>
      <c r="K28" s="79"/>
      <c r="L28" s="80"/>
      <c r="M28" s="81"/>
      <c r="N28" s="83" t="s">
        <v>380</v>
      </c>
    </row>
    <row r="29">
      <c r="A29" s="75" t="s">
        <v>509</v>
      </c>
      <c r="B29" s="75" t="s">
        <v>374</v>
      </c>
      <c r="C29" s="75" t="s">
        <v>466</v>
      </c>
      <c r="D29" s="75"/>
      <c r="E29" s="75">
        <v>8.6036905211572E14</v>
      </c>
      <c r="F29" s="76" t="s">
        <v>398</v>
      </c>
      <c r="G29" s="68" t="s">
        <v>378</v>
      </c>
      <c r="H29" s="69">
        <v>45809.0</v>
      </c>
      <c r="I29" s="78" t="s">
        <v>337</v>
      </c>
      <c r="J29" s="78"/>
      <c r="K29" s="79"/>
      <c r="L29" s="80"/>
      <c r="M29" s="81"/>
      <c r="N29" s="83" t="s">
        <v>380</v>
      </c>
    </row>
    <row r="30">
      <c r="A30" s="75" t="s">
        <v>517</v>
      </c>
      <c r="B30" s="75" t="s">
        <v>374</v>
      </c>
      <c r="C30" s="75" t="s">
        <v>518</v>
      </c>
      <c r="D30" s="75"/>
      <c r="E30" s="75">
        <v>8.60369052472006E14</v>
      </c>
      <c r="F30" s="76" t="s">
        <v>326</v>
      </c>
      <c r="G30" s="68" t="s">
        <v>378</v>
      </c>
      <c r="H30" s="69">
        <v>45809.0</v>
      </c>
      <c r="I30" s="78" t="s">
        <v>337</v>
      </c>
      <c r="J30" s="78"/>
      <c r="K30" s="79"/>
      <c r="L30" s="80"/>
      <c r="M30" s="81"/>
      <c r="N30" s="83" t="s">
        <v>380</v>
      </c>
    </row>
    <row r="31">
      <c r="A31" s="75" t="s">
        <v>520</v>
      </c>
      <c r="B31" s="75" t="s">
        <v>374</v>
      </c>
      <c r="C31" s="75" t="s">
        <v>518</v>
      </c>
      <c r="D31" s="75"/>
      <c r="E31" s="75">
        <v>8.60369052148093E14</v>
      </c>
      <c r="F31" s="76" t="s">
        <v>398</v>
      </c>
      <c r="G31" s="68" t="s">
        <v>378</v>
      </c>
      <c r="H31" s="69">
        <v>45809.0</v>
      </c>
      <c r="I31" s="78" t="s">
        <v>337</v>
      </c>
      <c r="J31" s="78"/>
      <c r="K31" s="79"/>
      <c r="L31" s="80"/>
      <c r="M31" s="81"/>
      <c r="N31" s="83" t="s">
        <v>380</v>
      </c>
    </row>
    <row r="32">
      <c r="A32" s="75" t="s">
        <v>529</v>
      </c>
      <c r="B32" s="75" t="s">
        <v>374</v>
      </c>
      <c r="C32" s="75" t="s">
        <v>518</v>
      </c>
      <c r="D32" s="75"/>
      <c r="E32" s="75">
        <v>8.60369052160247E14</v>
      </c>
      <c r="F32" s="76" t="s">
        <v>398</v>
      </c>
      <c r="G32" s="68" t="s">
        <v>378</v>
      </c>
      <c r="H32" s="69">
        <v>45809.0</v>
      </c>
      <c r="I32" s="78" t="s">
        <v>337</v>
      </c>
      <c r="J32" s="78"/>
      <c r="K32" s="79"/>
      <c r="L32" s="80"/>
      <c r="M32" s="81"/>
      <c r="N32" s="83" t="s">
        <v>380</v>
      </c>
    </row>
    <row r="33">
      <c r="A33" s="75" t="s">
        <v>533</v>
      </c>
      <c r="B33" s="75" t="s">
        <v>374</v>
      </c>
      <c r="C33" s="75" t="s">
        <v>518</v>
      </c>
      <c r="D33" s="75"/>
      <c r="E33" s="75">
        <v>8.60369052168182E14</v>
      </c>
      <c r="F33" s="76" t="s">
        <v>398</v>
      </c>
      <c r="G33" s="68" t="s">
        <v>378</v>
      </c>
      <c r="H33" s="69">
        <v>45809.0</v>
      </c>
      <c r="I33" s="78" t="s">
        <v>337</v>
      </c>
      <c r="J33" s="78"/>
      <c r="K33" s="79"/>
      <c r="L33" s="80"/>
      <c r="M33" s="81"/>
      <c r="N33" s="83" t="s">
        <v>380</v>
      </c>
    </row>
    <row r="34">
      <c r="A34" s="75" t="s">
        <v>540</v>
      </c>
      <c r="B34" s="75" t="s">
        <v>374</v>
      </c>
      <c r="C34" s="75" t="s">
        <v>518</v>
      </c>
      <c r="D34" s="75"/>
      <c r="E34" s="75">
        <v>8.60369052140249E14</v>
      </c>
      <c r="F34" s="76" t="s">
        <v>398</v>
      </c>
      <c r="G34" s="68" t="s">
        <v>378</v>
      </c>
      <c r="H34" s="69">
        <v>45809.0</v>
      </c>
      <c r="I34" s="78" t="s">
        <v>337</v>
      </c>
      <c r="J34" s="78"/>
      <c r="K34" s="79"/>
      <c r="L34" s="80"/>
      <c r="M34" s="81"/>
      <c r="N34" s="83" t="s">
        <v>380</v>
      </c>
    </row>
    <row r="35">
      <c r="A35" s="75" t="s">
        <v>546</v>
      </c>
      <c r="B35" s="75" t="s">
        <v>374</v>
      </c>
      <c r="C35" s="75" t="s">
        <v>518</v>
      </c>
      <c r="D35" s="75"/>
      <c r="E35" s="75">
        <v>8.60369052126834E14</v>
      </c>
      <c r="F35" s="76" t="s">
        <v>398</v>
      </c>
      <c r="G35" s="68" t="s">
        <v>378</v>
      </c>
      <c r="H35" s="69">
        <v>45809.0</v>
      </c>
      <c r="I35" s="78" t="s">
        <v>337</v>
      </c>
      <c r="J35" s="78"/>
      <c r="K35" s="79"/>
      <c r="L35" s="80"/>
      <c r="M35" s="81"/>
      <c r="N35" s="83" t="s">
        <v>380</v>
      </c>
    </row>
    <row r="36">
      <c r="A36" s="75" t="s">
        <v>554</v>
      </c>
      <c r="B36" s="75" t="s">
        <v>374</v>
      </c>
      <c r="C36" s="75" t="s">
        <v>518</v>
      </c>
      <c r="D36" s="75"/>
      <c r="E36" s="75">
        <v>8.60369052116439E14</v>
      </c>
      <c r="F36" s="76" t="s">
        <v>398</v>
      </c>
      <c r="G36" s="68" t="s">
        <v>378</v>
      </c>
      <c r="H36" s="69">
        <v>45809.0</v>
      </c>
      <c r="I36" s="78" t="s">
        <v>337</v>
      </c>
      <c r="J36" s="78"/>
      <c r="K36" s="79"/>
      <c r="L36" s="80"/>
      <c r="M36" s="81"/>
      <c r="N36" s="83" t="s">
        <v>380</v>
      </c>
    </row>
    <row r="37">
      <c r="A37" s="75" t="s">
        <v>559</v>
      </c>
      <c r="B37" s="75" t="s">
        <v>374</v>
      </c>
      <c r="C37" s="75" t="s">
        <v>518</v>
      </c>
      <c r="D37" s="75"/>
      <c r="E37" s="75">
        <v>8.60369052121595E14</v>
      </c>
      <c r="F37" s="76" t="s">
        <v>398</v>
      </c>
      <c r="G37" s="68" t="s">
        <v>378</v>
      </c>
      <c r="H37" s="69">
        <v>45809.0</v>
      </c>
      <c r="I37" s="78" t="s">
        <v>337</v>
      </c>
      <c r="J37" s="78"/>
      <c r="K37" s="79"/>
      <c r="L37" s="80"/>
      <c r="M37" s="81"/>
      <c r="N37" s="83" t="s">
        <v>380</v>
      </c>
    </row>
    <row r="38">
      <c r="A38" s="75" t="s">
        <v>568</v>
      </c>
      <c r="B38" s="75" t="s">
        <v>374</v>
      </c>
      <c r="C38" s="75" t="s">
        <v>518</v>
      </c>
      <c r="D38" s="75"/>
      <c r="E38" s="75">
        <v>8.60369051059655E14</v>
      </c>
      <c r="F38" s="76" t="s">
        <v>398</v>
      </c>
      <c r="G38" s="68" t="s">
        <v>378</v>
      </c>
      <c r="H38" s="69">
        <v>45809.0</v>
      </c>
      <c r="I38" s="78" t="s">
        <v>337</v>
      </c>
      <c r="J38" s="78"/>
      <c r="K38" s="79"/>
      <c r="L38" s="80"/>
      <c r="M38" s="81"/>
      <c r="N38" s="83" t="s">
        <v>380</v>
      </c>
    </row>
    <row r="39">
      <c r="A39" s="75" t="s">
        <v>574</v>
      </c>
      <c r="B39" s="75" t="s">
        <v>374</v>
      </c>
      <c r="C39" s="75" t="s">
        <v>518</v>
      </c>
      <c r="D39" s="75"/>
      <c r="E39" s="75">
        <v>8.60369052172168E14</v>
      </c>
      <c r="F39" s="76" t="s">
        <v>398</v>
      </c>
      <c r="G39" s="68" t="s">
        <v>378</v>
      </c>
      <c r="H39" s="69">
        <v>45809.0</v>
      </c>
      <c r="I39" s="78" t="s">
        <v>337</v>
      </c>
      <c r="J39" s="78"/>
      <c r="K39" s="79"/>
      <c r="L39" s="80"/>
      <c r="M39" s="81"/>
      <c r="N39" s="83" t="s">
        <v>380</v>
      </c>
    </row>
    <row r="40">
      <c r="A40" s="75" t="s">
        <v>578</v>
      </c>
      <c r="B40" s="75" t="s">
        <v>374</v>
      </c>
      <c r="C40" s="75" t="s">
        <v>518</v>
      </c>
      <c r="D40" s="75"/>
      <c r="E40" s="75">
        <v>8.6036905211591E14</v>
      </c>
      <c r="F40" s="76" t="s">
        <v>398</v>
      </c>
      <c r="G40" s="68" t="s">
        <v>378</v>
      </c>
      <c r="H40" s="69">
        <v>45809.0</v>
      </c>
      <c r="I40" s="78" t="s">
        <v>337</v>
      </c>
      <c r="J40" s="78"/>
      <c r="K40" s="79"/>
      <c r="L40" s="80"/>
      <c r="M40" s="81"/>
      <c r="N40" s="83" t="s">
        <v>380</v>
      </c>
    </row>
    <row r="41">
      <c r="A41" s="75" t="s">
        <v>581</v>
      </c>
      <c r="B41" s="75" t="s">
        <v>374</v>
      </c>
      <c r="C41" s="75" t="s">
        <v>518</v>
      </c>
      <c r="D41" s="75"/>
      <c r="E41" s="75">
        <v>8.60369052121488E14</v>
      </c>
      <c r="F41" s="76" t="s">
        <v>398</v>
      </c>
      <c r="G41" s="68" t="s">
        <v>378</v>
      </c>
      <c r="H41" s="69">
        <v>45809.0</v>
      </c>
      <c r="I41" s="78" t="s">
        <v>337</v>
      </c>
      <c r="J41" s="78"/>
      <c r="K41" s="79"/>
      <c r="L41" s="80"/>
      <c r="M41" s="81"/>
      <c r="N41" s="83" t="s">
        <v>380</v>
      </c>
    </row>
    <row r="42">
      <c r="A42" s="75" t="s">
        <v>587</v>
      </c>
      <c r="B42" s="75" t="s">
        <v>374</v>
      </c>
      <c r="C42" s="75" t="s">
        <v>518</v>
      </c>
      <c r="D42" s="75"/>
      <c r="E42" s="75">
        <v>8.60369052145297E14</v>
      </c>
      <c r="F42" s="76" t="s">
        <v>398</v>
      </c>
      <c r="G42" s="68" t="s">
        <v>378</v>
      </c>
      <c r="H42" s="69">
        <v>45809.0</v>
      </c>
      <c r="I42" s="78" t="s">
        <v>337</v>
      </c>
      <c r="J42" s="78"/>
      <c r="K42" s="79"/>
      <c r="L42" s="80"/>
      <c r="M42" s="81"/>
      <c r="N42" s="83" t="s">
        <v>380</v>
      </c>
    </row>
    <row r="43">
      <c r="A43" s="75" t="s">
        <v>591</v>
      </c>
      <c r="B43" s="75" t="s">
        <v>319</v>
      </c>
      <c r="C43" s="75" t="s">
        <v>592</v>
      </c>
      <c r="D43" s="75">
        <v>2023.0</v>
      </c>
      <c r="E43" s="75">
        <v>8.60369054153661E14</v>
      </c>
      <c r="F43" s="76" t="s">
        <v>326</v>
      </c>
      <c r="G43" s="68" t="s">
        <v>378</v>
      </c>
      <c r="H43" s="69">
        <v>45809.0</v>
      </c>
      <c r="I43" s="78" t="s">
        <v>337</v>
      </c>
      <c r="J43" s="78"/>
      <c r="K43" s="79"/>
      <c r="L43" s="80"/>
      <c r="M43" s="81"/>
    </row>
    <row r="44">
      <c r="A44" s="75" t="s">
        <v>596</v>
      </c>
      <c r="B44" s="75" t="s">
        <v>319</v>
      </c>
      <c r="C44" s="75" t="s">
        <v>592</v>
      </c>
      <c r="D44" s="75">
        <v>2023.0</v>
      </c>
      <c r="E44" s="75">
        <v>8.60369052460555E14</v>
      </c>
      <c r="F44" s="76" t="s">
        <v>398</v>
      </c>
      <c r="G44" s="68" t="s">
        <v>378</v>
      </c>
      <c r="H44" s="69">
        <v>45809.0</v>
      </c>
      <c r="I44" s="78" t="s">
        <v>337</v>
      </c>
      <c r="J44" s="78"/>
      <c r="K44" s="79"/>
      <c r="L44" s="80"/>
      <c r="M44" s="81"/>
    </row>
    <row r="45">
      <c r="A45" s="75" t="s">
        <v>601</v>
      </c>
      <c r="B45" s="75" t="s">
        <v>602</v>
      </c>
      <c r="C45" s="75" t="s">
        <v>603</v>
      </c>
      <c r="D45" s="75"/>
      <c r="E45" s="75">
        <v>8.60369052170378E14</v>
      </c>
      <c r="F45" s="76" t="s">
        <v>398</v>
      </c>
      <c r="G45" s="68" t="s">
        <v>378</v>
      </c>
      <c r="H45" s="69">
        <v>45809.0</v>
      </c>
      <c r="I45" s="78" t="s">
        <v>337</v>
      </c>
      <c r="J45" s="78"/>
      <c r="K45" s="79"/>
      <c r="L45" s="80"/>
      <c r="M45" s="81"/>
      <c r="N45" s="83" t="s">
        <v>380</v>
      </c>
    </row>
    <row r="46">
      <c r="A46" s="75" t="s">
        <v>606</v>
      </c>
      <c r="B46" s="75" t="s">
        <v>602</v>
      </c>
      <c r="C46" s="75" t="s">
        <v>607</v>
      </c>
      <c r="D46" s="75">
        <v>2023.0</v>
      </c>
      <c r="E46" s="75">
        <v>8.6036905214943E14</v>
      </c>
      <c r="F46" s="76" t="s">
        <v>398</v>
      </c>
      <c r="G46" s="68" t="s">
        <v>378</v>
      </c>
      <c r="H46" s="69">
        <v>45809.0</v>
      </c>
      <c r="I46" s="78" t="s">
        <v>337</v>
      </c>
      <c r="J46" s="78"/>
      <c r="K46" s="79"/>
      <c r="L46" s="80"/>
      <c r="M46" s="81"/>
    </row>
    <row r="47">
      <c r="A47" s="75" t="s">
        <v>616</v>
      </c>
      <c r="B47" s="75" t="s">
        <v>374</v>
      </c>
      <c r="C47" s="75" t="s">
        <v>617</v>
      </c>
      <c r="D47" s="75"/>
      <c r="E47" s="75">
        <v>8.60369052145214E14</v>
      </c>
      <c r="F47" s="76" t="s">
        <v>398</v>
      </c>
      <c r="G47" s="68" t="s">
        <v>378</v>
      </c>
      <c r="H47" s="69">
        <v>45809.0</v>
      </c>
      <c r="I47" s="78" t="s">
        <v>337</v>
      </c>
      <c r="J47" s="78"/>
      <c r="K47" s="79"/>
      <c r="L47" s="80"/>
      <c r="M47" s="81"/>
      <c r="N47" s="83" t="s">
        <v>380</v>
      </c>
    </row>
    <row r="48">
      <c r="A48" s="75" t="s">
        <v>619</v>
      </c>
      <c r="B48" s="75" t="s">
        <v>374</v>
      </c>
      <c r="C48" s="75" t="s">
        <v>617</v>
      </c>
      <c r="D48" s="75"/>
      <c r="E48" s="75">
        <v>8.60369052145107E14</v>
      </c>
      <c r="F48" s="76" t="s">
        <v>398</v>
      </c>
      <c r="G48" s="68" t="s">
        <v>378</v>
      </c>
      <c r="H48" s="69">
        <v>45809.0</v>
      </c>
      <c r="I48" s="78" t="s">
        <v>337</v>
      </c>
      <c r="J48" s="78"/>
      <c r="K48" s="79"/>
      <c r="L48" s="80"/>
      <c r="M48" s="81"/>
      <c r="N48" s="83" t="s">
        <v>380</v>
      </c>
    </row>
    <row r="49">
      <c r="A49" s="75" t="s">
        <v>623</v>
      </c>
      <c r="B49" s="75" t="s">
        <v>374</v>
      </c>
      <c r="C49" s="75" t="s">
        <v>624</v>
      </c>
      <c r="D49" s="75"/>
      <c r="E49" s="75">
        <v>8.60369052415369E14</v>
      </c>
      <c r="F49" s="76" t="s">
        <v>326</v>
      </c>
      <c r="G49" s="68" t="s">
        <v>378</v>
      </c>
      <c r="H49" s="69">
        <v>45809.0</v>
      </c>
      <c r="I49" s="78" t="s">
        <v>337</v>
      </c>
      <c r="J49" s="78"/>
      <c r="K49" s="79"/>
      <c r="L49" s="80"/>
      <c r="M49" s="81"/>
      <c r="N49" s="83" t="s">
        <v>380</v>
      </c>
    </row>
    <row r="50">
      <c r="A50" s="75" t="s">
        <v>630</v>
      </c>
      <c r="B50" s="75" t="s">
        <v>374</v>
      </c>
      <c r="C50" s="75" t="s">
        <v>617</v>
      </c>
      <c r="D50" s="75"/>
      <c r="E50" s="75">
        <v>8.60369052405592E14</v>
      </c>
      <c r="F50" s="76" t="s">
        <v>326</v>
      </c>
      <c r="G50" s="68" t="s">
        <v>378</v>
      </c>
      <c r="H50" s="69">
        <v>45809.0</v>
      </c>
      <c r="I50" s="78" t="s">
        <v>337</v>
      </c>
      <c r="J50" s="78"/>
      <c r="K50" s="75" t="s">
        <v>632</v>
      </c>
      <c r="L50" s="80"/>
      <c r="M50" s="81"/>
      <c r="N50" s="83" t="s">
        <v>380</v>
      </c>
    </row>
    <row r="51">
      <c r="A51" s="75" t="s">
        <v>633</v>
      </c>
      <c r="B51" s="75" t="s">
        <v>374</v>
      </c>
      <c r="C51" s="75" t="s">
        <v>617</v>
      </c>
      <c r="D51" s="75"/>
      <c r="E51" s="75">
        <v>8.60369052467907E14</v>
      </c>
      <c r="F51" s="76" t="s">
        <v>326</v>
      </c>
      <c r="G51" s="68" t="s">
        <v>378</v>
      </c>
      <c r="H51" s="69">
        <v>45809.0</v>
      </c>
      <c r="I51" s="78" t="s">
        <v>337</v>
      </c>
      <c r="J51" s="78"/>
      <c r="K51" s="79"/>
      <c r="L51" s="80"/>
      <c r="M51" s="81"/>
      <c r="N51" s="83" t="s">
        <v>380</v>
      </c>
    </row>
    <row r="52">
      <c r="A52" s="75" t="s">
        <v>638</v>
      </c>
      <c r="B52" s="75" t="s">
        <v>374</v>
      </c>
      <c r="C52" s="75" t="s">
        <v>617</v>
      </c>
      <c r="D52" s="75"/>
      <c r="E52" s="75">
        <v>8.60369052166749E14</v>
      </c>
      <c r="F52" s="76" t="s">
        <v>398</v>
      </c>
      <c r="G52" s="68" t="s">
        <v>378</v>
      </c>
      <c r="H52" s="69">
        <v>45809.0</v>
      </c>
      <c r="I52" s="78" t="s">
        <v>337</v>
      </c>
      <c r="J52" s="78"/>
      <c r="K52" s="79"/>
      <c r="L52" s="80"/>
      <c r="M52" s="81"/>
    </row>
    <row r="53">
      <c r="A53" s="75" t="s">
        <v>640</v>
      </c>
      <c r="B53" s="75" t="s">
        <v>374</v>
      </c>
      <c r="C53" s="75" t="s">
        <v>617</v>
      </c>
      <c r="D53" s="75"/>
      <c r="E53" s="75">
        <v>8.60369052154547E14</v>
      </c>
      <c r="F53" s="76" t="s">
        <v>398</v>
      </c>
      <c r="G53" s="68" t="s">
        <v>378</v>
      </c>
      <c r="H53" s="69">
        <v>45809.0</v>
      </c>
      <c r="I53" s="78" t="s">
        <v>337</v>
      </c>
      <c r="J53" s="78"/>
      <c r="K53" s="79"/>
      <c r="L53" s="80"/>
      <c r="M53" s="81"/>
      <c r="N53" s="83" t="s">
        <v>380</v>
      </c>
    </row>
    <row r="54">
      <c r="A54" s="75" t="s">
        <v>644</v>
      </c>
      <c r="B54" s="75" t="s">
        <v>374</v>
      </c>
      <c r="C54" s="78" t="s">
        <v>647</v>
      </c>
      <c r="D54" s="75">
        <v>2024.0</v>
      </c>
      <c r="E54" s="75">
        <v>8.60369052141122E14</v>
      </c>
      <c r="F54" s="76" t="s">
        <v>398</v>
      </c>
      <c r="G54" s="68" t="s">
        <v>378</v>
      </c>
      <c r="H54" s="69">
        <v>45809.0</v>
      </c>
      <c r="I54" s="78" t="s">
        <v>337</v>
      </c>
      <c r="J54" s="78"/>
      <c r="K54" s="79"/>
      <c r="L54" s="80"/>
      <c r="M54" s="81"/>
    </row>
    <row r="55">
      <c r="A55" s="75" t="s">
        <v>650</v>
      </c>
      <c r="B55" s="75" t="s">
        <v>374</v>
      </c>
      <c r="C55" s="75" t="s">
        <v>617</v>
      </c>
      <c r="D55" s="75"/>
      <c r="E55" s="75">
        <v>8.60369052144019E14</v>
      </c>
      <c r="F55" s="76" t="s">
        <v>398</v>
      </c>
      <c r="G55" s="68" t="s">
        <v>378</v>
      </c>
      <c r="H55" s="69">
        <v>45809.0</v>
      </c>
      <c r="I55" s="78" t="s">
        <v>337</v>
      </c>
      <c r="J55" s="78"/>
      <c r="K55" s="79"/>
      <c r="L55" s="80"/>
      <c r="M55" s="81"/>
      <c r="N55" s="83" t="s">
        <v>380</v>
      </c>
    </row>
    <row r="56">
      <c r="A56" s="75" t="s">
        <v>654</v>
      </c>
      <c r="B56" s="75" t="s">
        <v>374</v>
      </c>
      <c r="C56" s="75" t="s">
        <v>617</v>
      </c>
      <c r="D56" s="75"/>
      <c r="E56" s="75">
        <v>8.60369052170766E14</v>
      </c>
      <c r="F56" s="76" t="s">
        <v>398</v>
      </c>
      <c r="G56" s="68" t="s">
        <v>378</v>
      </c>
      <c r="H56" s="69">
        <v>45809.0</v>
      </c>
      <c r="I56" s="78" t="s">
        <v>337</v>
      </c>
      <c r="J56" s="78"/>
      <c r="K56" s="79"/>
      <c r="L56" s="80"/>
      <c r="M56" s="81"/>
      <c r="N56" s="83" t="s">
        <v>380</v>
      </c>
    </row>
    <row r="57">
      <c r="A57" s="75" t="s">
        <v>659</v>
      </c>
      <c r="B57" s="75" t="s">
        <v>374</v>
      </c>
      <c r="C57" s="75" t="s">
        <v>617</v>
      </c>
      <c r="D57" s="75"/>
      <c r="E57" s="75">
        <v>8.60369052144969E14</v>
      </c>
      <c r="F57" s="76" t="s">
        <v>326</v>
      </c>
      <c r="G57" s="68" t="s">
        <v>378</v>
      </c>
      <c r="H57" s="69">
        <v>45809.0</v>
      </c>
      <c r="I57" s="78" t="s">
        <v>337</v>
      </c>
      <c r="J57" s="78"/>
      <c r="K57" s="79"/>
      <c r="L57" s="80"/>
      <c r="M57" s="81"/>
      <c r="N57" s="83" t="s">
        <v>380</v>
      </c>
    </row>
    <row r="58">
      <c r="A58" s="75" t="s">
        <v>663</v>
      </c>
      <c r="B58" s="75" t="s">
        <v>374</v>
      </c>
      <c r="C58" s="75" t="s">
        <v>617</v>
      </c>
      <c r="D58" s="75"/>
      <c r="E58" s="75">
        <v>8.60369052156401E14</v>
      </c>
      <c r="F58" s="76" t="s">
        <v>398</v>
      </c>
      <c r="G58" s="68" t="s">
        <v>378</v>
      </c>
      <c r="H58" s="69">
        <v>45809.0</v>
      </c>
      <c r="I58" s="78" t="s">
        <v>337</v>
      </c>
      <c r="J58" s="78"/>
      <c r="K58" s="79"/>
      <c r="L58" s="80"/>
      <c r="M58" s="81"/>
      <c r="N58" s="83" t="s">
        <v>380</v>
      </c>
    </row>
    <row r="59">
      <c r="A59" s="75" t="s">
        <v>667</v>
      </c>
      <c r="B59" s="75" t="s">
        <v>374</v>
      </c>
      <c r="C59" s="75" t="s">
        <v>617</v>
      </c>
      <c r="D59" s="75"/>
      <c r="E59" s="75">
        <v>8.60369052154794E14</v>
      </c>
      <c r="F59" s="76" t="s">
        <v>398</v>
      </c>
      <c r="G59" s="68" t="s">
        <v>378</v>
      </c>
      <c r="H59" s="69">
        <v>45809.0</v>
      </c>
      <c r="I59" s="78" t="s">
        <v>337</v>
      </c>
      <c r="J59" s="78"/>
      <c r="K59" s="79"/>
      <c r="L59" s="80"/>
      <c r="M59" s="81"/>
      <c r="N59" s="83" t="s">
        <v>380</v>
      </c>
    </row>
    <row r="60">
      <c r="A60" s="75" t="s">
        <v>671</v>
      </c>
      <c r="B60" s="75" t="s">
        <v>374</v>
      </c>
      <c r="C60" s="75" t="s">
        <v>617</v>
      </c>
      <c r="D60" s="75"/>
      <c r="E60" s="75">
        <v>8.60369052156377E14</v>
      </c>
      <c r="F60" s="76" t="s">
        <v>326</v>
      </c>
      <c r="G60" s="68" t="s">
        <v>378</v>
      </c>
      <c r="H60" s="69">
        <v>45809.0</v>
      </c>
      <c r="I60" s="78" t="s">
        <v>337</v>
      </c>
      <c r="J60" s="78"/>
      <c r="K60" s="79"/>
      <c r="L60" s="80"/>
      <c r="M60" s="81"/>
      <c r="N60" s="83" t="s">
        <v>380</v>
      </c>
    </row>
    <row r="61">
      <c r="A61" s="75" t="s">
        <v>675</v>
      </c>
      <c r="B61" s="75" t="s">
        <v>374</v>
      </c>
      <c r="C61" s="75" t="s">
        <v>647</v>
      </c>
      <c r="D61" s="75">
        <v>2024.0</v>
      </c>
      <c r="E61" s="75">
        <v>8.60369052139647E14</v>
      </c>
      <c r="F61" s="76" t="s">
        <v>398</v>
      </c>
      <c r="G61" s="68" t="s">
        <v>378</v>
      </c>
      <c r="H61" s="69">
        <v>45809.0</v>
      </c>
      <c r="I61" s="78" t="s">
        <v>337</v>
      </c>
      <c r="J61" s="78"/>
      <c r="K61" s="79"/>
      <c r="L61" s="80"/>
      <c r="M61" s="81"/>
    </row>
    <row r="62">
      <c r="A62" s="75" t="s">
        <v>681</v>
      </c>
      <c r="B62" s="75" t="s">
        <v>319</v>
      </c>
      <c r="C62" s="75" t="s">
        <v>683</v>
      </c>
      <c r="D62" s="75">
        <v>2025.0</v>
      </c>
      <c r="E62" s="75">
        <v>8.60369052142047E14</v>
      </c>
      <c r="F62" s="76" t="s">
        <v>398</v>
      </c>
      <c r="G62" s="68" t="s">
        <v>378</v>
      </c>
      <c r="H62" s="69">
        <v>45809.0</v>
      </c>
      <c r="I62" s="78" t="s">
        <v>337</v>
      </c>
      <c r="J62" s="78"/>
      <c r="K62" s="79"/>
      <c r="L62" s="80"/>
      <c r="M62" s="81"/>
    </row>
    <row r="63">
      <c r="A63" s="75" t="s">
        <v>684</v>
      </c>
      <c r="B63" s="75" t="s">
        <v>319</v>
      </c>
      <c r="C63" s="75" t="s">
        <v>683</v>
      </c>
      <c r="D63" s="75">
        <v>2025.0</v>
      </c>
      <c r="E63" s="75">
        <v>8.60369052155536E14</v>
      </c>
      <c r="F63" s="76" t="s">
        <v>398</v>
      </c>
      <c r="G63" s="68" t="s">
        <v>378</v>
      </c>
      <c r="H63" s="69">
        <v>45809.0</v>
      </c>
      <c r="I63" s="78" t="s">
        <v>337</v>
      </c>
      <c r="J63" s="78"/>
      <c r="K63" s="79"/>
      <c r="L63" s="80"/>
      <c r="M63" s="81"/>
    </row>
    <row r="64">
      <c r="A64" s="75" t="s">
        <v>686</v>
      </c>
      <c r="B64" s="75" t="s">
        <v>319</v>
      </c>
      <c r="C64" s="75" t="s">
        <v>683</v>
      </c>
      <c r="D64" s="75">
        <v>2025.0</v>
      </c>
      <c r="E64" s="75">
        <v>8.60369052174768E14</v>
      </c>
      <c r="F64" s="76" t="s">
        <v>398</v>
      </c>
      <c r="G64" s="68" t="s">
        <v>378</v>
      </c>
      <c r="H64" s="69">
        <v>45809.0</v>
      </c>
      <c r="I64" s="78" t="s">
        <v>337</v>
      </c>
      <c r="J64" s="78"/>
      <c r="K64" s="79"/>
      <c r="L64" s="80"/>
      <c r="M64" s="81"/>
    </row>
    <row r="65">
      <c r="A65" s="75" t="s">
        <v>694</v>
      </c>
      <c r="B65" s="75" t="s">
        <v>319</v>
      </c>
      <c r="C65" s="75" t="s">
        <v>683</v>
      </c>
      <c r="D65" s="75">
        <v>2025.0</v>
      </c>
      <c r="E65" s="75">
        <v>8.60369052122502E14</v>
      </c>
      <c r="F65" s="76" t="s">
        <v>398</v>
      </c>
      <c r="G65" s="68" t="s">
        <v>378</v>
      </c>
      <c r="H65" s="69">
        <v>45809.0</v>
      </c>
      <c r="I65" s="78" t="s">
        <v>337</v>
      </c>
      <c r="J65" s="78"/>
      <c r="K65" s="79"/>
      <c r="L65" s="80"/>
      <c r="M65" s="81"/>
    </row>
    <row r="66">
      <c r="A66" s="75" t="s">
        <v>698</v>
      </c>
      <c r="B66" s="75" t="s">
        <v>319</v>
      </c>
      <c r="C66" s="75" t="s">
        <v>683</v>
      </c>
      <c r="D66" s="75">
        <v>2025.0</v>
      </c>
      <c r="E66" s="75">
        <v>8.60369052434758E14</v>
      </c>
      <c r="F66" s="76" t="s">
        <v>398</v>
      </c>
      <c r="G66" s="68" t="s">
        <v>378</v>
      </c>
      <c r="H66" s="69">
        <v>45809.0</v>
      </c>
      <c r="I66" s="78" t="s">
        <v>337</v>
      </c>
      <c r="J66" s="78"/>
      <c r="K66" s="79"/>
      <c r="L66" s="80"/>
      <c r="M66" s="81"/>
    </row>
    <row r="67">
      <c r="A67" s="75" t="s">
        <v>702</v>
      </c>
      <c r="B67" s="75" t="s">
        <v>319</v>
      </c>
      <c r="C67" s="75" t="s">
        <v>683</v>
      </c>
      <c r="D67" s="75">
        <v>2025.0</v>
      </c>
      <c r="E67" s="75">
        <v>8.60369052406327E14</v>
      </c>
      <c r="F67" s="76" t="s">
        <v>398</v>
      </c>
      <c r="G67" s="68" t="s">
        <v>378</v>
      </c>
      <c r="H67" s="69">
        <v>45809.0</v>
      </c>
      <c r="I67" s="78" t="s">
        <v>337</v>
      </c>
      <c r="J67" s="78"/>
      <c r="K67" s="79"/>
      <c r="L67" s="80"/>
      <c r="M67" s="81"/>
    </row>
    <row r="68">
      <c r="A68" s="75" t="s">
        <v>705</v>
      </c>
      <c r="B68" s="75" t="s">
        <v>374</v>
      </c>
      <c r="C68" s="75" t="s">
        <v>707</v>
      </c>
      <c r="D68" s="75"/>
      <c r="E68" s="75">
        <v>8.60369052423637E14</v>
      </c>
      <c r="F68" s="76" t="s">
        <v>398</v>
      </c>
      <c r="G68" s="68" t="s">
        <v>378</v>
      </c>
      <c r="H68" s="69">
        <v>45809.0</v>
      </c>
      <c r="I68" s="78" t="s">
        <v>337</v>
      </c>
      <c r="J68" s="78"/>
      <c r="K68" s="79"/>
      <c r="L68" s="80"/>
      <c r="M68" s="81"/>
      <c r="N68" s="83" t="s">
        <v>380</v>
      </c>
    </row>
    <row r="69">
      <c r="A69" s="75" t="s">
        <v>710</v>
      </c>
      <c r="B69" s="75" t="s">
        <v>374</v>
      </c>
      <c r="C69" s="75" t="s">
        <v>707</v>
      </c>
      <c r="D69" s="75"/>
      <c r="E69" s="75">
        <v>8.60369052156443E14</v>
      </c>
      <c r="F69" s="76" t="s">
        <v>398</v>
      </c>
      <c r="G69" s="68" t="s">
        <v>378</v>
      </c>
      <c r="H69" s="69">
        <v>45809.0</v>
      </c>
      <c r="I69" s="78" t="s">
        <v>337</v>
      </c>
      <c r="J69" s="78"/>
      <c r="K69" s="79"/>
      <c r="L69" s="80"/>
      <c r="M69" s="81"/>
      <c r="N69" s="83" t="s">
        <v>380</v>
      </c>
    </row>
    <row r="70">
      <c r="A70" s="75" t="s">
        <v>714</v>
      </c>
      <c r="B70" s="75" t="s">
        <v>374</v>
      </c>
      <c r="C70" s="75" t="s">
        <v>707</v>
      </c>
      <c r="D70" s="75"/>
      <c r="E70" s="75">
        <v>8.60369052124474E14</v>
      </c>
      <c r="F70" s="76" t="s">
        <v>398</v>
      </c>
      <c r="G70" s="68" t="s">
        <v>378</v>
      </c>
      <c r="H70" s="69">
        <v>45809.0</v>
      </c>
      <c r="I70" s="78" t="s">
        <v>337</v>
      </c>
      <c r="J70" s="78"/>
      <c r="K70" s="79"/>
      <c r="L70" s="80"/>
      <c r="M70" s="81"/>
      <c r="N70" s="83" t="s">
        <v>380</v>
      </c>
    </row>
    <row r="71">
      <c r="A71" s="75" t="s">
        <v>720</v>
      </c>
      <c r="B71" s="75" t="s">
        <v>319</v>
      </c>
      <c r="C71" s="75" t="s">
        <v>723</v>
      </c>
      <c r="D71" s="75">
        <v>2024.0</v>
      </c>
      <c r="E71" s="75">
        <v>8.60369052471305E14</v>
      </c>
      <c r="F71" s="76" t="s">
        <v>326</v>
      </c>
      <c r="G71" s="68" t="s">
        <v>454</v>
      </c>
      <c r="H71" s="69">
        <v>45839.0</v>
      </c>
      <c r="I71" s="78" t="s">
        <v>337</v>
      </c>
      <c r="J71" s="78"/>
      <c r="K71" s="79"/>
      <c r="L71" s="80"/>
      <c r="M71" s="81"/>
      <c r="N71" s="83" t="s">
        <v>380</v>
      </c>
    </row>
    <row r="72">
      <c r="A72" s="75" t="s">
        <v>724</v>
      </c>
      <c r="B72" s="75" t="s">
        <v>319</v>
      </c>
      <c r="C72" s="75" t="s">
        <v>723</v>
      </c>
      <c r="D72" s="75">
        <v>2024.0</v>
      </c>
      <c r="E72" s="75">
        <v>8.60369052464128E14</v>
      </c>
      <c r="F72" s="76" t="s">
        <v>326</v>
      </c>
      <c r="G72" s="68" t="s">
        <v>454</v>
      </c>
      <c r="H72" s="69">
        <v>45839.0</v>
      </c>
      <c r="I72" s="78" t="s">
        <v>337</v>
      </c>
      <c r="J72" s="78"/>
      <c r="K72" s="79"/>
      <c r="L72" s="80"/>
      <c r="M72" s="81"/>
      <c r="N72" s="83" t="s">
        <v>380</v>
      </c>
    </row>
    <row r="73">
      <c r="A73" s="75" t="s">
        <v>729</v>
      </c>
      <c r="B73" s="75" t="s">
        <v>319</v>
      </c>
      <c r="C73" s="75" t="s">
        <v>723</v>
      </c>
      <c r="D73" s="75">
        <v>2024.0</v>
      </c>
      <c r="E73" s="75">
        <v>8.60369052171897E14</v>
      </c>
      <c r="F73" s="76" t="s">
        <v>326</v>
      </c>
      <c r="G73" s="68" t="s">
        <v>454</v>
      </c>
      <c r="H73" s="69">
        <v>45839.0</v>
      </c>
      <c r="I73" s="78" t="s">
        <v>337</v>
      </c>
      <c r="J73" s="78"/>
      <c r="K73" s="79"/>
      <c r="L73" s="80"/>
      <c r="M73" s="81"/>
      <c r="N73" s="83" t="s">
        <v>380</v>
      </c>
    </row>
    <row r="74">
      <c r="A74" s="75" t="s">
        <v>733</v>
      </c>
      <c r="B74" s="75" t="s">
        <v>319</v>
      </c>
      <c r="C74" s="75" t="s">
        <v>723</v>
      </c>
      <c r="D74" s="75">
        <v>2024.0</v>
      </c>
      <c r="E74" s="75">
        <v>8.60369052174099E14</v>
      </c>
      <c r="F74" s="76" t="s">
        <v>398</v>
      </c>
      <c r="G74" s="68" t="s">
        <v>454</v>
      </c>
      <c r="H74" s="69">
        <v>45839.0</v>
      </c>
      <c r="I74" s="78" t="s">
        <v>337</v>
      </c>
      <c r="J74" s="78"/>
      <c r="K74" s="79"/>
      <c r="L74" s="80"/>
      <c r="M74" s="81"/>
      <c r="N74" s="83" t="s">
        <v>380</v>
      </c>
    </row>
    <row r="75">
      <c r="A75" s="75" t="s">
        <v>737</v>
      </c>
      <c r="B75" s="75" t="s">
        <v>319</v>
      </c>
      <c r="C75" s="75" t="s">
        <v>723</v>
      </c>
      <c r="D75" s="75">
        <v>2024.0</v>
      </c>
      <c r="E75" s="75">
        <v>8.60369052467956E14</v>
      </c>
      <c r="F75" s="76" t="s">
        <v>326</v>
      </c>
      <c r="G75" s="68" t="s">
        <v>454</v>
      </c>
      <c r="H75" s="69">
        <v>45839.0</v>
      </c>
      <c r="I75" s="78" t="s">
        <v>337</v>
      </c>
      <c r="J75" s="78"/>
      <c r="K75" s="79"/>
      <c r="L75" s="80"/>
      <c r="M75" s="81"/>
      <c r="N75" s="83" t="s">
        <v>380</v>
      </c>
    </row>
    <row r="76">
      <c r="A76" s="75" t="s">
        <v>739</v>
      </c>
      <c r="B76" s="75" t="s">
        <v>319</v>
      </c>
      <c r="C76" s="75" t="s">
        <v>723</v>
      </c>
      <c r="D76" s="75">
        <v>2024.0</v>
      </c>
      <c r="E76" s="75">
        <v>8.6036905215481E14</v>
      </c>
      <c r="F76" s="76" t="s">
        <v>398</v>
      </c>
      <c r="G76" s="68" t="s">
        <v>454</v>
      </c>
      <c r="H76" s="69">
        <v>45839.0</v>
      </c>
      <c r="I76" s="78" t="s">
        <v>337</v>
      </c>
      <c r="J76" s="78"/>
      <c r="K76" s="79"/>
      <c r="L76" s="80"/>
      <c r="M76" s="81"/>
      <c r="N76" s="83" t="s">
        <v>380</v>
      </c>
    </row>
    <row r="77">
      <c r="A77" s="75" t="s">
        <v>742</v>
      </c>
      <c r="B77" s="75" t="s">
        <v>319</v>
      </c>
      <c r="C77" s="75" t="s">
        <v>723</v>
      </c>
      <c r="D77" s="75">
        <v>2024.0</v>
      </c>
      <c r="E77" s="75">
        <v>8.60369052457239E14</v>
      </c>
      <c r="F77" s="76" t="s">
        <v>326</v>
      </c>
      <c r="G77" s="68" t="s">
        <v>454</v>
      </c>
      <c r="H77" s="69">
        <v>45839.0</v>
      </c>
      <c r="I77" s="78" t="s">
        <v>337</v>
      </c>
      <c r="J77" s="78"/>
      <c r="K77" s="79"/>
      <c r="L77" s="80"/>
      <c r="M77" s="81"/>
      <c r="N77" s="83" t="s">
        <v>380</v>
      </c>
    </row>
    <row r="78">
      <c r="A78" s="75" t="s">
        <v>745</v>
      </c>
      <c r="B78" s="75" t="s">
        <v>319</v>
      </c>
      <c r="C78" s="75" t="s">
        <v>723</v>
      </c>
      <c r="D78" s="75">
        <v>2024.0</v>
      </c>
      <c r="E78" s="75">
        <v>8.60369052142385E14</v>
      </c>
      <c r="F78" s="76" t="s">
        <v>398</v>
      </c>
      <c r="G78" s="68" t="s">
        <v>454</v>
      </c>
      <c r="H78" s="69">
        <v>45839.0</v>
      </c>
      <c r="I78" s="78" t="s">
        <v>337</v>
      </c>
      <c r="J78" s="78"/>
      <c r="K78" s="79"/>
      <c r="L78" s="80"/>
      <c r="M78" s="81"/>
      <c r="N78" s="83" t="s">
        <v>380</v>
      </c>
    </row>
    <row r="79">
      <c r="A79" s="75" t="s">
        <v>747</v>
      </c>
      <c r="B79" s="75" t="s">
        <v>319</v>
      </c>
      <c r="C79" s="75" t="s">
        <v>723</v>
      </c>
      <c r="D79" s="75">
        <v>2024.0</v>
      </c>
      <c r="E79" s="75">
        <v>8.6036905210978E14</v>
      </c>
      <c r="F79" s="76" t="s">
        <v>398</v>
      </c>
      <c r="G79" s="68" t="s">
        <v>454</v>
      </c>
      <c r="H79" s="69">
        <v>45839.0</v>
      </c>
      <c r="I79" s="78" t="s">
        <v>337</v>
      </c>
      <c r="J79" s="78"/>
      <c r="K79" s="79"/>
      <c r="L79" s="80"/>
      <c r="M79" s="81"/>
      <c r="N79" s="83" t="s">
        <v>380</v>
      </c>
    </row>
    <row r="80">
      <c r="A80" s="75" t="s">
        <v>755</v>
      </c>
      <c r="B80" s="75" t="s">
        <v>319</v>
      </c>
      <c r="C80" s="75" t="s">
        <v>723</v>
      </c>
      <c r="D80" s="75">
        <v>2024.0</v>
      </c>
      <c r="E80" s="75">
        <v>8.60369052167267E14</v>
      </c>
      <c r="F80" s="76" t="s">
        <v>398</v>
      </c>
      <c r="G80" s="68" t="s">
        <v>454</v>
      </c>
      <c r="H80" s="69">
        <v>45839.0</v>
      </c>
      <c r="I80" s="78" t="s">
        <v>337</v>
      </c>
      <c r="J80" s="78"/>
      <c r="K80" s="79"/>
      <c r="L80" s="80"/>
      <c r="M80" s="81"/>
      <c r="N80" s="83" t="s">
        <v>380</v>
      </c>
    </row>
    <row r="81">
      <c r="A81" s="75" t="s">
        <v>758</v>
      </c>
      <c r="B81" s="75" t="s">
        <v>319</v>
      </c>
      <c r="C81" s="75" t="s">
        <v>723</v>
      </c>
      <c r="D81" s="75">
        <v>2024.0</v>
      </c>
      <c r="E81" s="75">
        <v>8.6036905240452E14</v>
      </c>
      <c r="F81" s="76" t="s">
        <v>398</v>
      </c>
      <c r="G81" s="68" t="s">
        <v>454</v>
      </c>
      <c r="H81" s="69">
        <v>45839.0</v>
      </c>
      <c r="I81" s="78" t="s">
        <v>337</v>
      </c>
      <c r="J81" s="78"/>
      <c r="K81" s="79"/>
      <c r="L81" s="80"/>
      <c r="M81" s="81"/>
      <c r="N81" s="83" t="s">
        <v>380</v>
      </c>
    </row>
    <row r="82">
      <c r="A82" s="75" t="s">
        <v>762</v>
      </c>
      <c r="B82" s="75" t="s">
        <v>319</v>
      </c>
      <c r="C82" s="75" t="s">
        <v>723</v>
      </c>
      <c r="D82" s="75">
        <v>2024.0</v>
      </c>
      <c r="E82" s="75">
        <v>8.60369052173281E14</v>
      </c>
      <c r="F82" s="76" t="s">
        <v>326</v>
      </c>
      <c r="G82" s="68" t="s">
        <v>454</v>
      </c>
      <c r="H82" s="69">
        <v>45839.0</v>
      </c>
      <c r="I82" s="78" t="s">
        <v>337</v>
      </c>
      <c r="J82" s="78"/>
      <c r="K82" s="79"/>
      <c r="L82" s="80"/>
      <c r="M82" s="81"/>
      <c r="N82" s="83" t="s">
        <v>380</v>
      </c>
    </row>
    <row r="83">
      <c r="A83" s="75" t="s">
        <v>767</v>
      </c>
      <c r="B83" s="75" t="s">
        <v>319</v>
      </c>
      <c r="C83" s="75" t="s">
        <v>723</v>
      </c>
      <c r="D83" s="75">
        <v>2024.0</v>
      </c>
      <c r="E83" s="75">
        <v>8.60369052149539E14</v>
      </c>
      <c r="F83" s="76" t="s">
        <v>398</v>
      </c>
      <c r="G83" s="68" t="s">
        <v>454</v>
      </c>
      <c r="H83" s="69">
        <v>45839.0</v>
      </c>
      <c r="I83" s="78" t="s">
        <v>337</v>
      </c>
      <c r="J83" s="78"/>
      <c r="K83" s="79"/>
      <c r="L83" s="80"/>
      <c r="M83" s="81"/>
      <c r="N83" s="83" t="s">
        <v>380</v>
      </c>
    </row>
    <row r="84">
      <c r="A84" s="75" t="s">
        <v>785</v>
      </c>
      <c r="B84" s="75" t="s">
        <v>319</v>
      </c>
      <c r="C84" s="75" t="s">
        <v>723</v>
      </c>
      <c r="D84" s="75">
        <v>2024.0</v>
      </c>
      <c r="E84" s="75">
        <v>8.60369052457668E14</v>
      </c>
      <c r="F84" s="76" t="s">
        <v>326</v>
      </c>
      <c r="G84" s="68" t="s">
        <v>454</v>
      </c>
      <c r="H84" s="69">
        <v>45839.0</v>
      </c>
      <c r="I84" s="78" t="s">
        <v>337</v>
      </c>
      <c r="J84" s="78"/>
      <c r="K84" s="79"/>
      <c r="L84" s="80"/>
      <c r="M84" s="81"/>
      <c r="N84" s="83" t="s">
        <v>380</v>
      </c>
    </row>
    <row r="85">
      <c r="A85" s="75" t="s">
        <v>793</v>
      </c>
      <c r="B85" s="75" t="s">
        <v>319</v>
      </c>
      <c r="C85" s="75" t="s">
        <v>723</v>
      </c>
      <c r="D85" s="75">
        <v>2024.0</v>
      </c>
      <c r="E85" s="75">
        <v>8.60369052461181E14</v>
      </c>
      <c r="F85" s="76" t="s">
        <v>326</v>
      </c>
      <c r="G85" s="68" t="s">
        <v>454</v>
      </c>
      <c r="H85" s="69">
        <v>45839.0</v>
      </c>
      <c r="I85" s="78" t="s">
        <v>337</v>
      </c>
      <c r="J85" s="78"/>
      <c r="K85" s="79"/>
      <c r="L85" s="80"/>
      <c r="M85" s="81"/>
      <c r="N85" s="83" t="s">
        <v>380</v>
      </c>
    </row>
    <row r="86">
      <c r="A86" s="75" t="s">
        <v>803</v>
      </c>
      <c r="B86" s="75" t="s">
        <v>319</v>
      </c>
      <c r="C86" s="75" t="s">
        <v>723</v>
      </c>
      <c r="D86" s="75">
        <v>2024.0</v>
      </c>
      <c r="E86" s="75">
        <v>8.60369052173794E14</v>
      </c>
      <c r="F86" s="76" t="s">
        <v>398</v>
      </c>
      <c r="G86" s="68" t="s">
        <v>454</v>
      </c>
      <c r="H86" s="69">
        <v>45839.0</v>
      </c>
      <c r="I86" s="78" t="s">
        <v>337</v>
      </c>
      <c r="J86" s="78"/>
      <c r="K86" s="79"/>
      <c r="L86" s="80"/>
      <c r="M86" s="81"/>
      <c r="N86" s="83" t="s">
        <v>380</v>
      </c>
    </row>
    <row r="87">
      <c r="A87" s="75" t="s">
        <v>807</v>
      </c>
      <c r="B87" s="75" t="s">
        <v>319</v>
      </c>
      <c r="C87" s="75" t="s">
        <v>723</v>
      </c>
      <c r="D87" s="75">
        <v>2024.0</v>
      </c>
      <c r="E87" s="75">
        <v>8.60369052117833E14</v>
      </c>
      <c r="F87" s="76" t="s">
        <v>398</v>
      </c>
      <c r="G87" s="68" t="s">
        <v>454</v>
      </c>
      <c r="H87" s="69">
        <v>45839.0</v>
      </c>
      <c r="I87" s="78" t="s">
        <v>337</v>
      </c>
      <c r="J87" s="78"/>
      <c r="K87" s="79"/>
      <c r="L87" s="80"/>
      <c r="M87" s="81"/>
      <c r="N87" s="83" t="s">
        <v>380</v>
      </c>
    </row>
    <row r="88">
      <c r="A88" s="75" t="s">
        <v>810</v>
      </c>
      <c r="B88" s="75" t="s">
        <v>319</v>
      </c>
      <c r="C88" s="75" t="s">
        <v>723</v>
      </c>
      <c r="D88" s="75">
        <v>2024.0</v>
      </c>
      <c r="E88" s="75">
        <v>8.60369052159298E14</v>
      </c>
      <c r="F88" s="76" t="s">
        <v>398</v>
      </c>
      <c r="G88" s="68" t="s">
        <v>454</v>
      </c>
      <c r="H88" s="69">
        <v>45839.0</v>
      </c>
      <c r="I88" s="78" t="s">
        <v>337</v>
      </c>
      <c r="J88" s="78"/>
      <c r="K88" s="79"/>
      <c r="L88" s="80"/>
      <c r="M88" s="81"/>
      <c r="N88" s="83" t="s">
        <v>380</v>
      </c>
    </row>
    <row r="89">
      <c r="A89" s="75" t="s">
        <v>817</v>
      </c>
      <c r="B89" s="75" t="s">
        <v>319</v>
      </c>
      <c r="C89" s="75" t="s">
        <v>723</v>
      </c>
      <c r="D89" s="75">
        <v>2024.0</v>
      </c>
      <c r="E89" s="75">
        <v>8.60369052144068E14</v>
      </c>
      <c r="F89" s="76" t="s">
        <v>398</v>
      </c>
      <c r="G89" s="68" t="s">
        <v>454</v>
      </c>
      <c r="H89" s="69">
        <v>45839.0</v>
      </c>
      <c r="I89" s="78" t="s">
        <v>337</v>
      </c>
      <c r="J89" s="78"/>
      <c r="K89" s="79"/>
      <c r="L89" s="110" t="s">
        <v>822</v>
      </c>
      <c r="M89" s="81"/>
      <c r="N89" s="83" t="s">
        <v>380</v>
      </c>
    </row>
    <row r="90">
      <c r="A90" s="75" t="s">
        <v>828</v>
      </c>
      <c r="B90" s="75" t="s">
        <v>319</v>
      </c>
      <c r="C90" s="75" t="s">
        <v>723</v>
      </c>
      <c r="D90" s="75">
        <v>2024.0</v>
      </c>
      <c r="E90" s="75">
        <v>8.6036905216876E14</v>
      </c>
      <c r="F90" s="76" t="s">
        <v>398</v>
      </c>
      <c r="G90" s="68" t="s">
        <v>454</v>
      </c>
      <c r="H90" s="69">
        <v>45839.0</v>
      </c>
      <c r="I90" s="78" t="s">
        <v>337</v>
      </c>
      <c r="J90" s="78"/>
      <c r="K90" s="79"/>
      <c r="L90" s="80"/>
      <c r="M90" s="81"/>
      <c r="N90" s="83" t="s">
        <v>380</v>
      </c>
    </row>
    <row r="91">
      <c r="A91" s="75" t="s">
        <v>832</v>
      </c>
      <c r="B91" s="75" t="s">
        <v>319</v>
      </c>
      <c r="C91" s="75" t="s">
        <v>723</v>
      </c>
      <c r="D91" s="75">
        <v>2024.0</v>
      </c>
      <c r="E91" s="75">
        <v>8.60369052458328E14</v>
      </c>
      <c r="F91" s="76" t="s">
        <v>326</v>
      </c>
      <c r="G91" s="68" t="s">
        <v>454</v>
      </c>
      <c r="H91" s="69">
        <v>45839.0</v>
      </c>
      <c r="I91" s="78" t="s">
        <v>337</v>
      </c>
      <c r="J91" s="78"/>
      <c r="K91" s="79"/>
      <c r="L91" s="80"/>
      <c r="M91" s="81"/>
      <c r="N91" s="83" t="s">
        <v>380</v>
      </c>
    </row>
    <row r="92">
      <c r="A92" s="75" t="s">
        <v>837</v>
      </c>
      <c r="B92" s="75" t="s">
        <v>319</v>
      </c>
      <c r="C92" s="75" t="s">
        <v>723</v>
      </c>
      <c r="D92" s="75">
        <v>2024.0</v>
      </c>
      <c r="E92" s="75">
        <v>8.60369052172119E14</v>
      </c>
      <c r="F92" s="76" t="s">
        <v>398</v>
      </c>
      <c r="G92" s="68" t="s">
        <v>454</v>
      </c>
      <c r="H92" s="69">
        <v>45839.0</v>
      </c>
      <c r="I92" s="78" t="s">
        <v>337</v>
      </c>
      <c r="J92" s="78"/>
      <c r="K92" s="79"/>
      <c r="L92" s="80"/>
      <c r="M92" s="81"/>
      <c r="N92" s="83" t="s">
        <v>380</v>
      </c>
    </row>
    <row r="93">
      <c r="A93" s="75" t="s">
        <v>844</v>
      </c>
      <c r="B93" s="75" t="s">
        <v>319</v>
      </c>
      <c r="C93" s="75" t="s">
        <v>723</v>
      </c>
      <c r="D93" s="75">
        <v>2024.0</v>
      </c>
      <c r="E93" s="75">
        <v>8.6036905210469E14</v>
      </c>
      <c r="F93" s="76" t="s">
        <v>398</v>
      </c>
      <c r="G93" s="68" t="s">
        <v>454</v>
      </c>
      <c r="H93" s="69">
        <v>45839.0</v>
      </c>
      <c r="I93" s="78" t="s">
        <v>337</v>
      </c>
      <c r="J93" s="78"/>
      <c r="K93" s="79"/>
      <c r="L93" s="80"/>
      <c r="M93" s="81"/>
      <c r="N93" s="83" t="s">
        <v>380</v>
      </c>
    </row>
    <row r="94">
      <c r="A94" s="75" t="s">
        <v>847</v>
      </c>
      <c r="B94" s="75" t="s">
        <v>319</v>
      </c>
      <c r="C94" s="75" t="s">
        <v>723</v>
      </c>
      <c r="D94" s="75">
        <v>2024.0</v>
      </c>
      <c r="E94" s="75">
        <v>8.60369052177258E14</v>
      </c>
      <c r="F94" s="76" t="s">
        <v>398</v>
      </c>
      <c r="G94" s="68" t="s">
        <v>454</v>
      </c>
      <c r="H94" s="69">
        <v>45839.0</v>
      </c>
      <c r="I94" s="78" t="s">
        <v>337</v>
      </c>
      <c r="J94" s="78"/>
      <c r="K94" s="79"/>
      <c r="L94" s="80"/>
      <c r="M94" s="81"/>
      <c r="N94" s="83" t="s">
        <v>380</v>
      </c>
    </row>
    <row r="95">
      <c r="A95" s="75" t="s">
        <v>850</v>
      </c>
      <c r="B95" s="75" t="s">
        <v>319</v>
      </c>
      <c r="C95" s="75" t="s">
        <v>723</v>
      </c>
      <c r="D95" s="75">
        <v>2024.0</v>
      </c>
      <c r="E95" s="75">
        <v>8.60369052467816E14</v>
      </c>
      <c r="F95" s="76" t="s">
        <v>326</v>
      </c>
      <c r="G95" s="68" t="s">
        <v>454</v>
      </c>
      <c r="H95" s="69">
        <v>45839.0</v>
      </c>
      <c r="I95" s="78" t="s">
        <v>337</v>
      </c>
      <c r="J95" s="78"/>
      <c r="K95" s="79"/>
      <c r="L95" s="80"/>
      <c r="M95" s="81"/>
      <c r="N95" s="83" t="s">
        <v>380</v>
      </c>
    </row>
    <row r="96">
      <c r="A96" s="75" t="s">
        <v>854</v>
      </c>
      <c r="B96" s="75" t="s">
        <v>319</v>
      </c>
      <c r="C96" s="75" t="s">
        <v>723</v>
      </c>
      <c r="D96" s="75">
        <v>2024.0</v>
      </c>
      <c r="E96" s="75">
        <v>8.60369052122296E14</v>
      </c>
      <c r="F96" s="76" t="s">
        <v>398</v>
      </c>
      <c r="G96" s="68" t="s">
        <v>454</v>
      </c>
      <c r="H96" s="69">
        <v>45839.0</v>
      </c>
      <c r="I96" s="78" t="s">
        <v>337</v>
      </c>
      <c r="J96" s="78"/>
      <c r="K96" s="79"/>
      <c r="L96" s="80"/>
      <c r="M96" s="81"/>
      <c r="N96" s="83" t="s">
        <v>380</v>
      </c>
    </row>
    <row r="97">
      <c r="A97" s="75" t="s">
        <v>857</v>
      </c>
      <c r="B97" s="75" t="s">
        <v>319</v>
      </c>
      <c r="C97" s="75" t="s">
        <v>723</v>
      </c>
      <c r="D97" s="75">
        <v>2024.0</v>
      </c>
      <c r="E97" s="75">
        <v>8.60369052167515E14</v>
      </c>
      <c r="F97" s="76" t="s">
        <v>398</v>
      </c>
      <c r="G97" s="68" t="s">
        <v>454</v>
      </c>
      <c r="H97" s="69">
        <v>45839.0</v>
      </c>
      <c r="I97" s="78" t="s">
        <v>337</v>
      </c>
      <c r="J97" s="78"/>
      <c r="K97" s="79"/>
      <c r="L97" s="80"/>
      <c r="M97" s="81"/>
      <c r="N97" s="83" t="s">
        <v>380</v>
      </c>
    </row>
    <row r="98">
      <c r="A98" s="75" t="s">
        <v>861</v>
      </c>
      <c r="B98" s="75" t="s">
        <v>319</v>
      </c>
      <c r="C98" s="75" t="s">
        <v>723</v>
      </c>
      <c r="D98" s="75">
        <v>2024.0</v>
      </c>
      <c r="E98" s="75">
        <v>8.60369052154737E14</v>
      </c>
      <c r="F98" s="76" t="s">
        <v>398</v>
      </c>
      <c r="G98" s="68" t="s">
        <v>454</v>
      </c>
      <c r="H98" s="69">
        <v>45839.0</v>
      </c>
      <c r="I98" s="78" t="s">
        <v>337</v>
      </c>
      <c r="J98" s="78"/>
      <c r="K98" s="79"/>
      <c r="L98" s="80"/>
      <c r="M98" s="81"/>
      <c r="N98" s="83" t="s">
        <v>380</v>
      </c>
    </row>
    <row r="99">
      <c r="A99" s="75" t="s">
        <v>865</v>
      </c>
      <c r="B99" s="75" t="s">
        <v>319</v>
      </c>
      <c r="C99" s="75" t="s">
        <v>723</v>
      </c>
      <c r="D99" s="75">
        <v>2024.0</v>
      </c>
      <c r="E99" s="75">
        <v>8.60369052176821E14</v>
      </c>
      <c r="F99" s="76" t="s">
        <v>398</v>
      </c>
      <c r="G99" s="68" t="s">
        <v>454</v>
      </c>
      <c r="H99" s="69">
        <v>45839.0</v>
      </c>
      <c r="I99" s="78" t="s">
        <v>337</v>
      </c>
      <c r="J99" s="78"/>
      <c r="K99" s="79"/>
      <c r="L99" s="80"/>
      <c r="M99" s="81"/>
      <c r="N99" s="83" t="s">
        <v>380</v>
      </c>
    </row>
    <row r="100">
      <c r="A100" s="75" t="s">
        <v>867</v>
      </c>
      <c r="B100" s="75" t="s">
        <v>319</v>
      </c>
      <c r="C100" s="75" t="s">
        <v>723</v>
      </c>
      <c r="D100" s="75">
        <v>2024.0</v>
      </c>
      <c r="E100" s="75">
        <v>8.60369052203815E14</v>
      </c>
      <c r="F100" s="76" t="s">
        <v>326</v>
      </c>
      <c r="G100" s="68" t="s">
        <v>454</v>
      </c>
      <c r="H100" s="69">
        <v>45839.0</v>
      </c>
      <c r="I100" s="78" t="s">
        <v>337</v>
      </c>
      <c r="J100" s="78"/>
      <c r="K100" s="79"/>
      <c r="L100" s="80"/>
      <c r="M100" s="81"/>
      <c r="N100" s="83" t="s">
        <v>380</v>
      </c>
    </row>
    <row r="101">
      <c r="A101" s="75" t="s">
        <v>873</v>
      </c>
      <c r="B101" s="75" t="s">
        <v>319</v>
      </c>
      <c r="C101" s="75" t="s">
        <v>723</v>
      </c>
      <c r="D101" s="75">
        <v>2024.0</v>
      </c>
      <c r="E101" s="75">
        <v>8.60369052140009E14</v>
      </c>
      <c r="F101" s="76" t="s">
        <v>326</v>
      </c>
      <c r="G101" s="68" t="s">
        <v>454</v>
      </c>
      <c r="H101" s="69">
        <v>45839.0</v>
      </c>
      <c r="I101" s="78" t="s">
        <v>337</v>
      </c>
      <c r="J101" s="78"/>
      <c r="K101" s="79"/>
      <c r="L101" s="80"/>
      <c r="M101" s="81"/>
      <c r="N101" s="83" t="s">
        <v>380</v>
      </c>
    </row>
    <row r="102">
      <c r="A102" s="75" t="s">
        <v>876</v>
      </c>
      <c r="B102" s="75" t="s">
        <v>319</v>
      </c>
      <c r="C102" s="75" t="s">
        <v>723</v>
      </c>
      <c r="D102" s="75">
        <v>2024.0</v>
      </c>
      <c r="E102" s="75">
        <v>8.60369052121058E14</v>
      </c>
      <c r="F102" s="76" t="s">
        <v>398</v>
      </c>
      <c r="G102" s="68" t="s">
        <v>454</v>
      </c>
      <c r="H102" s="69">
        <v>45839.0</v>
      </c>
      <c r="I102" s="78" t="s">
        <v>337</v>
      </c>
      <c r="J102" s="78"/>
      <c r="K102" s="79"/>
      <c r="L102" s="80"/>
      <c r="M102" s="81"/>
      <c r="N102" s="83" t="s">
        <v>380</v>
      </c>
    </row>
    <row r="103">
      <c r="A103" s="75" t="s">
        <v>881</v>
      </c>
      <c r="B103" s="75" t="s">
        <v>319</v>
      </c>
      <c r="C103" s="75" t="s">
        <v>723</v>
      </c>
      <c r="D103" s="75">
        <v>2024.0</v>
      </c>
      <c r="E103" s="75">
        <v>8.60369052157524E14</v>
      </c>
      <c r="F103" s="76" t="s">
        <v>398</v>
      </c>
      <c r="G103" s="68" t="s">
        <v>454</v>
      </c>
      <c r="H103" s="69">
        <v>45839.0</v>
      </c>
      <c r="I103" s="78" t="s">
        <v>337</v>
      </c>
      <c r="J103" s="78"/>
      <c r="K103" s="79"/>
      <c r="L103" s="80"/>
      <c r="M103" s="81"/>
      <c r="N103" s="83" t="s">
        <v>380</v>
      </c>
    </row>
    <row r="104">
      <c r="A104" s="75" t="s">
        <v>883</v>
      </c>
      <c r="B104" s="75" t="s">
        <v>884</v>
      </c>
      <c r="C104" s="114" t="s">
        <v>886</v>
      </c>
      <c r="D104" s="116">
        <v>2022.0</v>
      </c>
      <c r="E104" s="75">
        <v>8.60369054161227E14</v>
      </c>
      <c r="F104" s="76" t="s">
        <v>326</v>
      </c>
      <c r="G104" s="68" t="s">
        <v>230</v>
      </c>
      <c r="H104" s="69">
        <v>45887.0</v>
      </c>
      <c r="I104" s="78" t="s">
        <v>337</v>
      </c>
      <c r="J104" s="78"/>
      <c r="K104" s="79"/>
      <c r="L104" s="80"/>
      <c r="M104" s="81"/>
    </row>
    <row r="105">
      <c r="A105" s="75" t="s">
        <v>897</v>
      </c>
      <c r="B105" s="75" t="s">
        <v>884</v>
      </c>
      <c r="C105" s="114" t="s">
        <v>886</v>
      </c>
      <c r="D105" s="116">
        <v>2022.0</v>
      </c>
      <c r="E105" s="75">
        <v>8.60369054154016E14</v>
      </c>
      <c r="F105" s="76" t="s">
        <v>326</v>
      </c>
      <c r="G105" s="68" t="s">
        <v>230</v>
      </c>
      <c r="H105" s="69">
        <v>45887.0</v>
      </c>
      <c r="I105" s="78" t="s">
        <v>337</v>
      </c>
      <c r="J105" s="78"/>
      <c r="K105" s="79"/>
      <c r="L105" s="80"/>
      <c r="M105" s="81"/>
    </row>
    <row r="106">
      <c r="A106" s="75" t="s">
        <v>904</v>
      </c>
      <c r="B106" s="75" t="s">
        <v>884</v>
      </c>
      <c r="C106" s="114" t="s">
        <v>886</v>
      </c>
      <c r="D106" s="116">
        <v>2022.0</v>
      </c>
      <c r="E106" s="75">
        <v>8.60369054159411E14</v>
      </c>
      <c r="F106" s="76" t="s">
        <v>326</v>
      </c>
      <c r="G106" s="68" t="s">
        <v>230</v>
      </c>
      <c r="H106" s="69">
        <v>45887.0</v>
      </c>
      <c r="I106" s="78" t="s">
        <v>337</v>
      </c>
      <c r="J106" s="78"/>
      <c r="K106" s="79"/>
      <c r="L106" s="80"/>
      <c r="M106" s="81"/>
    </row>
    <row r="107">
      <c r="A107" s="75" t="s">
        <v>909</v>
      </c>
      <c r="B107" s="75" t="s">
        <v>884</v>
      </c>
      <c r="C107" s="114" t="s">
        <v>886</v>
      </c>
      <c r="D107" s="116">
        <v>2022.0</v>
      </c>
      <c r="E107" s="75">
        <v>8.60369054170657E14</v>
      </c>
      <c r="F107" s="76" t="s">
        <v>326</v>
      </c>
      <c r="G107" s="68" t="s">
        <v>230</v>
      </c>
      <c r="H107" s="69">
        <v>45887.0</v>
      </c>
      <c r="I107" s="78" t="s">
        <v>337</v>
      </c>
      <c r="J107" s="78"/>
      <c r="K107" s="79"/>
      <c r="L107" s="80"/>
      <c r="M107" s="81"/>
    </row>
    <row r="108">
      <c r="A108" s="75" t="s">
        <v>917</v>
      </c>
      <c r="B108" s="75" t="s">
        <v>884</v>
      </c>
      <c r="C108" s="114" t="s">
        <v>886</v>
      </c>
      <c r="D108" s="116">
        <v>2022.0</v>
      </c>
      <c r="E108" s="75">
        <v>8.60369054159072E14</v>
      </c>
      <c r="F108" s="76" t="s">
        <v>326</v>
      </c>
      <c r="G108" s="68" t="s">
        <v>230</v>
      </c>
      <c r="H108" s="69">
        <v>45887.0</v>
      </c>
      <c r="I108" s="78" t="s">
        <v>337</v>
      </c>
      <c r="J108" s="78"/>
      <c r="K108" s="79"/>
      <c r="L108" s="80"/>
      <c r="M108" s="81"/>
    </row>
    <row r="109">
      <c r="A109" s="75" t="s">
        <v>932</v>
      </c>
      <c r="B109" s="75" t="s">
        <v>884</v>
      </c>
      <c r="C109" s="114" t="s">
        <v>886</v>
      </c>
      <c r="D109" s="116">
        <v>2022.0</v>
      </c>
      <c r="E109" s="75">
        <v>8.60369052167499E14</v>
      </c>
      <c r="F109" s="76" t="s">
        <v>326</v>
      </c>
      <c r="G109" s="68" t="s">
        <v>230</v>
      </c>
      <c r="H109" s="69">
        <v>45887.0</v>
      </c>
      <c r="I109" s="78" t="s">
        <v>337</v>
      </c>
      <c r="J109" s="78"/>
      <c r="K109" s="79"/>
      <c r="L109" s="80"/>
      <c r="M109" s="81"/>
    </row>
    <row r="110">
      <c r="A110" s="75" t="s">
        <v>941</v>
      </c>
      <c r="B110" s="75" t="s">
        <v>884</v>
      </c>
      <c r="C110" s="114" t="s">
        <v>886</v>
      </c>
      <c r="D110" s="116">
        <v>2022.0</v>
      </c>
      <c r="E110" s="75">
        <v>8.60369054171457E14</v>
      </c>
      <c r="F110" s="76" t="s">
        <v>326</v>
      </c>
      <c r="G110" s="68" t="s">
        <v>230</v>
      </c>
      <c r="H110" s="69">
        <v>45887.0</v>
      </c>
      <c r="I110" s="78" t="s">
        <v>337</v>
      </c>
      <c r="J110" s="78"/>
      <c r="K110" s="79"/>
      <c r="L110" s="80"/>
      <c r="M110" s="81"/>
    </row>
    <row r="111">
      <c r="A111" s="75" t="s">
        <v>949</v>
      </c>
      <c r="B111" s="75" t="s">
        <v>884</v>
      </c>
      <c r="C111" s="114" t="s">
        <v>886</v>
      </c>
      <c r="D111" s="116">
        <v>2022.0</v>
      </c>
      <c r="E111" s="75">
        <v>8.60369052166574E14</v>
      </c>
      <c r="F111" s="76" t="s">
        <v>326</v>
      </c>
      <c r="G111" s="68" t="s">
        <v>230</v>
      </c>
      <c r="H111" s="69">
        <v>45887.0</v>
      </c>
      <c r="I111" s="78" t="s">
        <v>337</v>
      </c>
      <c r="J111" s="78"/>
      <c r="K111" s="79"/>
      <c r="L111" s="80"/>
      <c r="M111" s="81"/>
    </row>
    <row r="112">
      <c r="A112" s="75" t="s">
        <v>957</v>
      </c>
      <c r="B112" s="75" t="s">
        <v>884</v>
      </c>
      <c r="C112" s="114" t="s">
        <v>886</v>
      </c>
      <c r="D112" s="116">
        <v>2022.0</v>
      </c>
      <c r="E112" s="75">
        <v>8.60369054184559E14</v>
      </c>
      <c r="F112" s="76" t="s">
        <v>326</v>
      </c>
      <c r="G112" s="68" t="s">
        <v>230</v>
      </c>
      <c r="H112" s="69">
        <v>45887.0</v>
      </c>
      <c r="I112" s="78" t="s">
        <v>337</v>
      </c>
      <c r="J112" s="78"/>
      <c r="K112" s="79"/>
      <c r="L112" s="80"/>
      <c r="M112" s="81"/>
    </row>
    <row r="113">
      <c r="A113" s="75" t="s">
        <v>966</v>
      </c>
      <c r="B113" s="75" t="s">
        <v>884</v>
      </c>
      <c r="C113" s="114" t="s">
        <v>886</v>
      </c>
      <c r="D113" s="116">
        <v>2022.0</v>
      </c>
      <c r="E113" s="75">
        <v>8.60369054160948E14</v>
      </c>
      <c r="F113" s="76" t="s">
        <v>326</v>
      </c>
      <c r="G113" s="68" t="s">
        <v>230</v>
      </c>
      <c r="H113" s="69">
        <v>45887.0</v>
      </c>
      <c r="I113" s="78" t="s">
        <v>337</v>
      </c>
      <c r="J113" s="78"/>
      <c r="K113" s="79"/>
      <c r="L113" s="80"/>
      <c r="M113" s="81"/>
    </row>
    <row r="114">
      <c r="A114" s="75" t="s">
        <v>974</v>
      </c>
      <c r="B114" s="75" t="s">
        <v>884</v>
      </c>
      <c r="C114" s="114" t="s">
        <v>886</v>
      </c>
      <c r="D114" s="116">
        <v>2022.0</v>
      </c>
      <c r="E114" s="75">
        <v>8.60369054167083E14</v>
      </c>
      <c r="F114" s="76" t="s">
        <v>326</v>
      </c>
      <c r="G114" s="68" t="s">
        <v>230</v>
      </c>
      <c r="H114" s="69">
        <v>45887.0</v>
      </c>
      <c r="I114" s="78" t="s">
        <v>337</v>
      </c>
      <c r="J114" s="78"/>
      <c r="K114" s="79"/>
      <c r="L114" s="80"/>
      <c r="M114" s="81"/>
    </row>
    <row r="115">
      <c r="A115" s="75" t="s">
        <v>983</v>
      </c>
      <c r="B115" s="75" t="s">
        <v>884</v>
      </c>
      <c r="C115" s="114" t="s">
        <v>886</v>
      </c>
      <c r="D115" s="116">
        <v>2022.0</v>
      </c>
      <c r="E115" s="75">
        <v>8.60369054158835E14</v>
      </c>
      <c r="F115" s="76" t="s">
        <v>326</v>
      </c>
      <c r="G115" s="68" t="s">
        <v>230</v>
      </c>
      <c r="H115" s="69">
        <v>45887.0</v>
      </c>
      <c r="I115" s="78" t="s">
        <v>337</v>
      </c>
      <c r="J115" s="78"/>
      <c r="K115" s="79"/>
      <c r="L115" s="80"/>
      <c r="M115" s="81"/>
    </row>
    <row r="116">
      <c r="A116" s="75" t="s">
        <v>985</v>
      </c>
      <c r="B116" s="75" t="s">
        <v>884</v>
      </c>
      <c r="C116" s="114" t="s">
        <v>886</v>
      </c>
      <c r="D116" s="116">
        <v>2022.0</v>
      </c>
      <c r="E116" s="75">
        <v>8.60369054158892E14</v>
      </c>
      <c r="F116" s="76" t="s">
        <v>326</v>
      </c>
      <c r="G116" s="68" t="s">
        <v>230</v>
      </c>
      <c r="H116" s="69">
        <v>45887.0</v>
      </c>
      <c r="I116" s="78" t="s">
        <v>337</v>
      </c>
      <c r="J116" s="78"/>
      <c r="K116" s="79"/>
      <c r="L116" s="80"/>
      <c r="M116" s="81"/>
    </row>
    <row r="117">
      <c r="A117" s="75" t="s">
        <v>993</v>
      </c>
      <c r="B117" s="75" t="s">
        <v>884</v>
      </c>
      <c r="C117" s="114" t="s">
        <v>886</v>
      </c>
      <c r="D117" s="116">
        <v>2022.0</v>
      </c>
      <c r="E117" s="75">
        <v>8.60369054167497E14</v>
      </c>
      <c r="F117" s="76" t="s">
        <v>326</v>
      </c>
      <c r="G117" s="68" t="s">
        <v>230</v>
      </c>
      <c r="H117" s="69">
        <v>45887.0</v>
      </c>
      <c r="I117" s="78" t="s">
        <v>337</v>
      </c>
      <c r="J117" s="78"/>
      <c r="K117" s="79"/>
      <c r="L117" s="80"/>
      <c r="M117" s="81"/>
    </row>
    <row r="118">
      <c r="A118" s="75" t="s">
        <v>999</v>
      </c>
      <c r="B118" s="75" t="s">
        <v>884</v>
      </c>
      <c r="C118" s="114" t="s">
        <v>886</v>
      </c>
      <c r="D118" s="116">
        <v>2022.0</v>
      </c>
      <c r="E118" s="75">
        <v>8.60369054162431E14</v>
      </c>
      <c r="F118" s="76" t="s">
        <v>326</v>
      </c>
      <c r="G118" s="68" t="s">
        <v>230</v>
      </c>
      <c r="H118" s="69">
        <v>45887.0</v>
      </c>
      <c r="I118" s="78" t="s">
        <v>337</v>
      </c>
      <c r="J118" s="78"/>
      <c r="K118" s="79"/>
      <c r="L118" s="80"/>
      <c r="M118" s="81"/>
    </row>
    <row r="119">
      <c r="A119" s="75" t="s">
        <v>1007</v>
      </c>
      <c r="B119" s="75" t="s">
        <v>884</v>
      </c>
      <c r="C119" s="114" t="s">
        <v>886</v>
      </c>
      <c r="D119" s="116">
        <v>2022.0</v>
      </c>
      <c r="E119" s="75">
        <v>8.60369054153695E14</v>
      </c>
      <c r="F119" s="76" t="s">
        <v>326</v>
      </c>
      <c r="G119" s="68" t="s">
        <v>230</v>
      </c>
      <c r="H119" s="69">
        <v>45887.0</v>
      </c>
      <c r="I119" s="78" t="s">
        <v>337</v>
      </c>
      <c r="J119" s="78"/>
      <c r="K119" s="79"/>
      <c r="L119" s="80"/>
      <c r="M119" s="81"/>
    </row>
    <row r="120">
      <c r="A120" s="75" t="s">
        <v>1014</v>
      </c>
      <c r="B120" s="75" t="s">
        <v>884</v>
      </c>
      <c r="C120" s="114" t="s">
        <v>886</v>
      </c>
      <c r="D120" s="116">
        <v>2022.0</v>
      </c>
      <c r="E120" s="75">
        <v>8.60369054187362E14</v>
      </c>
      <c r="F120" s="76" t="s">
        <v>326</v>
      </c>
      <c r="G120" s="68" t="s">
        <v>230</v>
      </c>
      <c r="H120" s="69">
        <v>45887.0</v>
      </c>
      <c r="I120" s="78" t="s">
        <v>337</v>
      </c>
      <c r="J120" s="78"/>
      <c r="K120" s="79"/>
      <c r="L120" s="80"/>
      <c r="M120" s="81"/>
    </row>
    <row r="121">
      <c r="A121" s="75" t="s">
        <v>1017</v>
      </c>
      <c r="B121" s="75" t="s">
        <v>884</v>
      </c>
      <c r="C121" s="114" t="s">
        <v>886</v>
      </c>
      <c r="D121" s="116">
        <v>2022.0</v>
      </c>
      <c r="E121" s="75">
        <v>8.60369052406913E14</v>
      </c>
      <c r="F121" s="76" t="s">
        <v>398</v>
      </c>
      <c r="G121" s="68" t="s">
        <v>230</v>
      </c>
      <c r="H121" s="69">
        <v>45887.0</v>
      </c>
      <c r="I121" s="78" t="s">
        <v>337</v>
      </c>
      <c r="J121" s="78"/>
      <c r="K121" s="79"/>
      <c r="L121" s="80"/>
      <c r="M121" s="81"/>
    </row>
    <row r="122">
      <c r="A122" s="75" t="s">
        <v>1020</v>
      </c>
      <c r="B122" s="75" t="s">
        <v>884</v>
      </c>
      <c r="C122" s="114" t="s">
        <v>886</v>
      </c>
      <c r="D122" s="116">
        <v>2022.0</v>
      </c>
      <c r="E122" s="75">
        <v>8.60369054182306E14</v>
      </c>
      <c r="F122" s="76" t="s">
        <v>326</v>
      </c>
      <c r="G122" s="68" t="s">
        <v>230</v>
      </c>
      <c r="H122" s="69">
        <v>45887.0</v>
      </c>
      <c r="I122" s="78" t="s">
        <v>337</v>
      </c>
      <c r="J122" s="78"/>
      <c r="K122" s="79"/>
      <c r="L122" s="80"/>
      <c r="M122" s="81"/>
    </row>
    <row r="123">
      <c r="A123" s="75" t="s">
        <v>1024</v>
      </c>
      <c r="B123" s="75" t="s">
        <v>884</v>
      </c>
      <c r="C123" s="114" t="s">
        <v>886</v>
      </c>
      <c r="D123" s="116">
        <v>2022.0</v>
      </c>
      <c r="E123" s="75">
        <v>8.60369054153166E14</v>
      </c>
      <c r="F123" s="76" t="s">
        <v>326</v>
      </c>
      <c r="G123" s="68" t="s">
        <v>230</v>
      </c>
      <c r="H123" s="69">
        <v>45887.0</v>
      </c>
      <c r="I123" s="78" t="s">
        <v>337</v>
      </c>
      <c r="J123" s="78"/>
      <c r="K123" s="79"/>
      <c r="L123" s="80"/>
      <c r="M123" s="81"/>
    </row>
    <row r="124">
      <c r="A124" s="75" t="s">
        <v>1026</v>
      </c>
      <c r="B124" s="75" t="s">
        <v>884</v>
      </c>
      <c r="C124" s="114" t="s">
        <v>886</v>
      </c>
      <c r="D124" s="116">
        <v>2022.0</v>
      </c>
      <c r="E124" s="75">
        <v>8.60369054170855E14</v>
      </c>
      <c r="F124" s="76" t="s">
        <v>326</v>
      </c>
      <c r="G124" s="68" t="s">
        <v>230</v>
      </c>
      <c r="H124" s="69">
        <v>45887.0</v>
      </c>
      <c r="I124" s="78" t="s">
        <v>337</v>
      </c>
      <c r="J124" s="78"/>
      <c r="K124" s="79"/>
      <c r="L124" s="80"/>
      <c r="M124" s="81"/>
    </row>
    <row r="125">
      <c r="A125" s="75" t="s">
        <v>1031</v>
      </c>
      <c r="B125" s="75" t="s">
        <v>884</v>
      </c>
      <c r="C125" s="114" t="s">
        <v>886</v>
      </c>
      <c r="D125" s="116">
        <v>2022.0</v>
      </c>
      <c r="E125" s="75">
        <v>8.60369054187388E14</v>
      </c>
      <c r="F125" s="76" t="s">
        <v>326</v>
      </c>
      <c r="G125" s="68" t="s">
        <v>230</v>
      </c>
      <c r="H125" s="69">
        <v>45887.0</v>
      </c>
      <c r="I125" s="78" t="s">
        <v>337</v>
      </c>
      <c r="J125" s="78"/>
      <c r="K125" s="79"/>
      <c r="L125" s="80"/>
      <c r="M125" s="81"/>
    </row>
    <row r="126">
      <c r="A126" s="75" t="s">
        <v>1034</v>
      </c>
      <c r="B126" s="75" t="s">
        <v>884</v>
      </c>
      <c r="C126" s="114" t="s">
        <v>886</v>
      </c>
      <c r="D126" s="116">
        <v>2022.0</v>
      </c>
      <c r="E126" s="75">
        <v>8.60369054179906E14</v>
      </c>
      <c r="F126" s="76" t="s">
        <v>326</v>
      </c>
      <c r="G126" s="68" t="s">
        <v>230</v>
      </c>
      <c r="H126" s="69">
        <v>45887.0</v>
      </c>
      <c r="I126" s="78" t="s">
        <v>337</v>
      </c>
      <c r="J126" s="78"/>
      <c r="K126" s="79"/>
      <c r="L126" s="80"/>
      <c r="M126" s="81"/>
    </row>
    <row r="127">
      <c r="A127" s="75" t="s">
        <v>1039</v>
      </c>
      <c r="B127" s="75" t="s">
        <v>884</v>
      </c>
      <c r="C127" s="114" t="s">
        <v>886</v>
      </c>
      <c r="D127" s="116">
        <v>2022.0</v>
      </c>
      <c r="E127" s="75">
        <v>8.6036905418412E14</v>
      </c>
      <c r="F127" s="76" t="s">
        <v>326</v>
      </c>
      <c r="G127" s="68" t="s">
        <v>230</v>
      </c>
      <c r="H127" s="69">
        <v>45887.0</v>
      </c>
      <c r="I127" s="78" t="s">
        <v>337</v>
      </c>
      <c r="J127" s="78"/>
      <c r="K127" s="79"/>
      <c r="L127" s="80"/>
      <c r="M127" s="81"/>
    </row>
    <row r="128">
      <c r="A128" s="75" t="s">
        <v>1043</v>
      </c>
      <c r="B128" s="75" t="s">
        <v>884</v>
      </c>
      <c r="C128" s="114" t="s">
        <v>886</v>
      </c>
      <c r="D128" s="116">
        <v>2022.0</v>
      </c>
      <c r="E128" s="75">
        <v>8.60369054167794E14</v>
      </c>
      <c r="F128" s="76" t="s">
        <v>326</v>
      </c>
      <c r="G128" s="68" t="s">
        <v>230</v>
      </c>
      <c r="H128" s="69">
        <v>45887.0</v>
      </c>
      <c r="I128" s="78" t="s">
        <v>337</v>
      </c>
      <c r="J128" s="78"/>
      <c r="K128" s="79"/>
      <c r="L128" s="80"/>
      <c r="M128" s="81"/>
    </row>
    <row r="129">
      <c r="A129" s="75" t="s">
        <v>1046</v>
      </c>
      <c r="B129" s="75" t="s">
        <v>884</v>
      </c>
      <c r="C129" s="114" t="s">
        <v>886</v>
      </c>
      <c r="D129" s="116">
        <v>2022.0</v>
      </c>
      <c r="E129" s="75">
        <v>8.60369054153869E14</v>
      </c>
      <c r="F129" s="76" t="s">
        <v>326</v>
      </c>
      <c r="G129" s="68" t="s">
        <v>230</v>
      </c>
      <c r="H129" s="69">
        <v>45887.0</v>
      </c>
      <c r="I129" s="78" t="s">
        <v>337</v>
      </c>
      <c r="J129" s="78"/>
      <c r="K129" s="79"/>
      <c r="L129" s="80"/>
      <c r="M129" s="81"/>
    </row>
    <row r="130">
      <c r="A130" s="75" t="s">
        <v>1048</v>
      </c>
      <c r="B130" s="75" t="s">
        <v>884</v>
      </c>
      <c r="C130" s="114" t="s">
        <v>886</v>
      </c>
      <c r="D130" s="116">
        <v>2022.0</v>
      </c>
      <c r="E130" s="75">
        <v>8.60369052408778E14</v>
      </c>
      <c r="F130" s="76" t="s">
        <v>326</v>
      </c>
      <c r="G130" s="68" t="s">
        <v>230</v>
      </c>
      <c r="H130" s="69">
        <v>45887.0</v>
      </c>
      <c r="I130" s="78" t="s">
        <v>337</v>
      </c>
      <c r="J130" s="78"/>
      <c r="K130" s="79"/>
      <c r="L130" s="80"/>
      <c r="M130" s="81"/>
    </row>
    <row r="131">
      <c r="A131" s="75" t="s">
        <v>1050</v>
      </c>
      <c r="B131" s="75" t="s">
        <v>884</v>
      </c>
      <c r="C131" s="114" t="s">
        <v>886</v>
      </c>
      <c r="D131" s="116">
        <v>2022.0</v>
      </c>
      <c r="E131" s="75">
        <v>8.60369054154669E14</v>
      </c>
      <c r="F131" s="76" t="s">
        <v>326</v>
      </c>
      <c r="G131" s="68" t="s">
        <v>230</v>
      </c>
      <c r="H131" s="69">
        <v>45887.0</v>
      </c>
      <c r="I131" s="78" t="s">
        <v>337</v>
      </c>
      <c r="J131" s="78"/>
      <c r="K131" s="79"/>
      <c r="L131" s="80"/>
      <c r="M131" s="81"/>
    </row>
    <row r="132">
      <c r="A132" s="75" t="s">
        <v>1053</v>
      </c>
      <c r="B132" s="75" t="s">
        <v>884</v>
      </c>
      <c r="C132" s="114" t="s">
        <v>886</v>
      </c>
      <c r="D132" s="116">
        <v>2022.0</v>
      </c>
      <c r="E132" s="75">
        <v>8.6036905416521E14</v>
      </c>
      <c r="F132" s="76" t="s">
        <v>326</v>
      </c>
      <c r="G132" s="68" t="s">
        <v>230</v>
      </c>
      <c r="H132" s="69">
        <v>45887.0</v>
      </c>
      <c r="I132" s="78" t="s">
        <v>337</v>
      </c>
      <c r="J132" s="78"/>
      <c r="K132" s="79"/>
      <c r="L132" s="80"/>
      <c r="M132" s="81"/>
    </row>
    <row r="133">
      <c r="A133" s="75" t="s">
        <v>1055</v>
      </c>
      <c r="B133" s="75" t="s">
        <v>884</v>
      </c>
      <c r="C133" s="114" t="s">
        <v>886</v>
      </c>
      <c r="D133" s="116">
        <v>2022.0</v>
      </c>
      <c r="E133" s="75">
        <v>8.60369054181845E14</v>
      </c>
      <c r="F133" s="76" t="s">
        <v>326</v>
      </c>
      <c r="G133" s="68" t="s">
        <v>230</v>
      </c>
      <c r="H133" s="69">
        <v>45887.0</v>
      </c>
      <c r="I133" s="78" t="s">
        <v>337</v>
      </c>
      <c r="J133" s="78"/>
      <c r="K133" s="79"/>
      <c r="L133" s="80"/>
      <c r="M133" s="81"/>
    </row>
    <row r="134">
      <c r="A134" s="75" t="s">
        <v>1057</v>
      </c>
      <c r="B134" s="75" t="s">
        <v>1006</v>
      </c>
      <c r="C134" s="114" t="s">
        <v>1058</v>
      </c>
      <c r="D134" s="114">
        <v>2023.0</v>
      </c>
      <c r="E134" s="75">
        <v>8.60369054404072E14</v>
      </c>
      <c r="F134" s="76" t="s">
        <v>326</v>
      </c>
      <c r="G134" s="68" t="s">
        <v>230</v>
      </c>
      <c r="H134" s="69">
        <v>45887.0</v>
      </c>
      <c r="I134" s="78" t="s">
        <v>337</v>
      </c>
      <c r="J134" s="78"/>
      <c r="K134" s="79"/>
      <c r="L134" s="80"/>
      <c r="M134" s="81"/>
    </row>
    <row r="135">
      <c r="A135" s="75" t="s">
        <v>1061</v>
      </c>
      <c r="B135" s="75" t="s">
        <v>1006</v>
      </c>
      <c r="C135" s="114" t="s">
        <v>1058</v>
      </c>
      <c r="D135" s="114">
        <v>2023.0</v>
      </c>
      <c r="E135" s="75">
        <v>8.60369054401383E14</v>
      </c>
      <c r="F135" s="76" t="s">
        <v>326</v>
      </c>
      <c r="G135" s="68" t="s">
        <v>230</v>
      </c>
      <c r="H135" s="69">
        <v>45887.0</v>
      </c>
      <c r="I135" s="78" t="s">
        <v>337</v>
      </c>
      <c r="J135" s="78"/>
      <c r="K135" s="79"/>
      <c r="L135" s="80"/>
      <c r="M135" s="81"/>
    </row>
    <row r="136">
      <c r="A136" s="75" t="s">
        <v>1063</v>
      </c>
      <c r="B136" s="75" t="s">
        <v>1006</v>
      </c>
      <c r="C136" s="114" t="s">
        <v>1058</v>
      </c>
      <c r="D136" s="114">
        <v>2023.0</v>
      </c>
      <c r="E136" s="75">
        <v>8.60369054118938E14</v>
      </c>
      <c r="F136" s="76" t="s">
        <v>326</v>
      </c>
      <c r="G136" s="68" t="s">
        <v>230</v>
      </c>
      <c r="H136" s="69">
        <v>45887.0</v>
      </c>
      <c r="I136" s="78" t="s">
        <v>337</v>
      </c>
      <c r="J136" s="78"/>
      <c r="K136" s="79"/>
      <c r="L136" s="80"/>
      <c r="M136" s="81"/>
    </row>
    <row r="137">
      <c r="A137" s="75" t="s">
        <v>1065</v>
      </c>
      <c r="B137" s="75" t="s">
        <v>1006</v>
      </c>
      <c r="C137" s="114" t="s">
        <v>1058</v>
      </c>
      <c r="D137" s="114">
        <v>2023.0</v>
      </c>
      <c r="E137" s="75">
        <v>8.60369054407026E14</v>
      </c>
      <c r="F137" s="76" t="s">
        <v>326</v>
      </c>
      <c r="G137" s="68" t="s">
        <v>230</v>
      </c>
      <c r="H137" s="69">
        <v>45887.0</v>
      </c>
      <c r="I137" s="78" t="s">
        <v>337</v>
      </c>
      <c r="J137" s="78"/>
      <c r="K137" s="79"/>
      <c r="L137" s="80"/>
      <c r="M137" s="81"/>
    </row>
    <row r="138">
      <c r="A138" s="75" t="s">
        <v>1066</v>
      </c>
      <c r="B138" s="75" t="s">
        <v>1006</v>
      </c>
      <c r="C138" s="114" t="s">
        <v>1058</v>
      </c>
      <c r="D138" s="114">
        <v>2023.0</v>
      </c>
      <c r="E138" s="75">
        <v>8.60369054775513E14</v>
      </c>
      <c r="F138" s="76" t="s">
        <v>326</v>
      </c>
      <c r="G138" s="68" t="s">
        <v>230</v>
      </c>
      <c r="H138" s="69">
        <v>45887.0</v>
      </c>
      <c r="I138" s="78" t="s">
        <v>337</v>
      </c>
      <c r="J138" s="78"/>
      <c r="K138" s="79"/>
      <c r="L138" s="80"/>
      <c r="M138" s="81"/>
    </row>
    <row r="139">
      <c r="A139" s="75" t="s">
        <v>1069</v>
      </c>
      <c r="B139" s="75" t="s">
        <v>1006</v>
      </c>
      <c r="C139" s="114" t="s">
        <v>1058</v>
      </c>
      <c r="D139" s="114">
        <v>2023.0</v>
      </c>
      <c r="E139" s="75">
        <v>8.60369054402589E14</v>
      </c>
      <c r="F139" s="76" t="s">
        <v>326</v>
      </c>
      <c r="G139" s="68" t="s">
        <v>230</v>
      </c>
      <c r="H139" s="69">
        <v>45887.0</v>
      </c>
      <c r="I139" s="78" t="s">
        <v>337</v>
      </c>
      <c r="J139" s="78"/>
      <c r="K139" s="79"/>
      <c r="L139" s="80"/>
      <c r="M139" s="81"/>
    </row>
    <row r="140">
      <c r="A140" s="75" t="s">
        <v>1070</v>
      </c>
      <c r="B140" s="75" t="s">
        <v>1006</v>
      </c>
      <c r="C140" s="114" t="s">
        <v>1058</v>
      </c>
      <c r="D140" s="114">
        <v>2023.0</v>
      </c>
      <c r="E140" s="75">
        <v>8.60369054403918E14</v>
      </c>
      <c r="F140" s="76" t="s">
        <v>326</v>
      </c>
      <c r="G140" s="68" t="s">
        <v>230</v>
      </c>
      <c r="H140" s="69">
        <v>45887.0</v>
      </c>
      <c r="I140" s="78" t="s">
        <v>337</v>
      </c>
      <c r="J140" s="78"/>
      <c r="K140" s="79"/>
      <c r="L140" s="80"/>
      <c r="M140" s="81"/>
    </row>
    <row r="141">
      <c r="A141" s="75" t="s">
        <v>1075</v>
      </c>
      <c r="B141" s="75" t="s">
        <v>1006</v>
      </c>
      <c r="C141" s="114" t="s">
        <v>1058</v>
      </c>
      <c r="D141" s="114">
        <v>2023.0</v>
      </c>
      <c r="E141" s="75">
        <v>8.60369054417132E14</v>
      </c>
      <c r="F141" s="76" t="s">
        <v>326</v>
      </c>
      <c r="G141" s="68" t="s">
        <v>230</v>
      </c>
      <c r="H141" s="69">
        <v>45887.0</v>
      </c>
      <c r="I141" s="78" t="s">
        <v>337</v>
      </c>
      <c r="J141" s="78"/>
      <c r="K141" s="79"/>
      <c r="L141" s="80"/>
      <c r="M141" s="81"/>
    </row>
    <row r="142">
      <c r="A142" s="75" t="s">
        <v>1079</v>
      </c>
      <c r="B142" s="75" t="s">
        <v>1006</v>
      </c>
      <c r="C142" s="114" t="s">
        <v>1058</v>
      </c>
      <c r="D142" s="114">
        <v>2023.0</v>
      </c>
      <c r="E142" s="75">
        <v>8.60369054402951E14</v>
      </c>
      <c r="F142" s="76" t="s">
        <v>326</v>
      </c>
      <c r="G142" s="68" t="s">
        <v>230</v>
      </c>
      <c r="H142" s="69">
        <v>45887.0</v>
      </c>
      <c r="I142" s="78" t="s">
        <v>337</v>
      </c>
      <c r="J142" s="78"/>
      <c r="K142" s="79"/>
      <c r="L142" s="80"/>
      <c r="M142" s="81"/>
    </row>
    <row r="143">
      <c r="A143" s="75" t="s">
        <v>1081</v>
      </c>
      <c r="B143" s="75" t="s">
        <v>1006</v>
      </c>
      <c r="C143" s="114" t="s">
        <v>1058</v>
      </c>
      <c r="D143" s="114">
        <v>2023.0</v>
      </c>
      <c r="E143" s="75">
        <v>8.60369054401417E14</v>
      </c>
      <c r="F143" s="76" t="s">
        <v>326</v>
      </c>
      <c r="G143" s="68" t="s">
        <v>230</v>
      </c>
      <c r="H143" s="69">
        <v>45887.0</v>
      </c>
      <c r="I143" s="78" t="s">
        <v>337</v>
      </c>
      <c r="J143" s="78"/>
      <c r="K143" s="79"/>
      <c r="L143" s="80"/>
      <c r="M143" s="81"/>
    </row>
    <row r="144">
      <c r="A144" s="75" t="s">
        <v>1085</v>
      </c>
      <c r="B144" s="75" t="s">
        <v>1006</v>
      </c>
      <c r="C144" s="114" t="s">
        <v>1058</v>
      </c>
      <c r="D144" s="114">
        <v>2023.0</v>
      </c>
      <c r="E144" s="75">
        <v>8.6036905416677E14</v>
      </c>
      <c r="F144" s="76" t="s">
        <v>326</v>
      </c>
      <c r="G144" s="68" t="s">
        <v>230</v>
      </c>
      <c r="H144" s="69">
        <v>45887.0</v>
      </c>
      <c r="I144" s="78" t="s">
        <v>337</v>
      </c>
      <c r="J144" s="78"/>
      <c r="K144" s="79"/>
      <c r="L144" s="80"/>
      <c r="M144" s="81"/>
    </row>
    <row r="145">
      <c r="A145" s="75" t="s">
        <v>1087</v>
      </c>
      <c r="B145" s="75" t="s">
        <v>1006</v>
      </c>
      <c r="C145" s="114" t="s">
        <v>1058</v>
      </c>
      <c r="D145" s="114">
        <v>2023.0</v>
      </c>
      <c r="E145" s="75">
        <v>8.60369054154305E14</v>
      </c>
      <c r="F145" s="76" t="s">
        <v>326</v>
      </c>
      <c r="G145" s="68" t="s">
        <v>230</v>
      </c>
      <c r="H145" s="69">
        <v>45887.0</v>
      </c>
      <c r="I145" s="78" t="s">
        <v>337</v>
      </c>
      <c r="J145" s="78"/>
      <c r="K145" s="79"/>
      <c r="L145" s="80"/>
      <c r="M145" s="81"/>
    </row>
    <row r="146">
      <c r="A146" s="75" t="s">
        <v>1091</v>
      </c>
      <c r="B146" s="75" t="s">
        <v>1006</v>
      </c>
      <c r="C146" s="114" t="s">
        <v>1058</v>
      </c>
      <c r="D146" s="114">
        <v>2023.0</v>
      </c>
      <c r="E146" s="75">
        <v>8.60369054188782E14</v>
      </c>
      <c r="F146" s="76" t="s">
        <v>326</v>
      </c>
      <c r="G146" s="68" t="s">
        <v>230</v>
      </c>
      <c r="H146" s="69">
        <v>45887.0</v>
      </c>
      <c r="I146" s="78" t="s">
        <v>337</v>
      </c>
      <c r="J146" s="78"/>
      <c r="K146" s="79"/>
      <c r="L146" s="80"/>
      <c r="M146" s="81"/>
    </row>
    <row r="147">
      <c r="A147" s="75" t="s">
        <v>1094</v>
      </c>
      <c r="B147" s="75" t="s">
        <v>1006</v>
      </c>
      <c r="C147" s="114" t="s">
        <v>1058</v>
      </c>
      <c r="D147" s="114">
        <v>2023.0</v>
      </c>
      <c r="E147" s="75">
        <v>8.60369054182744E14</v>
      </c>
      <c r="F147" s="76" t="s">
        <v>326</v>
      </c>
      <c r="G147" s="68" t="s">
        <v>230</v>
      </c>
      <c r="H147" s="69">
        <v>45887.0</v>
      </c>
      <c r="I147" s="78" t="s">
        <v>337</v>
      </c>
      <c r="J147" s="78"/>
      <c r="K147" s="79"/>
      <c r="L147" s="80"/>
      <c r="M147" s="81"/>
    </row>
    <row r="148">
      <c r="A148" s="75" t="s">
        <v>1097</v>
      </c>
      <c r="B148" s="75" t="s">
        <v>1006</v>
      </c>
      <c r="C148" s="114" t="s">
        <v>1058</v>
      </c>
      <c r="D148" s="114">
        <v>2023.0</v>
      </c>
      <c r="E148" s="75">
        <v>8.60369054775356E14</v>
      </c>
      <c r="F148" s="76" t="s">
        <v>326</v>
      </c>
      <c r="G148" s="68" t="s">
        <v>230</v>
      </c>
      <c r="H148" s="69">
        <v>45887.0</v>
      </c>
      <c r="I148" s="78" t="s">
        <v>337</v>
      </c>
      <c r="J148" s="78"/>
      <c r="K148" s="79"/>
      <c r="L148" s="80"/>
      <c r="M148" s="81"/>
    </row>
    <row r="149">
      <c r="A149" s="75" t="s">
        <v>1099</v>
      </c>
      <c r="B149" s="75" t="s">
        <v>1006</v>
      </c>
      <c r="C149" s="114" t="s">
        <v>1058</v>
      </c>
      <c r="D149" s="114">
        <v>2023.0</v>
      </c>
      <c r="E149" s="75">
        <v>8.60369052170816E14</v>
      </c>
      <c r="F149" s="76" t="s">
        <v>398</v>
      </c>
      <c r="G149" s="68" t="s">
        <v>230</v>
      </c>
      <c r="H149" s="69">
        <v>45887.0</v>
      </c>
      <c r="I149" s="78" t="s">
        <v>337</v>
      </c>
      <c r="J149" s="78"/>
      <c r="K149" s="79"/>
      <c r="L149" s="80"/>
      <c r="M149" s="81"/>
      <c r="N149" s="83" t="s">
        <v>380</v>
      </c>
    </row>
    <row r="150">
      <c r="A150" s="75" t="s">
        <v>1101</v>
      </c>
      <c r="B150" s="75" t="s">
        <v>1006</v>
      </c>
      <c r="C150" s="114" t="s">
        <v>1058</v>
      </c>
      <c r="D150" s="114">
        <v>2023.0</v>
      </c>
      <c r="E150" s="75">
        <v>8.60369054722986E14</v>
      </c>
      <c r="F150" s="76" t="s">
        <v>326</v>
      </c>
      <c r="G150" s="68" t="s">
        <v>230</v>
      </c>
      <c r="H150" s="69">
        <v>45887.0</v>
      </c>
      <c r="I150" s="78" t="s">
        <v>337</v>
      </c>
      <c r="J150" s="78"/>
      <c r="K150" s="79"/>
      <c r="L150" s="80"/>
      <c r="M150" s="81"/>
      <c r="N150" s="83" t="s">
        <v>380</v>
      </c>
    </row>
    <row r="151">
      <c r="A151" s="75" t="s">
        <v>1104</v>
      </c>
      <c r="B151" s="75" t="s">
        <v>1006</v>
      </c>
      <c r="C151" s="114" t="s">
        <v>1058</v>
      </c>
      <c r="D151" s="114">
        <v>2023.0</v>
      </c>
      <c r="E151" s="75">
        <v>8.60369054123078E14</v>
      </c>
      <c r="F151" s="76" t="s">
        <v>326</v>
      </c>
      <c r="G151" s="68" t="s">
        <v>230</v>
      </c>
      <c r="H151" s="69">
        <v>45887.0</v>
      </c>
      <c r="I151" s="78" t="s">
        <v>337</v>
      </c>
      <c r="J151" s="78"/>
      <c r="K151" s="79"/>
      <c r="L151" s="80"/>
      <c r="M151" s="81"/>
      <c r="N151" s="83" t="s">
        <v>380</v>
      </c>
    </row>
    <row r="152">
      <c r="A152" s="75" t="s">
        <v>1108</v>
      </c>
      <c r="B152" s="75" t="s">
        <v>1006</v>
      </c>
      <c r="C152" s="114" t="s">
        <v>1058</v>
      </c>
      <c r="D152" s="114">
        <v>2023.0</v>
      </c>
      <c r="E152" s="75">
        <v>8.60369054194111E14</v>
      </c>
      <c r="F152" s="76" t="s">
        <v>326</v>
      </c>
      <c r="G152" s="68" t="s">
        <v>230</v>
      </c>
      <c r="H152" s="69">
        <v>45887.0</v>
      </c>
      <c r="I152" s="78" t="s">
        <v>337</v>
      </c>
      <c r="J152" s="78"/>
      <c r="K152" s="79"/>
      <c r="L152" s="80"/>
      <c r="M152" s="81"/>
      <c r="N152" s="83" t="s">
        <v>380</v>
      </c>
    </row>
    <row r="153">
      <c r="A153" s="75" t="s">
        <v>1110</v>
      </c>
      <c r="B153" s="75" t="s">
        <v>1006</v>
      </c>
      <c r="C153" s="114" t="s">
        <v>1058</v>
      </c>
      <c r="D153" s="114">
        <v>2023.0</v>
      </c>
      <c r="E153" s="75">
        <v>8.60369054415144E14</v>
      </c>
      <c r="F153" s="76" t="s">
        <v>326</v>
      </c>
      <c r="G153" s="68" t="s">
        <v>230</v>
      </c>
      <c r="H153" s="69">
        <v>45887.0</v>
      </c>
      <c r="I153" s="78" t="s">
        <v>337</v>
      </c>
      <c r="J153" s="78"/>
      <c r="K153" s="79"/>
      <c r="L153" s="80"/>
      <c r="M153" s="81"/>
      <c r="N153" s="83" t="s">
        <v>380</v>
      </c>
    </row>
    <row r="154">
      <c r="A154" s="75" t="s">
        <v>1114</v>
      </c>
      <c r="B154" s="75" t="s">
        <v>1006</v>
      </c>
      <c r="C154" s="114" t="s">
        <v>1058</v>
      </c>
      <c r="D154" s="114">
        <v>2023.0</v>
      </c>
      <c r="E154" s="75">
        <v>8.60369054419153E14</v>
      </c>
      <c r="F154" s="76" t="s">
        <v>326</v>
      </c>
      <c r="G154" s="68" t="s">
        <v>230</v>
      </c>
      <c r="H154" s="69">
        <v>45887.0</v>
      </c>
      <c r="I154" s="78" t="s">
        <v>337</v>
      </c>
      <c r="J154" s="78"/>
      <c r="K154" s="79"/>
      <c r="L154" s="80"/>
      <c r="M154" s="81"/>
      <c r="N154" s="83" t="s">
        <v>380</v>
      </c>
    </row>
    <row r="155">
      <c r="A155" s="75" t="s">
        <v>1117</v>
      </c>
      <c r="B155" s="75" t="s">
        <v>1006</v>
      </c>
      <c r="C155" s="114" t="s">
        <v>1058</v>
      </c>
      <c r="D155" s="114">
        <v>2023.0</v>
      </c>
      <c r="E155" s="75">
        <v>8.60369054193584E14</v>
      </c>
      <c r="F155" s="76" t="s">
        <v>326</v>
      </c>
      <c r="G155" s="68" t="s">
        <v>230</v>
      </c>
      <c r="H155" s="69">
        <v>45887.0</v>
      </c>
      <c r="I155" s="78" t="s">
        <v>337</v>
      </c>
      <c r="J155" s="78"/>
      <c r="K155" s="79"/>
      <c r="L155" s="80"/>
      <c r="M155" s="81"/>
      <c r="N155" s="83" t="s">
        <v>380</v>
      </c>
    </row>
    <row r="156">
      <c r="A156" s="75" t="s">
        <v>1123</v>
      </c>
      <c r="B156" s="75" t="s">
        <v>1006</v>
      </c>
      <c r="C156" s="114" t="s">
        <v>1058</v>
      </c>
      <c r="D156" s="114">
        <v>2023.0</v>
      </c>
      <c r="E156" s="75">
        <v>8.60369054402845E14</v>
      </c>
      <c r="F156" s="76" t="s">
        <v>326</v>
      </c>
      <c r="G156" s="68" t="s">
        <v>230</v>
      </c>
      <c r="H156" s="69">
        <v>45887.0</v>
      </c>
      <c r="I156" s="78" t="s">
        <v>337</v>
      </c>
      <c r="J156" s="78"/>
      <c r="K156" s="79"/>
      <c r="L156" s="80"/>
      <c r="M156" s="81"/>
      <c r="N156" s="83" t="s">
        <v>380</v>
      </c>
    </row>
    <row r="157">
      <c r="A157" s="75" t="s">
        <v>1125</v>
      </c>
      <c r="B157" s="75" t="s">
        <v>1006</v>
      </c>
      <c r="C157" s="114" t="s">
        <v>1058</v>
      </c>
      <c r="D157" s="114">
        <v>2023.0</v>
      </c>
      <c r="E157" s="75">
        <v>8.6036905214486E14</v>
      </c>
      <c r="F157" s="76" t="s">
        <v>398</v>
      </c>
      <c r="G157" s="68" t="s">
        <v>230</v>
      </c>
      <c r="H157" s="69">
        <v>45887.0</v>
      </c>
      <c r="I157" s="78" t="s">
        <v>337</v>
      </c>
      <c r="J157" s="78"/>
      <c r="K157" s="79"/>
      <c r="L157" s="80"/>
      <c r="M157" s="81"/>
      <c r="N157" s="83" t="s">
        <v>380</v>
      </c>
    </row>
    <row r="158">
      <c r="A158" s="75" t="s">
        <v>1127</v>
      </c>
      <c r="B158" s="75" t="s">
        <v>1006</v>
      </c>
      <c r="C158" s="114" t="s">
        <v>1058</v>
      </c>
      <c r="D158" s="114">
        <v>2023.0</v>
      </c>
      <c r="E158" s="75">
        <v>8.60369054195753E14</v>
      </c>
      <c r="F158" s="76" t="s">
        <v>326</v>
      </c>
      <c r="G158" s="68" t="s">
        <v>230</v>
      </c>
      <c r="H158" s="69">
        <v>45887.0</v>
      </c>
      <c r="I158" s="78" t="s">
        <v>337</v>
      </c>
      <c r="J158" s="78"/>
      <c r="K158" s="79"/>
      <c r="L158" s="80"/>
      <c r="M158" s="81"/>
      <c r="N158" s="83" t="s">
        <v>380</v>
      </c>
    </row>
    <row r="159">
      <c r="A159" s="75" t="s">
        <v>1130</v>
      </c>
      <c r="B159" s="75" t="s">
        <v>1006</v>
      </c>
      <c r="C159" s="114" t="s">
        <v>1058</v>
      </c>
      <c r="D159" s="114">
        <v>2023.0</v>
      </c>
      <c r="E159" s="75">
        <v>8.6036905411929E14</v>
      </c>
      <c r="F159" s="76" t="s">
        <v>326</v>
      </c>
      <c r="G159" s="68" t="s">
        <v>230</v>
      </c>
      <c r="H159" s="69">
        <v>45887.0</v>
      </c>
      <c r="I159" s="78" t="s">
        <v>337</v>
      </c>
      <c r="J159" s="78"/>
      <c r="K159" s="79"/>
      <c r="L159" s="80"/>
      <c r="M159" s="81"/>
      <c r="N159" s="83" t="s">
        <v>380</v>
      </c>
    </row>
    <row r="160">
      <c r="A160" s="75" t="s">
        <v>1133</v>
      </c>
      <c r="B160" s="75" t="s">
        <v>1006</v>
      </c>
      <c r="C160" s="114" t="s">
        <v>1058</v>
      </c>
      <c r="D160" s="114">
        <v>2023.0</v>
      </c>
      <c r="E160" s="75">
        <v>8.60369054184963E14</v>
      </c>
      <c r="F160" s="76" t="s">
        <v>326</v>
      </c>
      <c r="G160" s="68" t="s">
        <v>230</v>
      </c>
      <c r="H160" s="69">
        <v>45887.0</v>
      </c>
      <c r="I160" s="78" t="s">
        <v>337</v>
      </c>
      <c r="J160" s="78"/>
      <c r="K160" s="79"/>
      <c r="L160" s="80"/>
      <c r="M160" s="81"/>
      <c r="N160" s="83" t="s">
        <v>380</v>
      </c>
    </row>
    <row r="161">
      <c r="A161" s="75" t="s">
        <v>1135</v>
      </c>
      <c r="B161" s="75" t="s">
        <v>1006</v>
      </c>
      <c r="C161" s="114" t="s">
        <v>1058</v>
      </c>
      <c r="D161" s="114">
        <v>2023.0</v>
      </c>
      <c r="E161" s="75">
        <v>8.60369054191802E14</v>
      </c>
      <c r="F161" s="76" t="s">
        <v>326</v>
      </c>
      <c r="G161" s="68" t="s">
        <v>230</v>
      </c>
      <c r="H161" s="69">
        <v>45887.0</v>
      </c>
      <c r="I161" s="78" t="s">
        <v>337</v>
      </c>
      <c r="J161" s="78"/>
      <c r="K161" s="79"/>
      <c r="L161" s="80"/>
      <c r="M161" s="81"/>
      <c r="N161" s="83" t="s">
        <v>380</v>
      </c>
    </row>
    <row r="162">
      <c r="A162" s="75" t="s">
        <v>1138</v>
      </c>
      <c r="B162" s="75" t="s">
        <v>1006</v>
      </c>
      <c r="C162" s="114" t="s">
        <v>1058</v>
      </c>
      <c r="D162" s="114">
        <v>2023.0</v>
      </c>
      <c r="E162" s="75">
        <v>8.6036905477468E14</v>
      </c>
      <c r="F162" s="76" t="s">
        <v>326</v>
      </c>
      <c r="G162" s="68" t="s">
        <v>230</v>
      </c>
      <c r="H162" s="69">
        <v>45887.0</v>
      </c>
      <c r="I162" s="78" t="s">
        <v>337</v>
      </c>
      <c r="J162" s="78"/>
      <c r="K162" s="79"/>
      <c r="L162" s="80"/>
      <c r="M162" s="81"/>
      <c r="N162" s="83" t="s">
        <v>380</v>
      </c>
    </row>
    <row r="163">
      <c r="A163" s="75" t="s">
        <v>1140</v>
      </c>
      <c r="B163" s="75" t="s">
        <v>1006</v>
      </c>
      <c r="C163" s="114" t="s">
        <v>1058</v>
      </c>
      <c r="D163" s="114">
        <v>2023.0</v>
      </c>
      <c r="E163" s="75">
        <v>8.6036905419628E14</v>
      </c>
      <c r="F163" s="76" t="s">
        <v>326</v>
      </c>
      <c r="G163" s="68" t="s">
        <v>230</v>
      </c>
      <c r="H163" s="69">
        <v>45887.0</v>
      </c>
      <c r="I163" s="78" t="s">
        <v>337</v>
      </c>
      <c r="J163" s="78"/>
      <c r="K163" s="79"/>
      <c r="L163" s="80"/>
      <c r="M163" s="81"/>
      <c r="N163" s="83" t="s">
        <v>380</v>
      </c>
    </row>
    <row r="164">
      <c r="A164" s="75" t="s">
        <v>1143</v>
      </c>
      <c r="B164" s="75" t="s">
        <v>1006</v>
      </c>
      <c r="C164" s="114" t="s">
        <v>1058</v>
      </c>
      <c r="D164" s="114">
        <v>2023.0</v>
      </c>
      <c r="E164" s="75">
        <v>8.60369054401565E14</v>
      </c>
      <c r="F164" s="76" t="s">
        <v>326</v>
      </c>
      <c r="G164" s="68" t="s">
        <v>230</v>
      </c>
      <c r="H164" s="69">
        <v>45887.0</v>
      </c>
      <c r="I164" s="78" t="s">
        <v>337</v>
      </c>
      <c r="J164" s="78"/>
      <c r="K164" s="79"/>
      <c r="L164" s="80"/>
      <c r="M164" s="81"/>
      <c r="N164" s="83" t="s">
        <v>380</v>
      </c>
    </row>
    <row r="165">
      <c r="A165" s="75" t="s">
        <v>1146</v>
      </c>
      <c r="B165" s="75" t="s">
        <v>1006</v>
      </c>
      <c r="C165" s="114" t="s">
        <v>1058</v>
      </c>
      <c r="D165" s="114">
        <v>2023.0</v>
      </c>
      <c r="E165" s="75">
        <v>8.60369054405665E14</v>
      </c>
      <c r="F165" s="76" t="s">
        <v>326</v>
      </c>
      <c r="G165" s="68" t="s">
        <v>230</v>
      </c>
      <c r="H165" s="69">
        <v>45887.0</v>
      </c>
      <c r="I165" s="78" t="s">
        <v>337</v>
      </c>
      <c r="J165" s="78"/>
      <c r="K165" s="79"/>
      <c r="L165" s="80"/>
      <c r="M165" s="81"/>
      <c r="N165" s="83" t="s">
        <v>380</v>
      </c>
    </row>
    <row r="166">
      <c r="A166" s="75" t="s">
        <v>1149</v>
      </c>
      <c r="B166" s="75" t="s">
        <v>1006</v>
      </c>
      <c r="C166" s="114" t="s">
        <v>1058</v>
      </c>
      <c r="D166" s="114">
        <v>2023.0</v>
      </c>
      <c r="E166" s="75">
        <v>8.60369054402811E14</v>
      </c>
      <c r="F166" s="76" t="s">
        <v>326</v>
      </c>
      <c r="G166" s="68" t="s">
        <v>230</v>
      </c>
      <c r="H166" s="69">
        <v>45887.0</v>
      </c>
      <c r="I166" s="78" t="s">
        <v>337</v>
      </c>
      <c r="J166" s="78"/>
      <c r="K166" s="79"/>
      <c r="L166" s="80"/>
      <c r="M166" s="81"/>
      <c r="N166" s="83" t="s">
        <v>380</v>
      </c>
    </row>
    <row r="167">
      <c r="A167" s="75" t="s">
        <v>1152</v>
      </c>
      <c r="B167" s="75" t="s">
        <v>1006</v>
      </c>
      <c r="C167" s="114" t="s">
        <v>1058</v>
      </c>
      <c r="D167" s="114">
        <v>2023.0</v>
      </c>
      <c r="E167" s="75">
        <v>8.60369054759574E14</v>
      </c>
      <c r="F167" s="76" t="s">
        <v>326</v>
      </c>
      <c r="G167" s="68" t="s">
        <v>230</v>
      </c>
      <c r="H167" s="69">
        <v>45887.0</v>
      </c>
      <c r="I167" s="78" t="s">
        <v>337</v>
      </c>
      <c r="J167" s="78"/>
      <c r="K167" s="79"/>
      <c r="L167" s="80"/>
      <c r="M167" s="81"/>
      <c r="N167" s="83" t="s">
        <v>380</v>
      </c>
    </row>
    <row r="168">
      <c r="A168" s="75" t="s">
        <v>1154</v>
      </c>
      <c r="B168" s="75" t="s">
        <v>1006</v>
      </c>
      <c r="C168" s="114" t="s">
        <v>1058</v>
      </c>
      <c r="D168" s="114">
        <v>2023.0</v>
      </c>
      <c r="E168" s="75">
        <v>8.60369054759376E14</v>
      </c>
      <c r="F168" s="76" t="s">
        <v>326</v>
      </c>
      <c r="G168" s="68" t="s">
        <v>230</v>
      </c>
      <c r="H168" s="69">
        <v>45887.0</v>
      </c>
      <c r="I168" s="78" t="s">
        <v>337</v>
      </c>
      <c r="J168" s="78"/>
      <c r="K168" s="79"/>
      <c r="L168" s="80"/>
      <c r="M168" s="81"/>
      <c r="N168" s="83" t="s">
        <v>380</v>
      </c>
    </row>
    <row r="169">
      <c r="A169" s="75" t="s">
        <v>1156</v>
      </c>
      <c r="B169" s="75" t="s">
        <v>1006</v>
      </c>
      <c r="C169" s="114" t="s">
        <v>1058</v>
      </c>
      <c r="D169" s="114">
        <v>2023.0</v>
      </c>
      <c r="E169" s="75">
        <v>8.60369054183148E14</v>
      </c>
      <c r="F169" s="76" t="s">
        <v>326</v>
      </c>
      <c r="G169" s="68" t="s">
        <v>230</v>
      </c>
      <c r="H169" s="69">
        <v>45887.0</v>
      </c>
      <c r="I169" s="78" t="s">
        <v>337</v>
      </c>
      <c r="J169" s="78"/>
      <c r="K169" s="79"/>
      <c r="L169" s="80"/>
      <c r="M169" s="81"/>
      <c r="N169" s="83" t="s">
        <v>380</v>
      </c>
    </row>
    <row r="170">
      <c r="A170" s="75" t="s">
        <v>1157</v>
      </c>
      <c r="B170" s="75" t="s">
        <v>1006</v>
      </c>
      <c r="C170" s="114" t="s">
        <v>1058</v>
      </c>
      <c r="D170" s="114">
        <v>2023.0</v>
      </c>
      <c r="E170" s="75">
        <v>8.60369054739964E14</v>
      </c>
      <c r="F170" s="76" t="s">
        <v>326</v>
      </c>
      <c r="G170" s="68" t="s">
        <v>230</v>
      </c>
      <c r="H170" s="69">
        <v>45887.0</v>
      </c>
      <c r="I170" s="78" t="s">
        <v>337</v>
      </c>
      <c r="J170" s="78"/>
      <c r="K170" s="79"/>
      <c r="L170" s="80"/>
      <c r="M170" s="81"/>
      <c r="N170" s="83" t="s">
        <v>380</v>
      </c>
    </row>
    <row r="171">
      <c r="A171" s="75" t="s">
        <v>1160</v>
      </c>
      <c r="B171" s="75" t="s">
        <v>1006</v>
      </c>
      <c r="C171" s="114" t="s">
        <v>1058</v>
      </c>
      <c r="D171" s="114">
        <v>2023.0</v>
      </c>
      <c r="E171" s="75">
        <v>8.60369054726169E14</v>
      </c>
      <c r="F171" s="76" t="s">
        <v>326</v>
      </c>
      <c r="G171" s="68" t="s">
        <v>230</v>
      </c>
      <c r="H171" s="69">
        <v>45887.0</v>
      </c>
      <c r="I171" s="78" t="s">
        <v>337</v>
      </c>
      <c r="J171" s="78"/>
      <c r="K171" s="79"/>
      <c r="L171" s="80"/>
      <c r="M171" s="81"/>
      <c r="N171" s="83" t="s">
        <v>380</v>
      </c>
    </row>
    <row r="172">
      <c r="A172" s="75" t="s">
        <v>1162</v>
      </c>
      <c r="B172" s="75" t="s">
        <v>1006</v>
      </c>
      <c r="C172" s="114" t="s">
        <v>1058</v>
      </c>
      <c r="D172" s="114">
        <v>2023.0</v>
      </c>
      <c r="E172" s="75">
        <v>8.60369054743792E14</v>
      </c>
      <c r="F172" s="76" t="s">
        <v>326</v>
      </c>
      <c r="G172" s="68" t="s">
        <v>230</v>
      </c>
      <c r="H172" s="69">
        <v>45887.0</v>
      </c>
      <c r="I172" s="78" t="s">
        <v>337</v>
      </c>
      <c r="J172" s="78"/>
      <c r="K172" s="79"/>
      <c r="L172" s="80"/>
      <c r="M172" s="81"/>
      <c r="N172" s="83" t="s">
        <v>380</v>
      </c>
    </row>
    <row r="173">
      <c r="A173" s="75" t="s">
        <v>1164</v>
      </c>
      <c r="B173" s="75" t="s">
        <v>1006</v>
      </c>
      <c r="C173" s="114" t="s">
        <v>1058</v>
      </c>
      <c r="D173" s="114">
        <v>2023.0</v>
      </c>
      <c r="E173" s="75">
        <v>8.60369054412703E14</v>
      </c>
      <c r="F173" s="76" t="s">
        <v>326</v>
      </c>
      <c r="G173" s="68" t="s">
        <v>230</v>
      </c>
      <c r="H173" s="69">
        <v>45887.0</v>
      </c>
      <c r="I173" s="78" t="s">
        <v>337</v>
      </c>
      <c r="J173" s="78"/>
      <c r="K173" s="79"/>
      <c r="L173" s="80"/>
      <c r="M173" s="81"/>
      <c r="N173" s="83" t="s">
        <v>380</v>
      </c>
    </row>
    <row r="174">
      <c r="A174" s="75" t="s">
        <v>1166</v>
      </c>
      <c r="B174" s="75" t="s">
        <v>1006</v>
      </c>
      <c r="C174" s="114" t="s">
        <v>1058</v>
      </c>
      <c r="D174" s="114">
        <v>2023.0</v>
      </c>
      <c r="E174" s="75">
        <v>8.60369054733793E14</v>
      </c>
      <c r="F174" s="76" t="s">
        <v>326</v>
      </c>
      <c r="G174" s="68" t="s">
        <v>230</v>
      </c>
      <c r="H174" s="69">
        <v>45887.0</v>
      </c>
      <c r="I174" s="78" t="s">
        <v>337</v>
      </c>
      <c r="J174" s="78"/>
      <c r="K174" s="79"/>
      <c r="L174" s="80"/>
      <c r="M174" s="81"/>
      <c r="N174" s="83" t="s">
        <v>380</v>
      </c>
    </row>
    <row r="175">
      <c r="A175" s="75" t="s">
        <v>1167</v>
      </c>
      <c r="B175" s="75" t="s">
        <v>1006</v>
      </c>
      <c r="C175" s="114" t="s">
        <v>1058</v>
      </c>
      <c r="D175" s="114">
        <v>2023.0</v>
      </c>
      <c r="E175" s="75">
        <v>8.60369054405277E14</v>
      </c>
      <c r="F175" s="76" t="s">
        <v>326</v>
      </c>
      <c r="G175" s="68" t="s">
        <v>230</v>
      </c>
      <c r="H175" s="69">
        <v>45887.0</v>
      </c>
      <c r="I175" s="78" t="s">
        <v>337</v>
      </c>
      <c r="J175" s="78"/>
      <c r="K175" s="79"/>
      <c r="L175" s="80"/>
      <c r="M175" s="81"/>
      <c r="N175" s="83" t="s">
        <v>380</v>
      </c>
    </row>
    <row r="176">
      <c r="A176" s="75" t="s">
        <v>1169</v>
      </c>
      <c r="B176" s="75" t="s">
        <v>1006</v>
      </c>
      <c r="C176" s="114" t="s">
        <v>1058</v>
      </c>
      <c r="D176" s="114">
        <v>2023.0</v>
      </c>
      <c r="E176" s="75">
        <v>8.60369054120769E14</v>
      </c>
      <c r="F176" s="76" t="s">
        <v>326</v>
      </c>
      <c r="G176" s="68" t="s">
        <v>230</v>
      </c>
      <c r="H176" s="69">
        <v>45887.0</v>
      </c>
      <c r="I176" s="78" t="s">
        <v>337</v>
      </c>
      <c r="J176" s="78"/>
      <c r="K176" s="79"/>
      <c r="L176" s="80"/>
      <c r="M176" s="81"/>
      <c r="N176" s="83" t="s">
        <v>380</v>
      </c>
    </row>
    <row r="177">
      <c r="A177" s="75" t="s">
        <v>1172</v>
      </c>
      <c r="B177" s="75" t="s">
        <v>319</v>
      </c>
      <c r="C177" s="75" t="s">
        <v>723</v>
      </c>
      <c r="D177" s="75">
        <v>2022.0</v>
      </c>
      <c r="E177" s="75">
        <v>8.60369052470992E14</v>
      </c>
      <c r="F177" s="76" t="s">
        <v>398</v>
      </c>
      <c r="G177" s="68" t="s">
        <v>245</v>
      </c>
      <c r="H177" s="69">
        <v>45887.0</v>
      </c>
      <c r="I177" s="78" t="s">
        <v>337</v>
      </c>
      <c r="J177" s="78"/>
      <c r="K177" s="79"/>
      <c r="L177" s="80"/>
      <c r="M177" s="81"/>
      <c r="N177" s="83" t="s">
        <v>380</v>
      </c>
    </row>
    <row r="178">
      <c r="A178" s="75" t="s">
        <v>1174</v>
      </c>
      <c r="B178" s="75" t="s">
        <v>319</v>
      </c>
      <c r="C178" s="75" t="s">
        <v>723</v>
      </c>
      <c r="D178" s="75">
        <v>2022.0</v>
      </c>
      <c r="E178" s="75">
        <v>8.60369052154851E14</v>
      </c>
      <c r="F178" s="76" t="s">
        <v>326</v>
      </c>
      <c r="G178" s="68" t="s">
        <v>245</v>
      </c>
      <c r="H178" s="69">
        <v>45887.0</v>
      </c>
      <c r="I178" s="78" t="s">
        <v>337</v>
      </c>
      <c r="J178" s="78"/>
      <c r="K178" s="79"/>
      <c r="L178" s="80"/>
      <c r="M178" s="81"/>
      <c r="N178" s="83" t="s">
        <v>380</v>
      </c>
    </row>
    <row r="179">
      <c r="A179" s="75" t="s">
        <v>1175</v>
      </c>
      <c r="B179" s="75" t="s">
        <v>319</v>
      </c>
      <c r="C179" s="75" t="s">
        <v>723</v>
      </c>
      <c r="D179" s="75">
        <v>2022.0</v>
      </c>
      <c r="E179" s="75">
        <v>8.60369052461561E14</v>
      </c>
      <c r="F179" s="76" t="s">
        <v>398</v>
      </c>
      <c r="G179" s="68" t="s">
        <v>245</v>
      </c>
      <c r="H179" s="69">
        <v>45887.0</v>
      </c>
      <c r="I179" s="78" t="s">
        <v>337</v>
      </c>
      <c r="J179" s="78"/>
      <c r="K179" s="79"/>
      <c r="L179" s="80"/>
      <c r="M179" s="81"/>
      <c r="N179" s="83" t="s">
        <v>380</v>
      </c>
    </row>
    <row r="180">
      <c r="A180" s="75" t="s">
        <v>1178</v>
      </c>
      <c r="B180" s="75" t="s">
        <v>319</v>
      </c>
      <c r="C180" s="75" t="s">
        <v>723</v>
      </c>
      <c r="D180" s="75">
        <v>2022.0</v>
      </c>
      <c r="E180" s="75">
        <v>8.60369052154877E14</v>
      </c>
      <c r="F180" s="76" t="s">
        <v>326</v>
      </c>
      <c r="G180" s="68" t="s">
        <v>245</v>
      </c>
      <c r="H180" s="69">
        <v>45887.0</v>
      </c>
      <c r="I180" s="78" t="s">
        <v>337</v>
      </c>
      <c r="J180" s="78"/>
      <c r="K180" s="79"/>
      <c r="L180" s="80"/>
      <c r="M180" s="81"/>
      <c r="N180" s="83" t="s">
        <v>380</v>
      </c>
    </row>
    <row r="181">
      <c r="A181" s="75" t="s">
        <v>1179</v>
      </c>
      <c r="B181" s="75" t="s">
        <v>1006</v>
      </c>
      <c r="C181" s="114" t="s">
        <v>1058</v>
      </c>
      <c r="D181" s="114">
        <v>2023.0</v>
      </c>
      <c r="E181" s="75">
        <v>8.60369054194731E14</v>
      </c>
      <c r="F181" s="76" t="s">
        <v>326</v>
      </c>
      <c r="G181" s="68" t="s">
        <v>230</v>
      </c>
      <c r="H181" s="69">
        <v>45887.0</v>
      </c>
      <c r="I181" s="78" t="s">
        <v>337</v>
      </c>
      <c r="J181" s="78"/>
      <c r="K181" s="79"/>
      <c r="L181" s="80"/>
      <c r="M181" s="81"/>
      <c r="N181" s="83" t="s">
        <v>380</v>
      </c>
    </row>
    <row r="182">
      <c r="A182" s="75" t="s">
        <v>1181</v>
      </c>
      <c r="B182" s="75" t="s">
        <v>319</v>
      </c>
      <c r="C182" s="75" t="s">
        <v>723</v>
      </c>
      <c r="D182" s="75">
        <v>2018.0</v>
      </c>
      <c r="E182" s="75">
        <v>8.60369054155518E14</v>
      </c>
      <c r="F182" s="76" t="s">
        <v>326</v>
      </c>
      <c r="G182" s="68" t="s">
        <v>362</v>
      </c>
      <c r="H182" s="69">
        <v>45901.0</v>
      </c>
      <c r="I182" s="78" t="s">
        <v>337</v>
      </c>
      <c r="J182" s="78"/>
      <c r="K182" s="79"/>
      <c r="L182" s="80"/>
      <c r="M182" s="81"/>
    </row>
    <row r="183">
      <c r="A183" s="75" t="s">
        <v>1182</v>
      </c>
      <c r="B183" s="75" t="s">
        <v>319</v>
      </c>
      <c r="C183" s="75" t="s">
        <v>1183</v>
      </c>
      <c r="D183" s="75">
        <v>2018.0</v>
      </c>
      <c r="E183" s="75">
        <v>8.60369052429782E14</v>
      </c>
      <c r="F183" s="76" t="s">
        <v>326</v>
      </c>
      <c r="G183" s="68" t="s">
        <v>362</v>
      </c>
      <c r="H183" s="69">
        <v>45901.0</v>
      </c>
      <c r="I183" s="78" t="s">
        <v>337</v>
      </c>
      <c r="J183" s="78"/>
      <c r="K183" s="79"/>
      <c r="L183" s="80"/>
      <c r="M183" s="81"/>
    </row>
    <row r="184">
      <c r="A184" s="75" t="s">
        <v>1185</v>
      </c>
      <c r="B184" s="75" t="s">
        <v>319</v>
      </c>
      <c r="C184" s="75" t="s">
        <v>1186</v>
      </c>
      <c r="D184" s="75">
        <v>2019.0</v>
      </c>
      <c r="E184" s="75">
        <v>8.6036905416535E14</v>
      </c>
      <c r="F184" s="76" t="s">
        <v>326</v>
      </c>
      <c r="G184" s="68" t="s">
        <v>362</v>
      </c>
      <c r="H184" s="69">
        <v>45901.0</v>
      </c>
      <c r="I184" s="78" t="s">
        <v>337</v>
      </c>
      <c r="J184" s="78"/>
      <c r="K184" s="79"/>
      <c r="L184" s="80"/>
      <c r="M184" s="81"/>
    </row>
    <row r="185">
      <c r="A185" s="75" t="s">
        <v>1187</v>
      </c>
      <c r="B185" s="75" t="s">
        <v>319</v>
      </c>
      <c r="C185" s="75" t="s">
        <v>1188</v>
      </c>
      <c r="D185" s="75">
        <v>2020.0</v>
      </c>
      <c r="E185" s="75">
        <v>8.60369054172778E14</v>
      </c>
      <c r="F185" s="76" t="s">
        <v>326</v>
      </c>
      <c r="G185" s="68" t="s">
        <v>362</v>
      </c>
      <c r="H185" s="69">
        <v>45901.0</v>
      </c>
      <c r="I185" s="78" t="s">
        <v>337</v>
      </c>
      <c r="J185" s="78"/>
      <c r="K185" s="79"/>
      <c r="L185" s="80"/>
      <c r="M185" s="81"/>
    </row>
    <row r="186">
      <c r="A186" s="76" t="s">
        <v>1191</v>
      </c>
      <c r="B186" s="75" t="s">
        <v>389</v>
      </c>
      <c r="C186" s="76" t="s">
        <v>1193</v>
      </c>
      <c r="D186" s="76">
        <v>2021.0</v>
      </c>
      <c r="E186" s="75">
        <v>8.60369054413149E14</v>
      </c>
      <c r="F186" s="76" t="s">
        <v>326</v>
      </c>
      <c r="G186" s="68" t="s">
        <v>362</v>
      </c>
      <c r="H186" s="69">
        <v>45901.0</v>
      </c>
      <c r="I186" s="78" t="s">
        <v>337</v>
      </c>
      <c r="J186" s="78"/>
      <c r="K186" s="79"/>
      <c r="L186" s="80"/>
      <c r="M186" s="81"/>
    </row>
    <row r="187">
      <c r="A187" s="75" t="s">
        <v>1195</v>
      </c>
      <c r="B187" s="75" t="s">
        <v>319</v>
      </c>
      <c r="C187" s="75" t="s">
        <v>1196</v>
      </c>
      <c r="D187" s="75">
        <v>2022.0</v>
      </c>
      <c r="E187" s="75">
        <v>8.60369052433305E14</v>
      </c>
      <c r="F187" s="76" t="s">
        <v>326</v>
      </c>
      <c r="G187" s="68" t="s">
        <v>362</v>
      </c>
      <c r="H187" s="69">
        <v>45901.0</v>
      </c>
      <c r="I187" s="78" t="s">
        <v>337</v>
      </c>
      <c r="J187" s="78"/>
      <c r="K187" s="79"/>
      <c r="L187" s="80"/>
      <c r="M187" s="81"/>
    </row>
    <row r="188">
      <c r="A188" s="75" t="s">
        <v>1198</v>
      </c>
      <c r="B188" s="75" t="s">
        <v>319</v>
      </c>
      <c r="C188" s="75" t="s">
        <v>1196</v>
      </c>
      <c r="D188" s="75">
        <v>2022.0</v>
      </c>
      <c r="E188" s="75">
        <v>8.60369054172885E14</v>
      </c>
      <c r="F188" s="76" t="s">
        <v>326</v>
      </c>
      <c r="G188" s="68" t="s">
        <v>362</v>
      </c>
      <c r="H188" s="69">
        <v>45901.0</v>
      </c>
      <c r="I188" s="78" t="s">
        <v>337</v>
      </c>
      <c r="J188" s="78"/>
      <c r="K188" s="79"/>
      <c r="L188" s="80"/>
      <c r="M188" s="81"/>
    </row>
    <row r="189">
      <c r="A189" s="75" t="s">
        <v>1199</v>
      </c>
      <c r="B189" s="75" t="s">
        <v>319</v>
      </c>
      <c r="C189" s="75" t="s">
        <v>1200</v>
      </c>
      <c r="D189" s="75">
        <v>2024.0</v>
      </c>
      <c r="E189" s="75">
        <v>8.60369054158231E14</v>
      </c>
      <c r="F189" s="76" t="s">
        <v>326</v>
      </c>
      <c r="G189" s="68" t="s">
        <v>362</v>
      </c>
      <c r="H189" s="69">
        <v>45901.0</v>
      </c>
      <c r="I189" s="78" t="s">
        <v>337</v>
      </c>
      <c r="J189" s="78"/>
      <c r="K189" s="79"/>
      <c r="L189" s="80"/>
      <c r="M189" s="81"/>
    </row>
    <row r="190">
      <c r="A190" s="75" t="s">
        <v>1202</v>
      </c>
      <c r="B190" s="75" t="s">
        <v>319</v>
      </c>
      <c r="C190" s="75" t="s">
        <v>1200</v>
      </c>
      <c r="D190" s="75">
        <v>2024.0</v>
      </c>
      <c r="E190" s="75">
        <v>8.60369054416795E14</v>
      </c>
      <c r="F190" s="76" t="s">
        <v>326</v>
      </c>
      <c r="G190" s="68" t="s">
        <v>362</v>
      </c>
      <c r="H190" s="69">
        <v>45901.0</v>
      </c>
      <c r="I190" s="78" t="s">
        <v>337</v>
      </c>
      <c r="J190" s="78"/>
      <c r="K190" s="79"/>
      <c r="L190" s="80"/>
      <c r="M190" s="81"/>
    </row>
    <row r="191">
      <c r="A191" s="75" t="s">
        <v>1203</v>
      </c>
      <c r="B191" s="75" t="s">
        <v>319</v>
      </c>
      <c r="C191" s="75" t="s">
        <v>1200</v>
      </c>
      <c r="D191" s="75">
        <v>2024.0</v>
      </c>
      <c r="E191" s="75">
        <v>8.60369052701107E14</v>
      </c>
      <c r="F191" s="76" t="s">
        <v>326</v>
      </c>
      <c r="G191" s="68" t="s">
        <v>362</v>
      </c>
      <c r="H191" s="69">
        <v>45901.0</v>
      </c>
      <c r="I191" s="78" t="s">
        <v>337</v>
      </c>
      <c r="J191" s="78"/>
      <c r="K191" s="79"/>
      <c r="L191" s="80"/>
      <c r="M191" s="81"/>
    </row>
    <row r="192">
      <c r="A192" s="75" t="s">
        <v>1205</v>
      </c>
      <c r="B192" s="75" t="s">
        <v>319</v>
      </c>
      <c r="C192" s="75" t="s">
        <v>321</v>
      </c>
      <c r="D192" s="75">
        <v>2021.0</v>
      </c>
      <c r="E192" s="75">
        <v>8.60369052700596E14</v>
      </c>
      <c r="F192" s="76" t="s">
        <v>326</v>
      </c>
      <c r="G192" s="68" t="s">
        <v>285</v>
      </c>
      <c r="H192" s="69">
        <v>45901.0</v>
      </c>
      <c r="I192" s="78" t="s">
        <v>337</v>
      </c>
      <c r="J192" s="78"/>
      <c r="K192" s="79"/>
      <c r="L192" s="80"/>
      <c r="M192" s="81"/>
      <c r="N192" s="83" t="s">
        <v>380</v>
      </c>
    </row>
    <row r="193">
      <c r="A193" s="75" t="s">
        <v>1206</v>
      </c>
      <c r="B193" s="75" t="s">
        <v>319</v>
      </c>
      <c r="C193" s="75" t="s">
        <v>321</v>
      </c>
      <c r="D193" s="75">
        <v>2022.0</v>
      </c>
      <c r="E193" s="75">
        <v>8.60369054403025E14</v>
      </c>
      <c r="F193" s="76" t="s">
        <v>326</v>
      </c>
      <c r="G193" s="68" t="s">
        <v>285</v>
      </c>
      <c r="H193" s="69">
        <v>45901.0</v>
      </c>
      <c r="I193" s="78" t="s">
        <v>337</v>
      </c>
      <c r="J193" s="78"/>
      <c r="K193" s="79"/>
      <c r="L193" s="80"/>
      <c r="M193" s="81"/>
      <c r="N193" s="83" t="s">
        <v>380</v>
      </c>
    </row>
    <row r="194">
      <c r="A194" s="75" t="s">
        <v>1207</v>
      </c>
      <c r="B194" s="75" t="s">
        <v>319</v>
      </c>
      <c r="C194" s="75" t="s">
        <v>321</v>
      </c>
      <c r="D194" s="75">
        <v>2021.0</v>
      </c>
      <c r="E194" s="75">
        <v>8.60369052440409E14</v>
      </c>
      <c r="F194" s="76" t="s">
        <v>326</v>
      </c>
      <c r="G194" s="68" t="s">
        <v>285</v>
      </c>
      <c r="H194" s="69">
        <v>45901.0</v>
      </c>
      <c r="I194" s="78" t="s">
        <v>337</v>
      </c>
      <c r="J194" s="78"/>
      <c r="K194" s="79"/>
      <c r="L194" s="80"/>
      <c r="M194" s="81"/>
      <c r="N194" s="83" t="s">
        <v>380</v>
      </c>
    </row>
    <row r="195">
      <c r="A195" s="75" t="s">
        <v>1209</v>
      </c>
      <c r="B195" s="75" t="s">
        <v>319</v>
      </c>
      <c r="C195" s="75" t="s">
        <v>321</v>
      </c>
      <c r="D195" s="75">
        <v>2024.0</v>
      </c>
      <c r="E195" s="75">
        <v>8.60369052705413E14</v>
      </c>
      <c r="F195" s="76" t="s">
        <v>326</v>
      </c>
      <c r="G195" s="68" t="s">
        <v>285</v>
      </c>
      <c r="H195" s="69">
        <v>45901.0</v>
      </c>
      <c r="I195" s="78" t="s">
        <v>337</v>
      </c>
      <c r="J195" s="78"/>
      <c r="K195" s="79"/>
      <c r="L195" s="80"/>
      <c r="M195" s="81"/>
      <c r="N195" s="83" t="s">
        <v>380</v>
      </c>
    </row>
    <row r="196">
      <c r="A196" s="75" t="s">
        <v>1210</v>
      </c>
      <c r="B196" s="75" t="s">
        <v>319</v>
      </c>
      <c r="C196" s="75" t="s">
        <v>321</v>
      </c>
      <c r="D196" s="75">
        <v>2022.0</v>
      </c>
      <c r="E196" s="75">
        <v>8.60369054413552E14</v>
      </c>
      <c r="F196" s="76" t="s">
        <v>326</v>
      </c>
      <c r="G196" s="68" t="s">
        <v>285</v>
      </c>
      <c r="H196" s="69">
        <v>45901.0</v>
      </c>
      <c r="I196" s="78" t="s">
        <v>337</v>
      </c>
      <c r="J196" s="78"/>
      <c r="K196" s="79"/>
      <c r="L196" s="80"/>
      <c r="M196" s="81"/>
      <c r="N196" s="83" t="s">
        <v>380</v>
      </c>
    </row>
    <row r="197">
      <c r="A197" s="75" t="s">
        <v>1211</v>
      </c>
      <c r="B197" s="75" t="s">
        <v>319</v>
      </c>
      <c r="C197" s="75" t="s">
        <v>1212</v>
      </c>
      <c r="D197" s="75">
        <v>2020.0</v>
      </c>
      <c r="E197" s="75">
        <v>8.60369054161276E14</v>
      </c>
      <c r="F197" s="76" t="s">
        <v>326</v>
      </c>
      <c r="G197" s="68" t="s">
        <v>582</v>
      </c>
      <c r="H197" s="69">
        <v>45901.0</v>
      </c>
      <c r="I197" s="78" t="s">
        <v>337</v>
      </c>
      <c r="J197" s="78"/>
      <c r="K197" s="75" t="s">
        <v>1214</v>
      </c>
      <c r="L197" s="80"/>
      <c r="M197" s="81"/>
      <c r="N197" s="83" t="s">
        <v>380</v>
      </c>
    </row>
    <row r="198">
      <c r="A198" s="75" t="s">
        <v>1215</v>
      </c>
      <c r="B198" s="75" t="s">
        <v>319</v>
      </c>
      <c r="C198" s="75" t="s">
        <v>1212</v>
      </c>
      <c r="D198" s="75">
        <v>2020.0</v>
      </c>
      <c r="E198" s="75">
        <v>8.60369052445952E14</v>
      </c>
      <c r="F198" s="76" t="s">
        <v>326</v>
      </c>
      <c r="G198" s="68" t="s">
        <v>582</v>
      </c>
      <c r="H198" s="69">
        <v>45901.0</v>
      </c>
      <c r="I198" s="78" t="s">
        <v>337</v>
      </c>
      <c r="J198" s="78"/>
      <c r="K198" s="75" t="s">
        <v>1217</v>
      </c>
      <c r="L198" s="80"/>
      <c r="M198" s="81"/>
      <c r="N198" s="83" t="s">
        <v>380</v>
      </c>
    </row>
    <row r="199">
      <c r="A199" s="75" t="s">
        <v>1219</v>
      </c>
      <c r="B199" s="75" t="s">
        <v>319</v>
      </c>
      <c r="C199" s="75" t="s">
        <v>1212</v>
      </c>
      <c r="D199" s="75">
        <v>2020.0</v>
      </c>
      <c r="E199" s="75">
        <v>8.60369052429618E14</v>
      </c>
      <c r="F199" s="76" t="s">
        <v>326</v>
      </c>
      <c r="G199" s="68" t="s">
        <v>582</v>
      </c>
      <c r="H199" s="69">
        <v>45901.0</v>
      </c>
      <c r="I199" s="78" t="s">
        <v>337</v>
      </c>
      <c r="J199" s="78"/>
      <c r="K199" s="75" t="s">
        <v>1214</v>
      </c>
      <c r="L199" s="80"/>
      <c r="M199" s="81"/>
      <c r="N199" s="83" t="s">
        <v>380</v>
      </c>
    </row>
    <row r="200">
      <c r="A200" s="75" t="s">
        <v>1221</v>
      </c>
      <c r="B200" s="75" t="s">
        <v>319</v>
      </c>
      <c r="C200" s="75" t="s">
        <v>321</v>
      </c>
      <c r="D200" s="75">
        <v>2022.0</v>
      </c>
      <c r="E200" s="75">
        <v>8.60369054402761E14</v>
      </c>
      <c r="F200" s="76" t="s">
        <v>326</v>
      </c>
      <c r="G200" s="68" t="s">
        <v>674</v>
      </c>
      <c r="H200" s="69">
        <v>45901.0</v>
      </c>
      <c r="I200" s="78" t="s">
        <v>337</v>
      </c>
      <c r="J200" s="78"/>
      <c r="K200" s="79"/>
      <c r="L200" s="80"/>
      <c r="M200" s="81"/>
      <c r="N200" s="83" t="s">
        <v>380</v>
      </c>
    </row>
    <row r="201">
      <c r="A201" s="75" t="s">
        <v>1224</v>
      </c>
      <c r="B201" s="75" t="s">
        <v>319</v>
      </c>
      <c r="C201" s="75" t="s">
        <v>321</v>
      </c>
      <c r="D201" s="75">
        <v>2021.0</v>
      </c>
      <c r="E201" s="75">
        <v>8.60369054405517E14</v>
      </c>
      <c r="F201" s="76" t="s">
        <v>326</v>
      </c>
      <c r="G201" s="68" t="s">
        <v>674</v>
      </c>
      <c r="H201" s="69">
        <v>45901.0</v>
      </c>
      <c r="I201" s="78" t="s">
        <v>337</v>
      </c>
      <c r="J201" s="78"/>
      <c r="K201" s="79"/>
      <c r="L201" s="80"/>
      <c r="M201" s="81"/>
      <c r="N201" s="83" t="s">
        <v>380</v>
      </c>
    </row>
    <row r="202">
      <c r="A202" s="75" t="s">
        <v>1227</v>
      </c>
      <c r="B202" s="75" t="s">
        <v>319</v>
      </c>
      <c r="C202" s="75" t="s">
        <v>321</v>
      </c>
      <c r="D202" s="75">
        <v>2024.0</v>
      </c>
      <c r="E202" s="75">
        <v>8.60369052471479E14</v>
      </c>
      <c r="F202" s="76" t="s">
        <v>398</v>
      </c>
      <c r="G202" s="68" t="s">
        <v>674</v>
      </c>
      <c r="H202" s="69">
        <v>45901.0</v>
      </c>
      <c r="I202" s="78" t="s">
        <v>337</v>
      </c>
      <c r="J202" s="78"/>
      <c r="K202" s="79"/>
      <c r="L202" s="80"/>
      <c r="M202" s="81"/>
      <c r="N202" s="83" t="s">
        <v>380</v>
      </c>
    </row>
    <row r="203">
      <c r="A203" s="75" t="s">
        <v>1230</v>
      </c>
      <c r="B203" s="75" t="s">
        <v>374</v>
      </c>
      <c r="C203" s="75" t="s">
        <v>1231</v>
      </c>
      <c r="D203" s="75">
        <v>2025.0</v>
      </c>
      <c r="E203" s="75">
        <v>8.60369052143136E14</v>
      </c>
      <c r="F203" s="76" t="s">
        <v>398</v>
      </c>
      <c r="G203" s="68" t="s">
        <v>831</v>
      </c>
      <c r="H203" s="69">
        <v>45901.0</v>
      </c>
      <c r="I203" s="78" t="s">
        <v>337</v>
      </c>
      <c r="J203" s="78"/>
      <c r="K203" s="79"/>
      <c r="L203" s="80"/>
      <c r="M203" s="81"/>
      <c r="N203" s="83" t="s">
        <v>380</v>
      </c>
    </row>
    <row r="204">
      <c r="A204" s="75" t="s">
        <v>1232</v>
      </c>
      <c r="B204" s="75" t="s">
        <v>374</v>
      </c>
      <c r="C204" s="75" t="s">
        <v>1231</v>
      </c>
      <c r="D204" s="75">
        <v>2025.0</v>
      </c>
      <c r="E204" s="75">
        <v>8.60369052105408E14</v>
      </c>
      <c r="F204" s="76" t="s">
        <v>398</v>
      </c>
      <c r="G204" s="68" t="s">
        <v>831</v>
      </c>
      <c r="H204" s="69">
        <v>45901.0</v>
      </c>
      <c r="I204" s="78" t="s">
        <v>337</v>
      </c>
      <c r="J204" s="78"/>
      <c r="K204" s="79"/>
      <c r="L204" s="80"/>
      <c r="M204" s="81"/>
      <c r="N204" s="83" t="s">
        <v>380</v>
      </c>
    </row>
    <row r="205">
      <c r="A205" s="75" t="s">
        <v>1235</v>
      </c>
      <c r="B205" s="75" t="s">
        <v>374</v>
      </c>
      <c r="C205" s="75" t="s">
        <v>1231</v>
      </c>
      <c r="D205" s="75">
        <v>2025.0</v>
      </c>
      <c r="E205" s="75">
        <v>8.60369052116256E14</v>
      </c>
      <c r="F205" s="76" t="s">
        <v>398</v>
      </c>
      <c r="G205" s="68" t="s">
        <v>831</v>
      </c>
      <c r="H205" s="69">
        <v>45901.0</v>
      </c>
      <c r="I205" s="78" t="s">
        <v>337</v>
      </c>
      <c r="J205" s="78"/>
      <c r="K205" s="79"/>
      <c r="L205" s="80"/>
      <c r="M205" s="81"/>
      <c r="N205" s="83" t="s">
        <v>380</v>
      </c>
    </row>
    <row r="206">
      <c r="A206" s="75" t="s">
        <v>1236</v>
      </c>
      <c r="B206" s="75" t="s">
        <v>374</v>
      </c>
      <c r="C206" s="75" t="s">
        <v>1231</v>
      </c>
      <c r="D206" s="75">
        <v>2025.0</v>
      </c>
      <c r="E206" s="75">
        <v>8.60369052142666E14</v>
      </c>
      <c r="F206" s="76" t="s">
        <v>398</v>
      </c>
      <c r="G206" s="68" t="s">
        <v>831</v>
      </c>
      <c r="H206" s="69">
        <v>45901.0</v>
      </c>
      <c r="I206" s="78" t="s">
        <v>337</v>
      </c>
      <c r="J206" s="78"/>
      <c r="K206" s="79"/>
      <c r="L206" s="80"/>
      <c r="M206" s="81"/>
      <c r="N206" s="83" t="s">
        <v>380</v>
      </c>
    </row>
    <row r="207">
      <c r="A207" s="75" t="s">
        <v>1237</v>
      </c>
      <c r="B207" s="75" t="s">
        <v>374</v>
      </c>
      <c r="C207" s="75" t="s">
        <v>1231</v>
      </c>
      <c r="D207" s="75">
        <v>2025.0</v>
      </c>
      <c r="E207" s="75">
        <v>8.60369052118922E14</v>
      </c>
      <c r="F207" s="76" t="s">
        <v>398</v>
      </c>
      <c r="G207" s="68" t="s">
        <v>831</v>
      </c>
      <c r="H207" s="69">
        <v>45901.0</v>
      </c>
      <c r="I207" s="78" t="s">
        <v>337</v>
      </c>
      <c r="J207" s="78"/>
      <c r="K207" s="79"/>
      <c r="L207" s="80"/>
      <c r="M207" s="81"/>
      <c r="N207" s="83" t="s">
        <v>380</v>
      </c>
    </row>
    <row r="208">
      <c r="A208" s="75" t="s">
        <v>1238</v>
      </c>
      <c r="B208" s="75" t="s">
        <v>319</v>
      </c>
      <c r="C208" s="75" t="s">
        <v>1239</v>
      </c>
      <c r="D208" s="75">
        <v>2023.0</v>
      </c>
      <c r="E208" s="75">
        <v>8.60369054402993E14</v>
      </c>
      <c r="F208" s="76" t="s">
        <v>326</v>
      </c>
      <c r="G208" s="68" t="s">
        <v>279</v>
      </c>
      <c r="H208" s="69">
        <v>45915.0</v>
      </c>
      <c r="I208" s="78" t="s">
        <v>1240</v>
      </c>
      <c r="J208" s="78"/>
      <c r="K208" s="78" t="s">
        <v>1241</v>
      </c>
      <c r="L208" s="80"/>
      <c r="M208" s="81"/>
    </row>
    <row r="209">
      <c r="A209" s="75" t="s">
        <v>1242</v>
      </c>
      <c r="B209" s="75" t="s">
        <v>374</v>
      </c>
      <c r="C209" s="75" t="s">
        <v>1243</v>
      </c>
      <c r="D209" s="75">
        <v>2024.0</v>
      </c>
      <c r="E209" s="75">
        <v>8.60369054732712E14</v>
      </c>
      <c r="F209" s="76" t="s">
        <v>326</v>
      </c>
      <c r="G209" s="68" t="s">
        <v>279</v>
      </c>
      <c r="H209" s="69">
        <v>45915.0</v>
      </c>
      <c r="I209" s="78" t="s">
        <v>1240</v>
      </c>
      <c r="J209" s="78"/>
      <c r="K209" s="78" t="s">
        <v>1241</v>
      </c>
      <c r="L209" s="80"/>
      <c r="M209" s="81"/>
    </row>
    <row r="210">
      <c r="A210" s="75" t="s">
        <v>1244</v>
      </c>
      <c r="B210" s="75" t="s">
        <v>884</v>
      </c>
      <c r="C210" s="75" t="s">
        <v>1245</v>
      </c>
      <c r="D210" s="75">
        <v>2019.0</v>
      </c>
      <c r="E210" s="75">
        <v>8.60369054169279E14</v>
      </c>
      <c r="F210" s="76" t="s">
        <v>326</v>
      </c>
      <c r="G210" s="68" t="s">
        <v>819</v>
      </c>
      <c r="H210" s="69">
        <v>45931.0</v>
      </c>
      <c r="I210" s="78" t="s">
        <v>1240</v>
      </c>
      <c r="J210" s="78"/>
      <c r="K210" s="79"/>
      <c r="L210" s="80"/>
      <c r="M210" s="81"/>
      <c r="N210" s="83" t="s">
        <v>380</v>
      </c>
    </row>
    <row r="211">
      <c r="A211" s="65" t="s">
        <v>1246</v>
      </c>
      <c r="B211" s="65" t="s">
        <v>319</v>
      </c>
      <c r="C211" s="65" t="s">
        <v>1247</v>
      </c>
      <c r="D211" s="65">
        <v>2025.0</v>
      </c>
      <c r="E211" s="65">
        <v>8.60369054413883E14</v>
      </c>
      <c r="F211" s="65" t="s">
        <v>326</v>
      </c>
      <c r="G211" s="192" t="s">
        <v>328</v>
      </c>
      <c r="H211" s="69">
        <v>45932.0</v>
      </c>
      <c r="I211" s="65" t="s">
        <v>337</v>
      </c>
      <c r="J211" s="71"/>
      <c r="K211" s="73"/>
      <c r="L211" s="73"/>
      <c r="M211" s="73" t="s">
        <v>338</v>
      </c>
    </row>
    <row r="212">
      <c r="A212" s="65" t="s">
        <v>1249</v>
      </c>
      <c r="B212" s="65" t="s">
        <v>319</v>
      </c>
      <c r="C212" s="65" t="s">
        <v>1247</v>
      </c>
      <c r="D212" s="65">
        <v>2025.0</v>
      </c>
      <c r="E212" s="65">
        <v>8.60369054740137E14</v>
      </c>
      <c r="F212" s="65" t="s">
        <v>326</v>
      </c>
      <c r="G212" s="192" t="s">
        <v>328</v>
      </c>
      <c r="H212" s="69">
        <v>45932.0</v>
      </c>
      <c r="I212" s="65" t="s">
        <v>337</v>
      </c>
      <c r="J212" s="71"/>
      <c r="K212" s="73"/>
      <c r="L212" s="73"/>
      <c r="M212" s="73" t="s">
        <v>338</v>
      </c>
    </row>
    <row r="213">
      <c r="A213" s="65" t="s">
        <v>1250</v>
      </c>
      <c r="B213" s="65" t="s">
        <v>319</v>
      </c>
      <c r="C213" s="65" t="s">
        <v>1247</v>
      </c>
      <c r="D213" s="65">
        <v>2025.0</v>
      </c>
      <c r="E213" s="65">
        <v>8.60369054164767E14</v>
      </c>
      <c r="F213" s="65" t="s">
        <v>326</v>
      </c>
      <c r="G213" s="192" t="s">
        <v>328</v>
      </c>
      <c r="H213" s="69">
        <v>45932.0</v>
      </c>
      <c r="I213" s="65" t="s">
        <v>337</v>
      </c>
      <c r="J213" s="71"/>
      <c r="K213" s="73"/>
      <c r="L213" s="73"/>
      <c r="M213" s="73" t="s">
        <v>338</v>
      </c>
    </row>
    <row r="214">
      <c r="A214" s="65" t="s">
        <v>1251</v>
      </c>
      <c r="B214" s="65" t="s">
        <v>319</v>
      </c>
      <c r="C214" s="65" t="s">
        <v>1247</v>
      </c>
      <c r="D214" s="65">
        <v>2025.0</v>
      </c>
      <c r="E214" s="65">
        <v>8.60369054182066E14</v>
      </c>
      <c r="F214" s="65" t="s">
        <v>326</v>
      </c>
      <c r="G214" s="192" t="s">
        <v>328</v>
      </c>
      <c r="H214" s="69">
        <v>45932.0</v>
      </c>
      <c r="I214" s="65" t="s">
        <v>337</v>
      </c>
      <c r="J214" s="71"/>
      <c r="K214" s="73"/>
      <c r="L214" s="73"/>
      <c r="M214" s="73" t="s">
        <v>338</v>
      </c>
    </row>
    <row r="215">
      <c r="A215" s="65" t="s">
        <v>1252</v>
      </c>
      <c r="B215" s="65" t="s">
        <v>319</v>
      </c>
      <c r="C215" s="65" t="s">
        <v>1247</v>
      </c>
      <c r="D215" s="65">
        <v>2025.0</v>
      </c>
      <c r="E215" s="65">
        <v>8.60369054419179E14</v>
      </c>
      <c r="F215" s="65" t="s">
        <v>326</v>
      </c>
      <c r="G215" s="192" t="s">
        <v>328</v>
      </c>
      <c r="H215" s="69">
        <v>45933.0</v>
      </c>
      <c r="I215" s="65" t="s">
        <v>337</v>
      </c>
      <c r="J215" s="71"/>
      <c r="K215" s="73"/>
      <c r="L215" s="73"/>
      <c r="M215" s="73" t="s">
        <v>338</v>
      </c>
    </row>
    <row r="216">
      <c r="A216" s="65" t="s">
        <v>1253</v>
      </c>
      <c r="B216" s="65" t="s">
        <v>319</v>
      </c>
      <c r="C216" s="65" t="s">
        <v>1247</v>
      </c>
      <c r="D216" s="65">
        <v>2025.0</v>
      </c>
      <c r="E216" s="65">
        <v>8.60369054173438E14</v>
      </c>
      <c r="F216" s="65" t="s">
        <v>326</v>
      </c>
      <c r="G216" s="192" t="s">
        <v>328</v>
      </c>
      <c r="H216" s="69">
        <v>45933.0</v>
      </c>
      <c r="I216" s="65" t="s">
        <v>337</v>
      </c>
      <c r="J216" s="71"/>
      <c r="K216" s="73"/>
      <c r="L216" s="73"/>
      <c r="M216" s="73" t="s">
        <v>338</v>
      </c>
    </row>
    <row r="217">
      <c r="A217" s="65" t="s">
        <v>1255</v>
      </c>
      <c r="B217" s="65" t="s">
        <v>319</v>
      </c>
      <c r="C217" s="65" t="s">
        <v>1247</v>
      </c>
      <c r="D217" s="65">
        <v>2025.0</v>
      </c>
      <c r="E217" s="65">
        <v>8.60369054162456E14</v>
      </c>
      <c r="F217" s="65" t="s">
        <v>326</v>
      </c>
      <c r="G217" s="192" t="s">
        <v>328</v>
      </c>
      <c r="H217" s="69">
        <v>45933.0</v>
      </c>
      <c r="I217" s="65" t="s">
        <v>337</v>
      </c>
      <c r="J217" s="71"/>
      <c r="K217" s="73"/>
      <c r="L217" s="73"/>
      <c r="M217" s="73" t="s">
        <v>338</v>
      </c>
    </row>
    <row r="218">
      <c r="A218" s="65" t="s">
        <v>1258</v>
      </c>
      <c r="B218" s="65" t="s">
        <v>319</v>
      </c>
      <c r="C218" s="65" t="s">
        <v>1247</v>
      </c>
      <c r="D218" s="65">
        <v>2025.0</v>
      </c>
      <c r="E218" s="65">
        <v>8.6036905270731E14</v>
      </c>
      <c r="F218" s="65" t="s">
        <v>326</v>
      </c>
      <c r="G218" s="192" t="s">
        <v>328</v>
      </c>
      <c r="H218" s="69">
        <v>45933.0</v>
      </c>
      <c r="I218" s="65" t="s">
        <v>337</v>
      </c>
      <c r="J218" s="71"/>
      <c r="K218" s="73"/>
      <c r="L218" s="73"/>
      <c r="M218" s="73" t="s">
        <v>338</v>
      </c>
    </row>
    <row r="219">
      <c r="A219" s="65" t="s">
        <v>1260</v>
      </c>
      <c r="B219" s="65" t="s">
        <v>319</v>
      </c>
      <c r="C219" s="65" t="s">
        <v>1247</v>
      </c>
      <c r="D219" s="65">
        <v>2025.0</v>
      </c>
      <c r="E219" s="65">
        <v>8.60369052142963E14</v>
      </c>
      <c r="F219" s="65" t="s">
        <v>398</v>
      </c>
      <c r="G219" s="192" t="s">
        <v>328</v>
      </c>
      <c r="H219" s="69">
        <v>45933.0</v>
      </c>
      <c r="I219" s="65" t="s">
        <v>337</v>
      </c>
      <c r="J219" s="71"/>
      <c r="K219" s="73"/>
      <c r="L219" s="73"/>
      <c r="M219" s="73" t="s">
        <v>338</v>
      </c>
    </row>
    <row r="220">
      <c r="A220" s="65" t="s">
        <v>1262</v>
      </c>
      <c r="B220" s="65" t="s">
        <v>319</v>
      </c>
      <c r="C220" s="65" t="s">
        <v>1247</v>
      </c>
      <c r="D220" s="65">
        <v>2022.0</v>
      </c>
      <c r="E220" s="65">
        <v>8.60369054197544E14</v>
      </c>
      <c r="F220" s="65" t="s">
        <v>326</v>
      </c>
      <c r="G220" s="192" t="s">
        <v>582</v>
      </c>
      <c r="H220" s="69">
        <v>45933.0</v>
      </c>
      <c r="I220" s="65" t="s">
        <v>337</v>
      </c>
      <c r="J220" s="71"/>
      <c r="K220" s="65" t="s">
        <v>1214</v>
      </c>
      <c r="L220" s="73"/>
      <c r="M220" s="73" t="s">
        <v>338</v>
      </c>
    </row>
    <row r="221">
      <c r="A221" s="65" t="s">
        <v>1264</v>
      </c>
      <c r="B221" s="65" t="s">
        <v>319</v>
      </c>
      <c r="C221" s="65" t="s">
        <v>1247</v>
      </c>
      <c r="D221" s="65">
        <v>2024.0</v>
      </c>
      <c r="E221" s="65">
        <v>8.60369052405584E14</v>
      </c>
      <c r="F221" s="65" t="s">
        <v>398</v>
      </c>
      <c r="G221" s="192" t="s">
        <v>582</v>
      </c>
      <c r="H221" s="69">
        <v>45933.0</v>
      </c>
      <c r="I221" s="65" t="s">
        <v>337</v>
      </c>
      <c r="J221" s="71"/>
      <c r="K221" s="65" t="s">
        <v>1214</v>
      </c>
      <c r="L221" s="73"/>
      <c r="M221" s="73" t="s">
        <v>338</v>
      </c>
    </row>
    <row r="222">
      <c r="A222" s="65" t="s">
        <v>1267</v>
      </c>
      <c r="B222" s="65" t="s">
        <v>319</v>
      </c>
      <c r="C222" s="65" t="s">
        <v>321</v>
      </c>
      <c r="D222" s="65">
        <v>2025.0</v>
      </c>
      <c r="E222" s="65">
        <v>8.60369054186653E14</v>
      </c>
      <c r="F222" s="65" t="s">
        <v>326</v>
      </c>
      <c r="G222" s="192" t="s">
        <v>328</v>
      </c>
      <c r="H222" s="69">
        <v>45936.0</v>
      </c>
      <c r="I222" s="65" t="s">
        <v>337</v>
      </c>
      <c r="J222" s="71"/>
      <c r="K222" s="73"/>
      <c r="L222" s="73"/>
      <c r="M222" s="73" t="s">
        <v>338</v>
      </c>
    </row>
    <row r="223">
      <c r="A223" s="193" t="s">
        <v>1269</v>
      </c>
      <c r="B223" s="65" t="s">
        <v>374</v>
      </c>
      <c r="C223" s="65" t="s">
        <v>647</v>
      </c>
      <c r="D223" s="65">
        <v>2023.0</v>
      </c>
      <c r="E223" s="65">
        <v>8.60369054406457E14</v>
      </c>
      <c r="F223" s="65" t="s">
        <v>326</v>
      </c>
      <c r="G223" s="192" t="s">
        <v>387</v>
      </c>
      <c r="H223" s="69">
        <v>45936.0</v>
      </c>
      <c r="I223" s="65" t="s">
        <v>337</v>
      </c>
      <c r="J223" s="71"/>
      <c r="K223" s="65" t="s">
        <v>1214</v>
      </c>
      <c r="L223" s="73"/>
      <c r="M223" s="73" t="s">
        <v>338</v>
      </c>
    </row>
    <row r="224">
      <c r="A224" s="193" t="s">
        <v>1273</v>
      </c>
      <c r="B224" s="65" t="s">
        <v>319</v>
      </c>
      <c r="C224" s="65" t="s">
        <v>723</v>
      </c>
      <c r="D224" s="65">
        <v>2023.0</v>
      </c>
      <c r="E224" s="65">
        <v>8.60369054744139E14</v>
      </c>
      <c r="F224" s="65" t="s">
        <v>326</v>
      </c>
      <c r="G224" s="192" t="s">
        <v>387</v>
      </c>
      <c r="H224" s="69">
        <v>45936.0</v>
      </c>
      <c r="I224" s="65" t="s">
        <v>337</v>
      </c>
      <c r="J224" s="71"/>
      <c r="K224" s="65" t="s">
        <v>1214</v>
      </c>
      <c r="L224" s="73"/>
      <c r="M224" s="73" t="s">
        <v>338</v>
      </c>
    </row>
    <row r="225">
      <c r="A225" s="193" t="s">
        <v>1278</v>
      </c>
      <c r="B225" s="65" t="s">
        <v>319</v>
      </c>
      <c r="C225" s="65" t="s">
        <v>1280</v>
      </c>
      <c r="D225" s="65">
        <v>2024.0</v>
      </c>
      <c r="E225" s="65">
        <v>8.60369054190572E14</v>
      </c>
      <c r="F225" s="65" t="s">
        <v>326</v>
      </c>
      <c r="G225" s="192" t="s">
        <v>387</v>
      </c>
      <c r="H225" s="69">
        <v>45936.0</v>
      </c>
      <c r="I225" s="195" t="s">
        <v>1240</v>
      </c>
      <c r="J225" s="71"/>
      <c r="K225" s="65" t="s">
        <v>1214</v>
      </c>
      <c r="L225" s="73"/>
      <c r="M225" s="73" t="s">
        <v>338</v>
      </c>
    </row>
    <row r="226">
      <c r="A226" s="196" t="s">
        <v>1282</v>
      </c>
      <c r="B226" s="75" t="s">
        <v>374</v>
      </c>
      <c r="C226" s="75" t="s">
        <v>469</v>
      </c>
      <c r="D226" s="75">
        <v>2021.0</v>
      </c>
      <c r="E226" s="75">
        <v>8.60369054192792E14</v>
      </c>
      <c r="F226" s="76" t="s">
        <v>326</v>
      </c>
      <c r="G226" s="68" t="s">
        <v>387</v>
      </c>
      <c r="H226" s="69">
        <v>45936.0</v>
      </c>
      <c r="I226" s="78" t="s">
        <v>337</v>
      </c>
      <c r="J226" s="78"/>
      <c r="K226" s="75" t="s">
        <v>1241</v>
      </c>
      <c r="L226" s="80"/>
      <c r="M226" s="81"/>
    </row>
    <row r="227">
      <c r="A227" s="193" t="s">
        <v>1286</v>
      </c>
      <c r="B227" s="65" t="s">
        <v>374</v>
      </c>
      <c r="C227" s="65" t="s">
        <v>1287</v>
      </c>
      <c r="D227" s="65">
        <v>2021.0</v>
      </c>
      <c r="E227" s="65">
        <v>8.60369054190408E14</v>
      </c>
      <c r="F227" s="65" t="s">
        <v>326</v>
      </c>
      <c r="G227" s="192" t="s">
        <v>387</v>
      </c>
      <c r="H227" s="69">
        <v>45936.0</v>
      </c>
      <c r="I227" s="65" t="s">
        <v>337</v>
      </c>
      <c r="J227" s="71"/>
      <c r="K227" s="65" t="s">
        <v>1214</v>
      </c>
      <c r="L227" s="73"/>
      <c r="M227" s="73" t="s">
        <v>338</v>
      </c>
    </row>
    <row r="228">
      <c r="A228" s="65" t="s">
        <v>1288</v>
      </c>
      <c r="B228" s="65" t="s">
        <v>319</v>
      </c>
      <c r="C228" s="65" t="s">
        <v>321</v>
      </c>
      <c r="D228" s="65">
        <v>2023.0</v>
      </c>
      <c r="E228" s="65">
        <v>8.60369054192479E14</v>
      </c>
      <c r="F228" s="65" t="s">
        <v>326</v>
      </c>
      <c r="G228" s="192" t="s">
        <v>328</v>
      </c>
      <c r="H228" s="69">
        <v>45937.0</v>
      </c>
      <c r="I228" s="65" t="s">
        <v>337</v>
      </c>
      <c r="J228" s="71"/>
      <c r="K228" s="73"/>
      <c r="L228" s="73"/>
      <c r="M228" s="73" t="s">
        <v>338</v>
      </c>
    </row>
    <row r="229">
      <c r="A229" s="197" t="s">
        <v>1289</v>
      </c>
      <c r="B229" s="65" t="s">
        <v>374</v>
      </c>
      <c r="C229" s="65" t="s">
        <v>647</v>
      </c>
      <c r="D229" s="65">
        <v>2023.0</v>
      </c>
      <c r="E229" s="65">
        <v>8.60369054122179E14</v>
      </c>
      <c r="F229" s="65" t="s">
        <v>326</v>
      </c>
      <c r="G229" s="192" t="s">
        <v>387</v>
      </c>
      <c r="H229" s="69">
        <v>45937.0</v>
      </c>
      <c r="I229" s="195" t="s">
        <v>1240</v>
      </c>
      <c r="J229" s="71"/>
      <c r="K229" s="65" t="s">
        <v>1214</v>
      </c>
      <c r="L229" s="73"/>
      <c r="M229" s="73" t="s">
        <v>338</v>
      </c>
    </row>
    <row r="230">
      <c r="A230" s="193" t="s">
        <v>1290</v>
      </c>
      <c r="B230" s="65" t="s">
        <v>319</v>
      </c>
      <c r="C230" s="65" t="s">
        <v>723</v>
      </c>
      <c r="D230" s="65">
        <v>2024.0</v>
      </c>
      <c r="E230" s="65">
        <v>8.60369054198054E14</v>
      </c>
      <c r="F230" s="65" t="s">
        <v>326</v>
      </c>
      <c r="G230" s="192" t="s">
        <v>387</v>
      </c>
      <c r="H230" s="69">
        <v>45937.0</v>
      </c>
      <c r="I230" s="65" t="s">
        <v>337</v>
      </c>
      <c r="J230" s="71"/>
      <c r="K230" s="65" t="s">
        <v>1214</v>
      </c>
      <c r="L230" s="73"/>
      <c r="M230" s="73" t="s">
        <v>338</v>
      </c>
    </row>
    <row r="231">
      <c r="A231" s="193" t="s">
        <v>1291</v>
      </c>
      <c r="B231" s="65" t="s">
        <v>389</v>
      </c>
      <c r="C231" s="65" t="s">
        <v>1292</v>
      </c>
      <c r="D231" s="65">
        <v>2023.0</v>
      </c>
      <c r="E231" s="65">
        <v>8.60369054730906E14</v>
      </c>
      <c r="F231" s="65" t="s">
        <v>326</v>
      </c>
      <c r="G231" s="192" t="s">
        <v>387</v>
      </c>
      <c r="H231" s="69">
        <v>45937.0</v>
      </c>
      <c r="I231" s="65" t="s">
        <v>337</v>
      </c>
      <c r="J231" s="71"/>
      <c r="K231" s="65" t="s">
        <v>1214</v>
      </c>
      <c r="L231" s="73"/>
      <c r="M231" s="73" t="s">
        <v>338</v>
      </c>
    </row>
    <row r="232">
      <c r="A232" s="193" t="s">
        <v>1293</v>
      </c>
      <c r="B232" s="65" t="s">
        <v>319</v>
      </c>
      <c r="C232" s="65" t="s">
        <v>723</v>
      </c>
      <c r="D232" s="65">
        <v>2023.0</v>
      </c>
      <c r="E232" s="65">
        <v>8.60369054198328E14</v>
      </c>
      <c r="F232" s="65" t="s">
        <v>326</v>
      </c>
      <c r="G232" s="192" t="s">
        <v>387</v>
      </c>
      <c r="H232" s="69">
        <v>45937.0</v>
      </c>
      <c r="I232" s="65" t="s">
        <v>337</v>
      </c>
      <c r="J232" s="71"/>
      <c r="K232" s="65" t="s">
        <v>1214</v>
      </c>
      <c r="L232" s="73"/>
      <c r="M232" s="73" t="s">
        <v>338</v>
      </c>
    </row>
    <row r="233">
      <c r="A233" s="65" t="s">
        <v>1294</v>
      </c>
      <c r="B233" s="65" t="s">
        <v>319</v>
      </c>
      <c r="C233" s="65" t="s">
        <v>376</v>
      </c>
      <c r="D233" s="65">
        <v>2021.0</v>
      </c>
      <c r="E233" s="65">
        <v>8.6036905270665E14</v>
      </c>
      <c r="F233" s="65" t="s">
        <v>326</v>
      </c>
      <c r="G233" s="192" t="s">
        <v>582</v>
      </c>
      <c r="H233" s="69">
        <v>45938.0</v>
      </c>
      <c r="I233" s="65" t="s">
        <v>337</v>
      </c>
      <c r="J233" s="71"/>
      <c r="K233" s="198" t="s">
        <v>1241</v>
      </c>
      <c r="L233" s="73"/>
      <c r="M233" s="73" t="s">
        <v>338</v>
      </c>
    </row>
    <row r="234">
      <c r="A234" s="65" t="s">
        <v>1295</v>
      </c>
      <c r="B234" s="65" t="s">
        <v>1006</v>
      </c>
      <c r="C234" s="65" t="s">
        <v>1296</v>
      </c>
      <c r="D234" s="65">
        <v>2023.0</v>
      </c>
      <c r="E234" s="65">
        <v>8.60369054191653E14</v>
      </c>
      <c r="F234" s="65" t="s">
        <v>326</v>
      </c>
      <c r="G234" s="192" t="s">
        <v>230</v>
      </c>
      <c r="H234" s="69">
        <v>45939.0</v>
      </c>
      <c r="I234" s="65" t="s">
        <v>337</v>
      </c>
      <c r="J234" s="71"/>
      <c r="K234" s="71"/>
      <c r="L234" s="73"/>
      <c r="M234" s="73" t="s">
        <v>338</v>
      </c>
    </row>
    <row r="235">
      <c r="A235" s="65" t="s">
        <v>1297</v>
      </c>
      <c r="B235" s="65" t="s">
        <v>374</v>
      </c>
      <c r="C235" s="65" t="s">
        <v>647</v>
      </c>
      <c r="D235" s="65">
        <v>2023.0</v>
      </c>
      <c r="E235" s="65">
        <v>8.6036905214194E14</v>
      </c>
      <c r="F235" s="65" t="s">
        <v>326</v>
      </c>
      <c r="G235" s="192" t="s">
        <v>193</v>
      </c>
      <c r="H235" s="69">
        <v>45939.0</v>
      </c>
      <c r="I235" s="65" t="s">
        <v>337</v>
      </c>
      <c r="J235" s="71"/>
      <c r="K235" s="65" t="s">
        <v>1214</v>
      </c>
      <c r="L235" s="73"/>
      <c r="M235" s="73" t="s">
        <v>338</v>
      </c>
    </row>
    <row r="236">
      <c r="A236" s="65" t="s">
        <v>1298</v>
      </c>
      <c r="B236" s="65" t="s">
        <v>374</v>
      </c>
      <c r="C236" s="65" t="s">
        <v>1299</v>
      </c>
      <c r="D236" s="65">
        <v>2018.0</v>
      </c>
      <c r="E236" s="65">
        <v>8.60369054402613E14</v>
      </c>
      <c r="F236" s="65" t="s">
        <v>326</v>
      </c>
      <c r="G236" s="192" t="s">
        <v>193</v>
      </c>
      <c r="H236" s="69">
        <v>45939.0</v>
      </c>
      <c r="I236" s="65" t="s">
        <v>337</v>
      </c>
      <c r="J236" s="199" t="s">
        <v>1300</v>
      </c>
      <c r="K236" s="198" t="s">
        <v>1214</v>
      </c>
      <c r="L236" s="73"/>
      <c r="M236" s="73" t="s">
        <v>338</v>
      </c>
    </row>
    <row r="237">
      <c r="A237" s="65" t="s">
        <v>1301</v>
      </c>
      <c r="B237" s="65" t="s">
        <v>374</v>
      </c>
      <c r="C237" s="65" t="s">
        <v>1302</v>
      </c>
      <c r="D237" s="65">
        <v>2019.0</v>
      </c>
      <c r="E237" s="65">
        <v>8.60369052170477E14</v>
      </c>
      <c r="F237" s="65" t="s">
        <v>326</v>
      </c>
      <c r="G237" s="192" t="s">
        <v>193</v>
      </c>
      <c r="H237" s="69">
        <v>45939.0</v>
      </c>
      <c r="I237" s="65" t="s">
        <v>337</v>
      </c>
      <c r="J237" s="71"/>
      <c r="K237" s="73"/>
      <c r="L237" s="73"/>
      <c r="M237" s="73" t="s">
        <v>338</v>
      </c>
    </row>
    <row r="238">
      <c r="A238" s="65" t="s">
        <v>1304</v>
      </c>
      <c r="B238" s="65" t="s">
        <v>374</v>
      </c>
      <c r="C238" s="200" t="s">
        <v>1305</v>
      </c>
      <c r="D238" s="65">
        <v>2010.0</v>
      </c>
      <c r="E238" s="65">
        <v>8.60369052117064E14</v>
      </c>
      <c r="F238" s="65" t="s">
        <v>326</v>
      </c>
      <c r="G238" s="192" t="s">
        <v>193</v>
      </c>
      <c r="H238" s="69">
        <v>45939.0</v>
      </c>
      <c r="I238" s="65" t="s">
        <v>337</v>
      </c>
      <c r="J238" s="71"/>
      <c r="K238" s="73"/>
      <c r="L238" s="73"/>
      <c r="M238" s="73" t="s">
        <v>338</v>
      </c>
    </row>
    <row r="239">
      <c r="A239" s="65" t="s">
        <v>1306</v>
      </c>
      <c r="B239" s="65" t="s">
        <v>319</v>
      </c>
      <c r="C239" s="200" t="s">
        <v>376</v>
      </c>
      <c r="D239" s="65">
        <v>2016.0</v>
      </c>
      <c r="E239" s="65">
        <v>8.60369052115647E14</v>
      </c>
      <c r="F239" s="65" t="s">
        <v>326</v>
      </c>
      <c r="G239" s="192" t="s">
        <v>193</v>
      </c>
      <c r="H239" s="69">
        <v>45939.0</v>
      </c>
      <c r="I239" s="65" t="s">
        <v>337</v>
      </c>
      <c r="J239" s="71"/>
      <c r="K239" s="73"/>
      <c r="L239" s="73"/>
      <c r="M239" s="73" t="s">
        <v>338</v>
      </c>
    </row>
    <row r="240">
      <c r="A240" s="65" t="s">
        <v>1307</v>
      </c>
      <c r="B240" s="65" t="s">
        <v>374</v>
      </c>
      <c r="C240" s="200" t="s">
        <v>469</v>
      </c>
      <c r="D240" s="65">
        <v>2022.0</v>
      </c>
      <c r="E240" s="65">
        <v>8.60369054404627E14</v>
      </c>
      <c r="F240" s="65" t="s">
        <v>326</v>
      </c>
      <c r="G240" s="192" t="s">
        <v>193</v>
      </c>
      <c r="H240" s="69">
        <v>45939.0</v>
      </c>
      <c r="I240" s="65" t="s">
        <v>337</v>
      </c>
      <c r="J240" s="71"/>
      <c r="K240" s="73"/>
      <c r="L240" s="73"/>
      <c r="M240" s="73" t="s">
        <v>338</v>
      </c>
    </row>
    <row r="241">
      <c r="A241" s="65" t="s">
        <v>1308</v>
      </c>
      <c r="B241" s="65" t="s">
        <v>884</v>
      </c>
      <c r="C241" s="65" t="s">
        <v>1310</v>
      </c>
      <c r="D241" s="65">
        <v>2022.0</v>
      </c>
      <c r="E241" s="65">
        <v>8.60369054166325E14</v>
      </c>
      <c r="F241" s="65" t="s">
        <v>326</v>
      </c>
      <c r="G241" s="192" t="s">
        <v>230</v>
      </c>
      <c r="H241" s="69">
        <v>45940.0</v>
      </c>
      <c r="I241" s="65" t="s">
        <v>337</v>
      </c>
      <c r="J241" s="71"/>
      <c r="K241" s="73"/>
      <c r="L241" s="71"/>
      <c r="M241" s="201" t="s">
        <v>338</v>
      </c>
    </row>
    <row r="242">
      <c r="A242" s="65" t="s">
        <v>1312</v>
      </c>
      <c r="B242" s="65" t="s">
        <v>319</v>
      </c>
      <c r="C242" s="65" t="s">
        <v>321</v>
      </c>
      <c r="D242" s="65">
        <v>2024.0</v>
      </c>
      <c r="E242" s="65">
        <v>8.60369054198674E14</v>
      </c>
      <c r="F242" s="65" t="s">
        <v>326</v>
      </c>
      <c r="G242" s="192" t="s">
        <v>328</v>
      </c>
      <c r="H242" s="69">
        <v>45943.0</v>
      </c>
      <c r="I242" s="65" t="s">
        <v>337</v>
      </c>
      <c r="J242" s="71"/>
      <c r="K242" s="73"/>
      <c r="L242" s="73"/>
      <c r="M242" s="73" t="s">
        <v>338</v>
      </c>
    </row>
    <row r="243">
      <c r="A243" s="65" t="s">
        <v>1314</v>
      </c>
      <c r="B243" s="65" t="s">
        <v>319</v>
      </c>
      <c r="C243" s="65" t="s">
        <v>376</v>
      </c>
      <c r="D243" s="65">
        <v>2020.0</v>
      </c>
      <c r="E243" s="65">
        <v>8.60369054184492E14</v>
      </c>
      <c r="F243" s="65" t="s">
        <v>326</v>
      </c>
      <c r="G243" s="192" t="s">
        <v>328</v>
      </c>
      <c r="H243" s="69">
        <v>45945.0</v>
      </c>
      <c r="I243" s="65" t="s">
        <v>337</v>
      </c>
      <c r="J243" s="71"/>
      <c r="K243" s="73"/>
      <c r="L243" s="73"/>
      <c r="M243" s="73" t="s">
        <v>338</v>
      </c>
    </row>
    <row r="244">
      <c r="A244" s="65" t="s">
        <v>1316</v>
      </c>
      <c r="B244" s="65" t="s">
        <v>319</v>
      </c>
      <c r="C244" s="65" t="s">
        <v>723</v>
      </c>
      <c r="D244" s="65">
        <v>2022.0</v>
      </c>
      <c r="E244" s="65">
        <v>8.60369054188378E14</v>
      </c>
      <c r="F244" s="65" t="s">
        <v>326</v>
      </c>
      <c r="G244" s="192" t="s">
        <v>328</v>
      </c>
      <c r="H244" s="69">
        <v>45945.0</v>
      </c>
      <c r="I244" s="65" t="s">
        <v>337</v>
      </c>
      <c r="J244" s="71"/>
      <c r="K244" s="73"/>
      <c r="L244" s="73"/>
      <c r="M244" s="73" t="s">
        <v>338</v>
      </c>
    </row>
    <row r="245">
      <c r="A245" s="65" t="s">
        <v>1318</v>
      </c>
      <c r="B245" s="65" t="s">
        <v>374</v>
      </c>
      <c r="C245" s="65" t="s">
        <v>1319</v>
      </c>
      <c r="D245" s="65">
        <v>2026.0</v>
      </c>
      <c r="E245" s="65">
        <v>8.60369054407083E14</v>
      </c>
      <c r="F245" s="65" t="s">
        <v>326</v>
      </c>
      <c r="G245" s="192" t="s">
        <v>378</v>
      </c>
      <c r="H245" s="69">
        <v>45945.0</v>
      </c>
      <c r="I245" s="65" t="s">
        <v>337</v>
      </c>
      <c r="J245" s="71"/>
      <c r="K245" s="73"/>
      <c r="L245" s="71"/>
      <c r="M245" s="201" t="s">
        <v>338</v>
      </c>
    </row>
    <row r="246">
      <c r="A246" s="65" t="s">
        <v>1323</v>
      </c>
      <c r="B246" s="65" t="s">
        <v>374</v>
      </c>
      <c r="C246" s="65" t="s">
        <v>1319</v>
      </c>
      <c r="D246" s="65">
        <v>2025.0</v>
      </c>
      <c r="E246" s="65">
        <v>8.60369054122963E14</v>
      </c>
      <c r="F246" s="65" t="s">
        <v>326</v>
      </c>
      <c r="G246" s="192" t="s">
        <v>378</v>
      </c>
      <c r="H246" s="69">
        <v>45945.0</v>
      </c>
      <c r="I246" s="65" t="s">
        <v>337</v>
      </c>
      <c r="J246" s="71"/>
      <c r="K246" s="73"/>
      <c r="L246" s="198" t="s">
        <v>1101</v>
      </c>
      <c r="M246" s="73" t="s">
        <v>338</v>
      </c>
    </row>
    <row r="247">
      <c r="A247" s="65" t="s">
        <v>1325</v>
      </c>
      <c r="B247" s="65" t="s">
        <v>374</v>
      </c>
      <c r="C247" s="65" t="s">
        <v>1319</v>
      </c>
      <c r="D247" s="65">
        <v>2025.0</v>
      </c>
      <c r="E247" s="65">
        <v>8.60369054191737E14</v>
      </c>
      <c r="F247" s="65" t="s">
        <v>326</v>
      </c>
      <c r="G247" s="192" t="s">
        <v>378</v>
      </c>
      <c r="H247" s="69">
        <v>45945.0</v>
      </c>
      <c r="I247" s="65" t="s">
        <v>337</v>
      </c>
      <c r="J247" s="71"/>
      <c r="K247" s="73"/>
      <c r="L247" s="73"/>
      <c r="M247" s="73" t="s">
        <v>338</v>
      </c>
    </row>
    <row r="248">
      <c r="A248" s="65" t="s">
        <v>1327</v>
      </c>
      <c r="B248" s="65" t="s">
        <v>374</v>
      </c>
      <c r="C248" s="65" t="s">
        <v>469</v>
      </c>
      <c r="D248" s="65">
        <v>2025.0</v>
      </c>
      <c r="E248" s="65">
        <v>8.60369054200678E14</v>
      </c>
      <c r="F248" s="65" t="s">
        <v>326</v>
      </c>
      <c r="G248" s="192" t="s">
        <v>378</v>
      </c>
      <c r="H248" s="69">
        <v>45945.0</v>
      </c>
      <c r="I248" s="65" t="s">
        <v>337</v>
      </c>
      <c r="J248" s="71"/>
      <c r="K248" s="73"/>
      <c r="L248" s="73"/>
      <c r="M248" s="73" t="s">
        <v>338</v>
      </c>
    </row>
    <row r="249">
      <c r="A249" s="193" t="s">
        <v>1329</v>
      </c>
      <c r="B249" s="65" t="s">
        <v>374</v>
      </c>
      <c r="C249" s="65" t="s">
        <v>469</v>
      </c>
      <c r="D249" s="65">
        <v>2021.0</v>
      </c>
      <c r="E249" s="65">
        <v>8.60369054740632E14</v>
      </c>
      <c r="F249" s="65" t="s">
        <v>326</v>
      </c>
      <c r="G249" s="192" t="s">
        <v>387</v>
      </c>
      <c r="H249" s="69">
        <v>45945.0</v>
      </c>
      <c r="I249" s="65" t="s">
        <v>337</v>
      </c>
      <c r="J249" s="71"/>
      <c r="K249" s="73"/>
      <c r="L249" s="73"/>
      <c r="M249" s="73" t="s">
        <v>338</v>
      </c>
    </row>
    <row r="250">
      <c r="A250" s="65" t="s">
        <v>1330</v>
      </c>
      <c r="B250" s="65" t="s">
        <v>374</v>
      </c>
      <c r="C250" s="65" t="s">
        <v>469</v>
      </c>
      <c r="D250" s="65">
        <v>2025.0</v>
      </c>
      <c r="E250" s="65">
        <v>8.60369054407182E14</v>
      </c>
      <c r="F250" s="65" t="s">
        <v>326</v>
      </c>
      <c r="G250" s="192" t="s">
        <v>378</v>
      </c>
      <c r="H250" s="69">
        <v>45945.0</v>
      </c>
      <c r="I250" s="65" t="s">
        <v>337</v>
      </c>
      <c r="J250" s="71"/>
      <c r="K250" s="73"/>
      <c r="L250" s="73"/>
      <c r="M250" s="73" t="s">
        <v>338</v>
      </c>
    </row>
    <row r="251">
      <c r="A251" s="193" t="s">
        <v>1331</v>
      </c>
      <c r="B251" s="65" t="s">
        <v>374</v>
      </c>
      <c r="C251" s="65" t="s">
        <v>647</v>
      </c>
      <c r="D251" s="65">
        <v>2023.0</v>
      </c>
      <c r="E251" s="65">
        <v>8.6036905475978E14</v>
      </c>
      <c r="F251" s="65" t="s">
        <v>326</v>
      </c>
      <c r="G251" s="192" t="s">
        <v>387</v>
      </c>
      <c r="H251" s="69">
        <v>45945.0</v>
      </c>
      <c r="I251" s="65" t="s">
        <v>337</v>
      </c>
      <c r="J251" s="71"/>
      <c r="K251" s="73"/>
      <c r="L251" s="73"/>
      <c r="M251" s="73" t="s">
        <v>338</v>
      </c>
    </row>
    <row r="252">
      <c r="A252" s="193" t="s">
        <v>1333</v>
      </c>
      <c r="B252" s="65" t="s">
        <v>319</v>
      </c>
      <c r="C252" s="65" t="s">
        <v>376</v>
      </c>
      <c r="D252" s="65">
        <v>2024.0</v>
      </c>
      <c r="E252" s="65">
        <v>8.60369054405392E14</v>
      </c>
      <c r="F252" s="65" t="s">
        <v>326</v>
      </c>
      <c r="G252" s="192" t="s">
        <v>387</v>
      </c>
      <c r="H252" s="69">
        <v>45945.0</v>
      </c>
      <c r="I252" s="65" t="s">
        <v>337</v>
      </c>
      <c r="J252" s="71"/>
      <c r="K252" s="73"/>
      <c r="L252" s="73"/>
      <c r="M252" s="73" t="s">
        <v>338</v>
      </c>
    </row>
    <row r="253">
      <c r="A253" s="65" t="s">
        <v>1336</v>
      </c>
      <c r="B253" s="65" t="s">
        <v>319</v>
      </c>
      <c r="C253" s="65" t="s">
        <v>376</v>
      </c>
      <c r="D253" s="65">
        <v>2022.0</v>
      </c>
      <c r="E253" s="65">
        <v>8.60369054177561E14</v>
      </c>
      <c r="F253" s="65" t="s">
        <v>326</v>
      </c>
      <c r="G253" s="192" t="s">
        <v>387</v>
      </c>
      <c r="H253" s="69">
        <v>45945.0</v>
      </c>
      <c r="I253" s="65" t="s">
        <v>337</v>
      </c>
      <c r="J253" s="71"/>
      <c r="K253" s="73"/>
      <c r="L253" s="73"/>
      <c r="M253" s="73" t="s">
        <v>338</v>
      </c>
    </row>
    <row r="254">
      <c r="A254" s="65" t="s">
        <v>1338</v>
      </c>
      <c r="B254" s="65" t="s">
        <v>319</v>
      </c>
      <c r="C254" s="65" t="s">
        <v>321</v>
      </c>
      <c r="D254" s="65">
        <v>2025.0</v>
      </c>
      <c r="E254" s="65">
        <v>8.60369054198914E14</v>
      </c>
      <c r="F254" s="65" t="s">
        <v>326</v>
      </c>
      <c r="G254" s="192" t="s">
        <v>328</v>
      </c>
      <c r="H254" s="69">
        <v>45946.0</v>
      </c>
      <c r="I254" s="65" t="s">
        <v>337</v>
      </c>
      <c r="J254" s="71"/>
      <c r="K254" s="73"/>
      <c r="L254" s="73"/>
      <c r="M254" s="73" t="s">
        <v>338</v>
      </c>
    </row>
    <row r="255">
      <c r="A255" s="65" t="s">
        <v>1340</v>
      </c>
      <c r="B255" s="65" t="s">
        <v>319</v>
      </c>
      <c r="C255" s="65" t="s">
        <v>321</v>
      </c>
      <c r="D255" s="65">
        <v>2025.0</v>
      </c>
      <c r="E255" s="65">
        <v>8.60369054197312E14</v>
      </c>
      <c r="F255" s="65" t="s">
        <v>326</v>
      </c>
      <c r="G255" s="192" t="s">
        <v>328</v>
      </c>
      <c r="H255" s="69">
        <v>45946.0</v>
      </c>
      <c r="I255" s="65" t="s">
        <v>337</v>
      </c>
      <c r="J255" s="71"/>
      <c r="K255" s="73"/>
      <c r="L255" s="73"/>
      <c r="M255" s="73" t="s">
        <v>338</v>
      </c>
    </row>
    <row r="256">
      <c r="A256" s="65" t="s">
        <v>1342</v>
      </c>
      <c r="B256" s="65" t="s">
        <v>374</v>
      </c>
      <c r="C256" s="65" t="s">
        <v>469</v>
      </c>
      <c r="D256" s="65">
        <v>2025.0</v>
      </c>
      <c r="E256" s="65">
        <v>8.60369054200819E14</v>
      </c>
      <c r="F256" s="65" t="s">
        <v>326</v>
      </c>
      <c r="G256" s="192" t="s">
        <v>378</v>
      </c>
      <c r="H256" s="69">
        <v>45946.0</v>
      </c>
      <c r="I256" s="65" t="s">
        <v>337</v>
      </c>
      <c r="J256" s="71"/>
      <c r="K256" s="73"/>
      <c r="L256" s="73"/>
      <c r="M256" s="73" t="s">
        <v>338</v>
      </c>
    </row>
    <row r="257">
      <c r="A257" s="65" t="s">
        <v>1345</v>
      </c>
      <c r="B257" s="65" t="s">
        <v>319</v>
      </c>
      <c r="C257" s="65" t="s">
        <v>1346</v>
      </c>
      <c r="D257" s="65">
        <v>2023.0</v>
      </c>
      <c r="E257" s="65">
        <v>8.60369054774391E14</v>
      </c>
      <c r="F257" s="65" t="s">
        <v>326</v>
      </c>
      <c r="G257" s="192" t="s">
        <v>328</v>
      </c>
      <c r="H257" s="69">
        <v>45950.0</v>
      </c>
      <c r="I257" s="65" t="s">
        <v>337</v>
      </c>
      <c r="J257" s="71"/>
      <c r="K257" s="73"/>
      <c r="L257" s="73"/>
      <c r="M257" s="73" t="s">
        <v>338</v>
      </c>
    </row>
    <row r="258">
      <c r="A258" s="78" t="s">
        <v>1348</v>
      </c>
      <c r="B258" s="75" t="s">
        <v>374</v>
      </c>
      <c r="C258" s="75" t="s">
        <v>469</v>
      </c>
      <c r="D258" s="78">
        <v>2025.0</v>
      </c>
      <c r="E258" s="78">
        <v>8.60369054407158E14</v>
      </c>
      <c r="F258" s="76" t="s">
        <v>326</v>
      </c>
      <c r="G258" s="68" t="s">
        <v>378</v>
      </c>
      <c r="H258" s="69">
        <v>45950.0</v>
      </c>
      <c r="I258" s="78" t="s">
        <v>337</v>
      </c>
      <c r="J258" s="78"/>
      <c r="K258" s="81"/>
      <c r="L258" s="80"/>
      <c r="M258" s="81"/>
    </row>
    <row r="259">
      <c r="A259" s="203" t="s">
        <v>1351</v>
      </c>
      <c r="B259" s="203" t="s">
        <v>389</v>
      </c>
      <c r="C259" s="203" t="s">
        <v>1292</v>
      </c>
      <c r="D259" s="65">
        <v>2023.0</v>
      </c>
      <c r="E259" s="65">
        <v>8.60369054402712E14</v>
      </c>
      <c r="F259" s="65" t="s">
        <v>326</v>
      </c>
      <c r="G259" s="192" t="s">
        <v>328</v>
      </c>
      <c r="H259" s="69">
        <v>45952.0</v>
      </c>
      <c r="I259" s="65" t="s">
        <v>337</v>
      </c>
      <c r="J259" s="71"/>
      <c r="K259" s="73"/>
      <c r="L259" s="73"/>
      <c r="M259" s="73" t="s">
        <v>338</v>
      </c>
    </row>
    <row r="260">
      <c r="A260" s="78" t="s">
        <v>1353</v>
      </c>
      <c r="B260" s="75" t="s">
        <v>319</v>
      </c>
      <c r="C260" s="75" t="s">
        <v>321</v>
      </c>
      <c r="D260" s="78">
        <v>2024.0</v>
      </c>
      <c r="E260" s="78">
        <v>8.6036905416347E14</v>
      </c>
      <c r="F260" s="76" t="s">
        <v>326</v>
      </c>
      <c r="G260" s="68" t="s">
        <v>285</v>
      </c>
      <c r="H260" s="69">
        <v>45952.0</v>
      </c>
      <c r="I260" s="78" t="s">
        <v>337</v>
      </c>
      <c r="J260" s="78" t="s">
        <v>1355</v>
      </c>
      <c r="K260" s="81"/>
      <c r="L260" s="80"/>
      <c r="M260" s="81"/>
      <c r="N260" s="83" t="s">
        <v>380</v>
      </c>
    </row>
    <row r="261">
      <c r="A261" s="65" t="s">
        <v>1357</v>
      </c>
      <c r="B261" s="65" t="s">
        <v>319</v>
      </c>
      <c r="C261" s="65" t="s">
        <v>376</v>
      </c>
      <c r="D261" s="65">
        <v>2021.0</v>
      </c>
      <c r="E261" s="65">
        <v>8.60369054173495E14</v>
      </c>
      <c r="F261" s="65" t="s">
        <v>326</v>
      </c>
      <c r="G261" s="192" t="s">
        <v>328</v>
      </c>
      <c r="H261" s="69">
        <v>45953.0</v>
      </c>
      <c r="I261" s="65" t="s">
        <v>337</v>
      </c>
      <c r="J261" s="71"/>
      <c r="K261" s="73"/>
      <c r="L261" s="73"/>
      <c r="M261" s="73" t="s">
        <v>338</v>
      </c>
    </row>
    <row r="262">
      <c r="A262" s="193" t="s">
        <v>1359</v>
      </c>
      <c r="B262" s="65" t="s">
        <v>374</v>
      </c>
      <c r="C262" s="65" t="s">
        <v>647</v>
      </c>
      <c r="D262" s="65">
        <v>2023.0</v>
      </c>
      <c r="E262" s="65">
        <v>8.60369054188824E14</v>
      </c>
      <c r="F262" s="65" t="s">
        <v>326</v>
      </c>
      <c r="G262" s="192" t="s">
        <v>387</v>
      </c>
      <c r="H262" s="69">
        <v>45953.0</v>
      </c>
      <c r="I262" s="65" t="s">
        <v>337</v>
      </c>
      <c r="J262" s="71"/>
      <c r="K262" s="73"/>
      <c r="L262" s="73"/>
      <c r="M262" s="73" t="s">
        <v>338</v>
      </c>
    </row>
    <row r="263">
      <c r="A263" s="193" t="s">
        <v>1361</v>
      </c>
      <c r="B263" s="65" t="s">
        <v>374</v>
      </c>
      <c r="C263" s="65" t="s">
        <v>1362</v>
      </c>
      <c r="D263" s="65">
        <v>2021.0</v>
      </c>
      <c r="E263" s="65">
        <v>8.60369054161839E14</v>
      </c>
      <c r="F263" s="65" t="s">
        <v>326</v>
      </c>
      <c r="G263" s="192" t="s">
        <v>387</v>
      </c>
      <c r="H263" s="69">
        <v>45953.0</v>
      </c>
      <c r="I263" s="65" t="s">
        <v>337</v>
      </c>
      <c r="J263" s="71"/>
      <c r="K263" s="204"/>
      <c r="L263" s="73"/>
      <c r="M263" s="73" t="s">
        <v>338</v>
      </c>
    </row>
    <row r="264">
      <c r="A264" s="65" t="s">
        <v>1364</v>
      </c>
      <c r="B264" s="65" t="s">
        <v>374</v>
      </c>
      <c r="C264" s="65" t="s">
        <v>469</v>
      </c>
      <c r="D264" s="65">
        <v>2021.0</v>
      </c>
      <c r="E264" s="65">
        <v>8.60369054200413E14</v>
      </c>
      <c r="F264" s="65" t="s">
        <v>326</v>
      </c>
      <c r="G264" s="192" t="s">
        <v>387</v>
      </c>
      <c r="H264" s="69">
        <v>45953.0</v>
      </c>
      <c r="I264" s="65" t="s">
        <v>337</v>
      </c>
      <c r="J264" s="71"/>
      <c r="K264" s="73"/>
      <c r="L264" s="73"/>
      <c r="M264" s="73" t="s">
        <v>338</v>
      </c>
    </row>
    <row r="265">
      <c r="A265" s="193" t="s">
        <v>1366</v>
      </c>
      <c r="B265" s="65" t="s">
        <v>319</v>
      </c>
      <c r="C265" s="65" t="s">
        <v>321</v>
      </c>
      <c r="D265" s="65">
        <v>2024.0</v>
      </c>
      <c r="E265" s="65">
        <v>8.60369054740897E14</v>
      </c>
      <c r="F265" s="65" t="s">
        <v>326</v>
      </c>
      <c r="G265" s="192" t="s">
        <v>387</v>
      </c>
      <c r="H265" s="69">
        <v>45953.0</v>
      </c>
      <c r="I265" s="65" t="s">
        <v>337</v>
      </c>
      <c r="J265" s="71"/>
      <c r="K265" s="73"/>
      <c r="L265" s="73"/>
      <c r="M265" s="73" t="s">
        <v>338</v>
      </c>
    </row>
    <row r="266">
      <c r="A266" s="193" t="s">
        <v>1368</v>
      </c>
      <c r="B266" s="65" t="s">
        <v>389</v>
      </c>
      <c r="C266" s="65" t="s">
        <v>1371</v>
      </c>
      <c r="D266" s="65">
        <v>2024.0</v>
      </c>
      <c r="E266" s="65">
        <v>8.60369054404312E14</v>
      </c>
      <c r="F266" s="65" t="s">
        <v>326</v>
      </c>
      <c r="G266" s="192" t="s">
        <v>387</v>
      </c>
      <c r="H266" s="69">
        <v>45953.0</v>
      </c>
      <c r="I266" s="65" t="s">
        <v>337</v>
      </c>
      <c r="J266" s="71"/>
      <c r="K266" s="73"/>
      <c r="L266" s="73"/>
      <c r="M266" s="73" t="s">
        <v>338</v>
      </c>
    </row>
    <row r="267">
      <c r="A267" s="65" t="s">
        <v>1372</v>
      </c>
      <c r="B267" s="65" t="s">
        <v>374</v>
      </c>
      <c r="C267" s="65" t="s">
        <v>469</v>
      </c>
      <c r="D267" s="65">
        <v>2020.0</v>
      </c>
      <c r="E267" s="65">
        <v>8.60369054743909E14</v>
      </c>
      <c r="F267" s="65" t="s">
        <v>326</v>
      </c>
      <c r="G267" s="192" t="s">
        <v>387</v>
      </c>
      <c r="H267" s="69">
        <v>45953.0</v>
      </c>
      <c r="I267" s="65" t="s">
        <v>337</v>
      </c>
      <c r="J267" s="71"/>
      <c r="K267" s="73"/>
      <c r="L267" s="73"/>
      <c r="M267" s="73" t="s">
        <v>338</v>
      </c>
    </row>
    <row r="268">
      <c r="A268" s="193" t="s">
        <v>1374</v>
      </c>
      <c r="B268" s="65" t="s">
        <v>374</v>
      </c>
      <c r="C268" s="65" t="s">
        <v>469</v>
      </c>
      <c r="D268" s="65">
        <v>2019.0</v>
      </c>
      <c r="E268" s="65">
        <v>8.60369054191695E14</v>
      </c>
      <c r="F268" s="65" t="s">
        <v>326</v>
      </c>
      <c r="G268" s="192" t="s">
        <v>387</v>
      </c>
      <c r="H268" s="69">
        <v>45953.0</v>
      </c>
      <c r="I268" s="65" t="s">
        <v>337</v>
      </c>
      <c r="J268" s="71"/>
      <c r="K268" s="73"/>
      <c r="L268" s="73"/>
      <c r="M268" s="73" t="s">
        <v>338</v>
      </c>
    </row>
    <row r="269">
      <c r="A269" s="65" t="s">
        <v>1376</v>
      </c>
      <c r="B269" s="65" t="s">
        <v>374</v>
      </c>
      <c r="C269" s="65" t="s">
        <v>1319</v>
      </c>
      <c r="D269" s="65">
        <v>2025.0</v>
      </c>
      <c r="E269" s="65">
        <v>8.60369054412323E14</v>
      </c>
      <c r="F269" s="65" t="s">
        <v>326</v>
      </c>
      <c r="G269" s="192" t="s">
        <v>378</v>
      </c>
      <c r="H269" s="69">
        <v>45954.0</v>
      </c>
      <c r="I269" s="65" t="s">
        <v>337</v>
      </c>
      <c r="J269" s="71"/>
      <c r="K269" s="73"/>
      <c r="L269" s="73"/>
      <c r="M269" s="73" t="s">
        <v>338</v>
      </c>
    </row>
    <row r="270">
      <c r="A270" s="65" t="s">
        <v>1378</v>
      </c>
      <c r="B270" s="65" t="s">
        <v>374</v>
      </c>
      <c r="C270" s="65" t="s">
        <v>1319</v>
      </c>
      <c r="D270" s="65">
        <v>2025.0</v>
      </c>
      <c r="E270" s="65">
        <v>8.60369054188741E14</v>
      </c>
      <c r="F270" s="65" t="s">
        <v>326</v>
      </c>
      <c r="G270" s="192" t="s">
        <v>378</v>
      </c>
      <c r="H270" s="69">
        <v>45954.0</v>
      </c>
      <c r="I270" s="65" t="s">
        <v>337</v>
      </c>
      <c r="J270" s="71"/>
      <c r="K270" s="73"/>
      <c r="L270" s="73"/>
      <c r="M270" s="73" t="s">
        <v>338</v>
      </c>
    </row>
    <row r="271">
      <c r="A271" s="65" t="s">
        <v>1381</v>
      </c>
      <c r="B271" s="65" t="s">
        <v>1006</v>
      </c>
      <c r="C271" s="65" t="s">
        <v>1382</v>
      </c>
      <c r="D271" s="65">
        <v>2011.0</v>
      </c>
      <c r="E271" s="65">
        <v>8.6036905440328E14</v>
      </c>
      <c r="F271" s="205" t="s">
        <v>326</v>
      </c>
      <c r="G271" s="192" t="s">
        <v>664</v>
      </c>
      <c r="H271" s="69">
        <v>45955.0</v>
      </c>
      <c r="I271" s="195" t="s">
        <v>1240</v>
      </c>
      <c r="J271" s="71"/>
      <c r="K271" s="73"/>
      <c r="L271" s="73"/>
      <c r="M271" s="73" t="s">
        <v>338</v>
      </c>
    </row>
    <row r="272">
      <c r="A272" s="65" t="s">
        <v>1386</v>
      </c>
      <c r="B272" s="65" t="s">
        <v>319</v>
      </c>
      <c r="C272" s="65" t="s">
        <v>321</v>
      </c>
      <c r="D272" s="65">
        <v>2021.0</v>
      </c>
      <c r="E272" s="65">
        <v>8.60369054775935E14</v>
      </c>
      <c r="F272" s="205" t="s">
        <v>326</v>
      </c>
      <c r="G272" s="192" t="s">
        <v>664</v>
      </c>
      <c r="H272" s="69">
        <v>45955.0</v>
      </c>
      <c r="I272" s="195" t="s">
        <v>1240</v>
      </c>
      <c r="J272" s="71"/>
      <c r="K272" s="73"/>
      <c r="L272" s="73"/>
      <c r="M272" s="73" t="s">
        <v>338</v>
      </c>
    </row>
    <row r="273">
      <c r="A273" s="65" t="s">
        <v>1389</v>
      </c>
      <c r="B273" s="65" t="s">
        <v>389</v>
      </c>
      <c r="C273" s="65" t="s">
        <v>1292</v>
      </c>
      <c r="D273" s="65">
        <v>2023.0</v>
      </c>
      <c r="E273" s="65">
        <v>8.60369054402688E14</v>
      </c>
      <c r="F273" s="205" t="s">
        <v>398</v>
      </c>
      <c r="G273" s="192" t="s">
        <v>664</v>
      </c>
      <c r="H273" s="69">
        <v>45955.0</v>
      </c>
      <c r="I273" s="65" t="s">
        <v>337</v>
      </c>
      <c r="J273" s="71"/>
      <c r="K273" s="73"/>
      <c r="L273" s="73"/>
      <c r="M273" s="73" t="s">
        <v>338</v>
      </c>
    </row>
    <row r="274">
      <c r="A274" s="65" t="s">
        <v>1391</v>
      </c>
      <c r="B274" s="65" t="s">
        <v>1006</v>
      </c>
      <c r="C274" s="65" t="s">
        <v>1382</v>
      </c>
      <c r="D274" s="65">
        <v>2011.0</v>
      </c>
      <c r="E274" s="65">
        <v>8.60369054404015E14</v>
      </c>
      <c r="F274" s="205" t="s">
        <v>326</v>
      </c>
      <c r="G274" s="192" t="s">
        <v>664</v>
      </c>
      <c r="H274" s="69">
        <v>45955.0</v>
      </c>
      <c r="I274" s="65" t="s">
        <v>337</v>
      </c>
      <c r="J274" s="71" t="s">
        <v>1394</v>
      </c>
      <c r="K274" s="73"/>
      <c r="L274" s="73"/>
      <c r="M274" s="73" t="s">
        <v>338</v>
      </c>
    </row>
    <row r="275">
      <c r="A275" s="65" t="s">
        <v>1395</v>
      </c>
      <c r="B275" s="65" t="s">
        <v>319</v>
      </c>
      <c r="C275" s="65" t="s">
        <v>321</v>
      </c>
      <c r="D275" s="65">
        <v>2022.0</v>
      </c>
      <c r="E275" s="65">
        <v>8.60369054409741E14</v>
      </c>
      <c r="F275" s="205" t="s">
        <v>326</v>
      </c>
      <c r="G275" s="192" t="s">
        <v>664</v>
      </c>
      <c r="H275" s="69">
        <v>45955.0</v>
      </c>
      <c r="I275" s="195" t="s">
        <v>1240</v>
      </c>
      <c r="J275" s="71"/>
      <c r="K275" s="73"/>
      <c r="L275" s="73"/>
      <c r="M275" s="73" t="s">
        <v>338</v>
      </c>
    </row>
    <row r="276">
      <c r="A276" s="65" t="s">
        <v>1398</v>
      </c>
      <c r="B276" s="65" t="s">
        <v>1006</v>
      </c>
      <c r="C276" s="65" t="s">
        <v>1382</v>
      </c>
      <c r="D276" s="65">
        <v>2012.0</v>
      </c>
      <c r="E276" s="65">
        <v>8.60369054403603E14</v>
      </c>
      <c r="F276" s="205" t="s">
        <v>326</v>
      </c>
      <c r="G276" s="192" t="s">
        <v>664</v>
      </c>
      <c r="H276" s="69">
        <v>45955.0</v>
      </c>
      <c r="I276" s="65" t="s">
        <v>337</v>
      </c>
      <c r="J276" s="71" t="s">
        <v>1394</v>
      </c>
      <c r="K276" s="73"/>
      <c r="L276" s="73"/>
      <c r="M276" s="73" t="s">
        <v>338</v>
      </c>
    </row>
    <row r="277">
      <c r="A277" s="65" t="s">
        <v>1401</v>
      </c>
      <c r="B277" s="65" t="s">
        <v>884</v>
      </c>
      <c r="C277" s="65" t="s">
        <v>1402</v>
      </c>
      <c r="D277" s="65">
        <v>2017.0</v>
      </c>
      <c r="E277" s="65">
        <v>8.60369054188063E14</v>
      </c>
      <c r="F277" s="205" t="s">
        <v>326</v>
      </c>
      <c r="G277" s="192" t="s">
        <v>664</v>
      </c>
      <c r="H277" s="69">
        <v>45955.0</v>
      </c>
      <c r="I277" s="195" t="s">
        <v>1240</v>
      </c>
      <c r="J277" s="71"/>
      <c r="K277" s="73"/>
      <c r="L277" s="73"/>
      <c r="M277" s="73" t="s">
        <v>338</v>
      </c>
    </row>
    <row r="278">
      <c r="A278" s="65" t="s">
        <v>1404</v>
      </c>
      <c r="B278" s="65" t="s">
        <v>884</v>
      </c>
      <c r="C278" s="65" t="s">
        <v>1402</v>
      </c>
      <c r="D278" s="65">
        <v>2018.0</v>
      </c>
      <c r="E278" s="65">
        <v>8.60369054415318E14</v>
      </c>
      <c r="F278" s="205" t="s">
        <v>398</v>
      </c>
      <c r="G278" s="192" t="s">
        <v>664</v>
      </c>
      <c r="H278" s="69">
        <v>45959.0</v>
      </c>
      <c r="I278" s="65" t="s">
        <v>337</v>
      </c>
      <c r="J278" s="71"/>
      <c r="K278" s="73"/>
      <c r="L278" s="73"/>
      <c r="M278" s="73" t="s">
        <v>338</v>
      </c>
    </row>
    <row r="279">
      <c r="A279" s="65" t="s">
        <v>1406</v>
      </c>
      <c r="B279" s="65" t="s">
        <v>374</v>
      </c>
      <c r="C279" s="65" t="s">
        <v>1319</v>
      </c>
      <c r="D279" s="65">
        <v>2025.0</v>
      </c>
      <c r="E279" s="65">
        <v>8.60369054186356E14</v>
      </c>
      <c r="F279" s="65" t="s">
        <v>326</v>
      </c>
      <c r="G279" s="192" t="s">
        <v>378</v>
      </c>
      <c r="H279" s="69">
        <v>45960.0</v>
      </c>
      <c r="I279" s="65" t="s">
        <v>337</v>
      </c>
      <c r="J279" s="71"/>
      <c r="K279" s="73"/>
      <c r="L279" s="73"/>
      <c r="M279" s="73" t="s">
        <v>338</v>
      </c>
    </row>
    <row r="280">
      <c r="A280" s="65" t="s">
        <v>1408</v>
      </c>
      <c r="B280" s="65" t="s">
        <v>884</v>
      </c>
      <c r="C280" s="65" t="s">
        <v>1402</v>
      </c>
      <c r="D280" s="65">
        <v>2019.0</v>
      </c>
      <c r="E280" s="65">
        <v>8.6036905440229E14</v>
      </c>
      <c r="F280" s="205" t="s">
        <v>326</v>
      </c>
      <c r="G280" s="192" t="s">
        <v>664</v>
      </c>
      <c r="H280" s="69">
        <v>45960.0</v>
      </c>
      <c r="I280" s="195" t="s">
        <v>1240</v>
      </c>
      <c r="J280" s="71"/>
      <c r="K280" s="73"/>
      <c r="L280" s="73"/>
      <c r="M280" s="73" t="s">
        <v>338</v>
      </c>
    </row>
    <row r="281">
      <c r="A281" s="65" t="s">
        <v>1410</v>
      </c>
      <c r="B281" s="65" t="s">
        <v>319</v>
      </c>
      <c r="C281" s="65" t="s">
        <v>376</v>
      </c>
      <c r="D281" s="65">
        <v>2020.0</v>
      </c>
      <c r="E281" s="65">
        <v>8.60369054181464E14</v>
      </c>
      <c r="F281" s="65" t="s">
        <v>326</v>
      </c>
      <c r="G281" s="192" t="s">
        <v>328</v>
      </c>
      <c r="H281" s="69">
        <v>45961.0</v>
      </c>
      <c r="I281" s="65" t="s">
        <v>337</v>
      </c>
      <c r="J281" s="71"/>
      <c r="K281" s="73"/>
      <c r="L281" s="71" t="s">
        <v>1412</v>
      </c>
      <c r="M281" s="73" t="s">
        <v>338</v>
      </c>
    </row>
    <row r="282">
      <c r="A282" s="65" t="s">
        <v>1414</v>
      </c>
      <c r="B282" s="65" t="s">
        <v>319</v>
      </c>
      <c r="C282" s="65" t="s">
        <v>321</v>
      </c>
      <c r="D282" s="65">
        <v>2026.0</v>
      </c>
      <c r="E282" s="65">
        <v>8.60369052171541E14</v>
      </c>
      <c r="F282" s="65" t="s">
        <v>398</v>
      </c>
      <c r="G282" s="192" t="s">
        <v>328</v>
      </c>
      <c r="H282" s="69">
        <v>45961.0</v>
      </c>
      <c r="I282" s="65" t="s">
        <v>337</v>
      </c>
      <c r="J282" s="71"/>
      <c r="K282" s="73"/>
      <c r="L282" s="73"/>
      <c r="M282" s="73" t="s">
        <v>338</v>
      </c>
    </row>
    <row r="283">
      <c r="A283" s="65" t="s">
        <v>1416</v>
      </c>
      <c r="B283" s="65" t="s">
        <v>374</v>
      </c>
      <c r="C283" s="65" t="s">
        <v>1417</v>
      </c>
      <c r="D283" s="65">
        <v>2013.0</v>
      </c>
      <c r="E283" s="65">
        <v>8.6036905418704E14</v>
      </c>
      <c r="F283" s="65" t="s">
        <v>326</v>
      </c>
      <c r="G283" s="192" t="s">
        <v>387</v>
      </c>
      <c r="H283" s="69">
        <v>45968.0</v>
      </c>
      <c r="I283" s="65" t="s">
        <v>337</v>
      </c>
      <c r="J283" s="71"/>
      <c r="K283" s="73"/>
      <c r="L283" s="73"/>
      <c r="M283" s="73" t="s">
        <v>338</v>
      </c>
    </row>
    <row r="284">
      <c r="A284" s="65" t="s">
        <v>1421</v>
      </c>
      <c r="B284" s="65" t="s">
        <v>374</v>
      </c>
      <c r="C284" s="65" t="s">
        <v>469</v>
      </c>
      <c r="D284" s="65">
        <v>2018.0</v>
      </c>
      <c r="E284" s="65">
        <v>8.60369054188469E14</v>
      </c>
      <c r="F284" s="65" t="s">
        <v>326</v>
      </c>
      <c r="G284" s="192" t="s">
        <v>387</v>
      </c>
      <c r="H284" s="69">
        <v>45968.0</v>
      </c>
      <c r="I284" s="65" t="s">
        <v>337</v>
      </c>
      <c r="J284" s="71"/>
      <c r="K284" s="73"/>
      <c r="L284" s="73"/>
      <c r="M284" s="73" t="s">
        <v>338</v>
      </c>
    </row>
    <row r="285">
      <c r="A285" s="65" t="s">
        <v>1424</v>
      </c>
      <c r="B285" s="65" t="s">
        <v>319</v>
      </c>
      <c r="C285" s="65" t="s">
        <v>376</v>
      </c>
      <c r="D285" s="65">
        <v>2024.0</v>
      </c>
      <c r="E285" s="65">
        <v>8.60369054196512E14</v>
      </c>
      <c r="F285" s="65" t="s">
        <v>326</v>
      </c>
      <c r="G285" s="192" t="s">
        <v>387</v>
      </c>
      <c r="H285" s="69">
        <v>45968.0</v>
      </c>
      <c r="I285" s="65" t="s">
        <v>337</v>
      </c>
      <c r="J285" s="71"/>
      <c r="K285" s="73"/>
      <c r="L285" s="73"/>
      <c r="M285" s="73" t="s">
        <v>338</v>
      </c>
    </row>
    <row r="286">
      <c r="A286" s="193" t="s">
        <v>1427</v>
      </c>
      <c r="B286" s="65" t="s">
        <v>374</v>
      </c>
      <c r="C286" s="65" t="s">
        <v>469</v>
      </c>
      <c r="D286" s="65">
        <v>2019.0</v>
      </c>
      <c r="E286" s="65">
        <v>8.60369054191216E14</v>
      </c>
      <c r="F286" s="65" t="s">
        <v>326</v>
      </c>
      <c r="G286" s="192" t="s">
        <v>387</v>
      </c>
      <c r="H286" s="69">
        <v>45968.0</v>
      </c>
      <c r="I286" s="65" t="s">
        <v>337</v>
      </c>
      <c r="J286" s="71"/>
      <c r="K286" s="73"/>
      <c r="L286" s="73"/>
      <c r="M286" s="73" t="s">
        <v>338</v>
      </c>
    </row>
    <row r="287">
      <c r="A287" s="193" t="s">
        <v>1429</v>
      </c>
      <c r="B287" s="65" t="s">
        <v>319</v>
      </c>
      <c r="C287" s="65" t="s">
        <v>376</v>
      </c>
      <c r="D287" s="65">
        <v>2024.0</v>
      </c>
      <c r="E287" s="65">
        <v>8.60369054740848E14</v>
      </c>
      <c r="F287" s="65" t="s">
        <v>326</v>
      </c>
      <c r="G287" s="192" t="s">
        <v>387</v>
      </c>
      <c r="H287" s="69">
        <v>45968.0</v>
      </c>
      <c r="I287" s="65" t="s">
        <v>337</v>
      </c>
      <c r="J287" s="71"/>
      <c r="K287" s="73"/>
      <c r="L287" s="73"/>
      <c r="M287" s="73" t="s">
        <v>338</v>
      </c>
    </row>
    <row r="288">
      <c r="A288" s="65" t="s">
        <v>1432</v>
      </c>
      <c r="B288" s="65" t="s">
        <v>884</v>
      </c>
      <c r="C288" s="65" t="s">
        <v>1433</v>
      </c>
      <c r="D288" s="65">
        <v>2024.0</v>
      </c>
      <c r="E288" s="65">
        <v>8.60369054408537E14</v>
      </c>
      <c r="F288" s="65" t="s">
        <v>326</v>
      </c>
      <c r="G288" s="192" t="s">
        <v>784</v>
      </c>
      <c r="H288" s="69">
        <v>45971.0</v>
      </c>
      <c r="I288" s="65" t="s">
        <v>337</v>
      </c>
      <c r="J288" s="71"/>
      <c r="K288" s="73"/>
      <c r="L288" s="73"/>
      <c r="M288" s="73" t="s">
        <v>338</v>
      </c>
    </row>
    <row r="289">
      <c r="A289" s="65" t="s">
        <v>1435</v>
      </c>
      <c r="B289" s="65" t="s">
        <v>1006</v>
      </c>
      <c r="C289" s="65" t="s">
        <v>1433</v>
      </c>
      <c r="D289" s="65">
        <v>2025.0</v>
      </c>
      <c r="E289" s="65">
        <v>8.60369054404841E14</v>
      </c>
      <c r="F289" s="65" t="s">
        <v>326</v>
      </c>
      <c r="G289" s="192" t="s">
        <v>784</v>
      </c>
      <c r="H289" s="69">
        <v>45971.0</v>
      </c>
      <c r="I289" s="65" t="s">
        <v>337</v>
      </c>
      <c r="J289" s="71"/>
      <c r="K289" s="73"/>
      <c r="L289" s="73"/>
      <c r="M289" s="73" t="s">
        <v>338</v>
      </c>
    </row>
    <row r="290">
      <c r="A290" s="65" t="s">
        <v>1438</v>
      </c>
      <c r="B290" s="65" t="s">
        <v>1006</v>
      </c>
      <c r="C290" s="65" t="s">
        <v>1433</v>
      </c>
      <c r="D290" s="65">
        <v>2025.0</v>
      </c>
      <c r="E290" s="65">
        <v>8.6036905473781E14</v>
      </c>
      <c r="F290" s="65" t="s">
        <v>326</v>
      </c>
      <c r="G290" s="192" t="s">
        <v>784</v>
      </c>
      <c r="H290" s="69">
        <v>45971.0</v>
      </c>
      <c r="I290" s="65" t="s">
        <v>337</v>
      </c>
      <c r="J290" s="71"/>
      <c r="K290" s="73"/>
      <c r="L290" s="73"/>
      <c r="M290" s="73" t="s">
        <v>338</v>
      </c>
    </row>
    <row r="291">
      <c r="A291" s="195" t="s">
        <v>1440</v>
      </c>
      <c r="B291" s="65" t="s">
        <v>1006</v>
      </c>
      <c r="C291" s="65" t="s">
        <v>1433</v>
      </c>
      <c r="D291" s="65">
        <v>2025.0</v>
      </c>
      <c r="E291" s="65">
        <v>8.60369054726375E14</v>
      </c>
      <c r="F291" s="65" t="s">
        <v>326</v>
      </c>
      <c r="G291" s="192" t="s">
        <v>784</v>
      </c>
      <c r="H291" s="69">
        <v>45971.0</v>
      </c>
      <c r="I291" s="65" t="s">
        <v>337</v>
      </c>
      <c r="J291" s="71"/>
      <c r="K291" s="73"/>
      <c r="L291" s="73"/>
      <c r="M291" s="73" t="s">
        <v>338</v>
      </c>
    </row>
    <row r="292">
      <c r="A292" s="65" t="s">
        <v>1442</v>
      </c>
      <c r="B292" s="65" t="s">
        <v>884</v>
      </c>
      <c r="C292" s="65" t="s">
        <v>1433</v>
      </c>
      <c r="D292" s="65">
        <v>2025.0</v>
      </c>
      <c r="E292" s="65">
        <v>8.60369054410392E14</v>
      </c>
      <c r="F292" s="65" t="s">
        <v>326</v>
      </c>
      <c r="G292" s="192" t="s">
        <v>784</v>
      </c>
      <c r="H292" s="69">
        <v>45971.0</v>
      </c>
      <c r="I292" s="65" t="s">
        <v>337</v>
      </c>
      <c r="J292" s="71"/>
      <c r="K292" s="73"/>
      <c r="L292" s="73"/>
      <c r="M292" s="73" t="s">
        <v>338</v>
      </c>
    </row>
    <row r="293">
      <c r="A293" s="65" t="s">
        <v>1444</v>
      </c>
      <c r="B293" s="65" t="s">
        <v>1006</v>
      </c>
      <c r="C293" s="65" t="s">
        <v>1433</v>
      </c>
      <c r="D293" s="65">
        <v>2025.0</v>
      </c>
      <c r="E293" s="65">
        <v>8.60369054403009E14</v>
      </c>
      <c r="F293" s="65" t="s">
        <v>326</v>
      </c>
      <c r="G293" s="192" t="s">
        <v>784</v>
      </c>
      <c r="H293" s="69">
        <v>45971.0</v>
      </c>
      <c r="I293" s="65" t="s">
        <v>337</v>
      </c>
      <c r="J293" s="71"/>
      <c r="K293" s="73"/>
      <c r="L293" s="73"/>
      <c r="M293" s="73" t="s">
        <v>338</v>
      </c>
    </row>
    <row r="294">
      <c r="A294" s="65" t="s">
        <v>1446</v>
      </c>
      <c r="B294" s="65" t="s">
        <v>884</v>
      </c>
      <c r="C294" s="65" t="s">
        <v>1433</v>
      </c>
      <c r="D294" s="65">
        <v>2025.0</v>
      </c>
      <c r="E294" s="65">
        <v>8.60369054743842E14</v>
      </c>
      <c r="F294" s="65" t="s">
        <v>326</v>
      </c>
      <c r="G294" s="192" t="s">
        <v>784</v>
      </c>
      <c r="H294" s="69">
        <v>45971.0</v>
      </c>
      <c r="I294" s="65" t="s">
        <v>337</v>
      </c>
      <c r="J294" s="71"/>
      <c r="K294" s="73"/>
      <c r="L294" s="73"/>
      <c r="M294" s="73" t="s">
        <v>338</v>
      </c>
    </row>
    <row r="295">
      <c r="A295" s="65" t="s">
        <v>1447</v>
      </c>
      <c r="B295" s="65" t="s">
        <v>1006</v>
      </c>
      <c r="C295" s="65" t="s">
        <v>1433</v>
      </c>
      <c r="D295" s="65">
        <v>2025.0</v>
      </c>
      <c r="E295" s="65">
        <v>8.60369054408156E14</v>
      </c>
      <c r="F295" s="65" t="s">
        <v>326</v>
      </c>
      <c r="G295" s="192" t="s">
        <v>784</v>
      </c>
      <c r="H295" s="69">
        <v>45971.0</v>
      </c>
      <c r="I295" s="65" t="s">
        <v>337</v>
      </c>
      <c r="J295" s="71"/>
      <c r="K295" s="73"/>
      <c r="L295" s="73"/>
      <c r="M295" s="73" t="s">
        <v>338</v>
      </c>
    </row>
    <row r="296">
      <c r="A296" s="65" t="s">
        <v>1448</v>
      </c>
      <c r="B296" s="65" t="s">
        <v>884</v>
      </c>
      <c r="C296" s="65" t="s">
        <v>1433</v>
      </c>
      <c r="D296" s="65">
        <v>2025.0</v>
      </c>
      <c r="E296" s="65">
        <v>8.60369054402746E14</v>
      </c>
      <c r="F296" s="65" t="s">
        <v>326</v>
      </c>
      <c r="G296" s="192" t="s">
        <v>784</v>
      </c>
      <c r="H296" s="69">
        <v>45971.0</v>
      </c>
      <c r="I296" s="65" t="s">
        <v>337</v>
      </c>
      <c r="J296" s="71"/>
      <c r="K296" s="73"/>
      <c r="L296" s="73"/>
      <c r="M296" s="73" t="s">
        <v>338</v>
      </c>
    </row>
    <row r="297">
      <c r="A297" s="65" t="s">
        <v>1450</v>
      </c>
      <c r="B297" s="65" t="s">
        <v>1006</v>
      </c>
      <c r="C297" s="65" t="s">
        <v>1433</v>
      </c>
      <c r="D297" s="65">
        <v>2026.0</v>
      </c>
      <c r="E297" s="65">
        <v>8.60369054729866E14</v>
      </c>
      <c r="F297" s="65" t="s">
        <v>326</v>
      </c>
      <c r="G297" s="192" t="s">
        <v>784</v>
      </c>
      <c r="H297" s="69">
        <v>45971.0</v>
      </c>
      <c r="I297" s="65" t="s">
        <v>337</v>
      </c>
      <c r="J297" s="71"/>
      <c r="K297" s="71"/>
      <c r="L297" s="73"/>
      <c r="M297" s="73" t="s">
        <v>338</v>
      </c>
    </row>
    <row r="298">
      <c r="A298" s="65" t="s">
        <v>1454</v>
      </c>
      <c r="B298" s="65" t="s">
        <v>319</v>
      </c>
      <c r="C298" s="65" t="s">
        <v>321</v>
      </c>
      <c r="D298" s="65">
        <v>2025.0</v>
      </c>
      <c r="E298" s="65">
        <v>8.6036905474002E14</v>
      </c>
      <c r="F298" s="65" t="s">
        <v>326</v>
      </c>
      <c r="G298" s="192" t="s">
        <v>328</v>
      </c>
      <c r="H298" s="69">
        <v>45972.0</v>
      </c>
      <c r="I298" s="65" t="s">
        <v>337</v>
      </c>
      <c r="J298" s="71"/>
      <c r="K298" s="73"/>
      <c r="L298" s="73"/>
      <c r="M298" s="73" t="s">
        <v>338</v>
      </c>
    </row>
    <row r="299">
      <c r="A299" s="65" t="s">
        <v>1455</v>
      </c>
      <c r="B299" s="65" t="s">
        <v>319</v>
      </c>
      <c r="C299" s="65" t="s">
        <v>321</v>
      </c>
      <c r="D299" s="65">
        <v>2025.0</v>
      </c>
      <c r="E299" s="65">
        <v>8.6036905440516E14</v>
      </c>
      <c r="F299" s="65" t="s">
        <v>326</v>
      </c>
      <c r="G299" s="192" t="s">
        <v>328</v>
      </c>
      <c r="H299" s="69">
        <v>45972.0</v>
      </c>
      <c r="I299" s="65" t="s">
        <v>337</v>
      </c>
      <c r="J299" s="71"/>
      <c r="K299" s="73"/>
      <c r="L299" s="73"/>
      <c r="M299" s="73" t="s">
        <v>338</v>
      </c>
    </row>
    <row r="300">
      <c r="A300" s="65" t="s">
        <v>1456</v>
      </c>
      <c r="B300" s="65" t="s">
        <v>319</v>
      </c>
      <c r="C300" s="65" t="s">
        <v>321</v>
      </c>
      <c r="D300" s="65">
        <v>2025.0</v>
      </c>
      <c r="E300" s="65">
        <v>8.60369054743982E14</v>
      </c>
      <c r="F300" s="65" t="s">
        <v>326</v>
      </c>
      <c r="G300" s="192" t="s">
        <v>328</v>
      </c>
      <c r="H300" s="69">
        <v>45972.0</v>
      </c>
      <c r="I300" s="65" t="s">
        <v>337</v>
      </c>
      <c r="J300" s="71"/>
      <c r="K300" s="73"/>
      <c r="L300" s="73"/>
      <c r="M300" s="73" t="s">
        <v>338</v>
      </c>
    </row>
    <row r="301">
      <c r="A301" s="65" t="s">
        <v>1457</v>
      </c>
      <c r="B301" s="65" t="s">
        <v>319</v>
      </c>
      <c r="C301" s="65" t="s">
        <v>321</v>
      </c>
      <c r="D301" s="65">
        <v>2025.0</v>
      </c>
      <c r="E301" s="65">
        <v>8.60369054193485E14</v>
      </c>
      <c r="F301" s="65" t="s">
        <v>326</v>
      </c>
      <c r="G301" s="192" t="s">
        <v>328</v>
      </c>
      <c r="H301" s="69">
        <v>45972.0</v>
      </c>
      <c r="I301" s="65" t="s">
        <v>337</v>
      </c>
      <c r="J301" s="71"/>
      <c r="K301" s="73"/>
      <c r="L301" s="73"/>
      <c r="M301" s="73" t="s">
        <v>338</v>
      </c>
    </row>
    <row r="302">
      <c r="A302" s="65" t="s">
        <v>1460</v>
      </c>
      <c r="B302" s="65" t="s">
        <v>319</v>
      </c>
      <c r="C302" s="65" t="s">
        <v>321</v>
      </c>
      <c r="D302" s="65">
        <v>2025.0</v>
      </c>
      <c r="E302" s="65">
        <v>8.60369054197783E14</v>
      </c>
      <c r="F302" s="65" t="s">
        <v>326</v>
      </c>
      <c r="G302" s="192" t="s">
        <v>328</v>
      </c>
      <c r="H302" s="69">
        <v>45972.0</v>
      </c>
      <c r="I302" s="65" t="s">
        <v>337</v>
      </c>
      <c r="J302" s="71"/>
      <c r="K302" s="73"/>
      <c r="L302" s="73"/>
      <c r="M302" s="73" t="s">
        <v>338</v>
      </c>
    </row>
    <row r="303">
      <c r="A303" s="65" t="s">
        <v>1463</v>
      </c>
      <c r="B303" s="65" t="s">
        <v>319</v>
      </c>
      <c r="C303" s="65" t="s">
        <v>321</v>
      </c>
      <c r="D303" s="65">
        <v>2026.0</v>
      </c>
      <c r="E303" s="65">
        <v>8.60369054188311E14</v>
      </c>
      <c r="F303" s="65" t="s">
        <v>326</v>
      </c>
      <c r="G303" s="192" t="s">
        <v>328</v>
      </c>
      <c r="H303" s="69">
        <v>45972.0</v>
      </c>
      <c r="I303" s="65" t="s">
        <v>337</v>
      </c>
      <c r="J303" s="71"/>
      <c r="K303" s="73"/>
      <c r="L303" s="73"/>
      <c r="M303" s="73" t="s">
        <v>338</v>
      </c>
    </row>
    <row r="304">
      <c r="A304" s="65" t="s">
        <v>1465</v>
      </c>
      <c r="B304" s="65" t="s">
        <v>319</v>
      </c>
      <c r="C304" s="65" t="s">
        <v>321</v>
      </c>
      <c r="D304" s="65">
        <v>2025.0</v>
      </c>
      <c r="E304" s="65">
        <v>8.6036905476044E14</v>
      </c>
      <c r="F304" s="65" t="s">
        <v>326</v>
      </c>
      <c r="G304" s="192" t="s">
        <v>328</v>
      </c>
      <c r="H304" s="69">
        <v>45973.0</v>
      </c>
      <c r="I304" s="65" t="s">
        <v>337</v>
      </c>
      <c r="J304" s="71"/>
      <c r="K304" s="73"/>
      <c r="L304" s="73"/>
      <c r="M304" s="73" t="s">
        <v>338</v>
      </c>
    </row>
    <row r="305">
      <c r="A305" s="65" t="s">
        <v>1469</v>
      </c>
      <c r="B305" s="65" t="s">
        <v>319</v>
      </c>
      <c r="C305" s="65" t="s">
        <v>321</v>
      </c>
      <c r="D305" s="65">
        <v>2025.0</v>
      </c>
      <c r="E305" s="65">
        <v>8.60369054408974E14</v>
      </c>
      <c r="F305" s="65" t="s">
        <v>326</v>
      </c>
      <c r="G305" s="192" t="s">
        <v>328</v>
      </c>
      <c r="H305" s="69">
        <v>45973.0</v>
      </c>
      <c r="I305" s="65" t="s">
        <v>337</v>
      </c>
      <c r="J305" s="71"/>
      <c r="K305" s="73"/>
      <c r="L305" s="73"/>
      <c r="M305" s="73" t="s">
        <v>338</v>
      </c>
    </row>
    <row r="306">
      <c r="A306" s="65" t="s">
        <v>1471</v>
      </c>
      <c r="B306" s="65" t="s">
        <v>319</v>
      </c>
      <c r="C306" s="65" t="s">
        <v>321</v>
      </c>
      <c r="D306" s="65">
        <v>2025.0</v>
      </c>
      <c r="E306" s="65">
        <v>8.60369054775604E14</v>
      </c>
      <c r="F306" s="65" t="s">
        <v>326</v>
      </c>
      <c r="G306" s="192" t="s">
        <v>328</v>
      </c>
      <c r="H306" s="69">
        <v>45973.0</v>
      </c>
      <c r="I306" s="65" t="s">
        <v>337</v>
      </c>
      <c r="J306" s="71"/>
      <c r="K306" s="73"/>
      <c r="L306" s="73"/>
      <c r="M306" s="73" t="s">
        <v>338</v>
      </c>
    </row>
    <row r="307">
      <c r="A307" s="65" t="s">
        <v>1474</v>
      </c>
      <c r="B307" s="65" t="s">
        <v>319</v>
      </c>
      <c r="C307" s="65" t="s">
        <v>321</v>
      </c>
      <c r="D307" s="65">
        <v>2025.0</v>
      </c>
      <c r="E307" s="65">
        <v>8.60369054193493E14</v>
      </c>
      <c r="F307" s="65" t="s">
        <v>326</v>
      </c>
      <c r="G307" s="192" t="s">
        <v>328</v>
      </c>
      <c r="H307" s="69">
        <v>45973.0</v>
      </c>
      <c r="I307" s="65" t="s">
        <v>337</v>
      </c>
      <c r="J307" s="71"/>
      <c r="K307" s="73"/>
      <c r="L307" s="73"/>
      <c r="M307" s="73" t="s">
        <v>338</v>
      </c>
    </row>
    <row r="308">
      <c r="A308" s="65" t="s">
        <v>1477</v>
      </c>
      <c r="B308" s="65" t="s">
        <v>319</v>
      </c>
      <c r="C308" s="65" t="s">
        <v>321</v>
      </c>
      <c r="D308" s="65">
        <v>2026.0</v>
      </c>
      <c r="E308" s="65">
        <v>8.60369054413842E14</v>
      </c>
      <c r="F308" s="65" t="s">
        <v>326</v>
      </c>
      <c r="G308" s="192" t="s">
        <v>328</v>
      </c>
      <c r="H308" s="69">
        <v>45973.0</v>
      </c>
      <c r="I308" s="65" t="s">
        <v>337</v>
      </c>
      <c r="J308" s="71"/>
      <c r="K308" s="73"/>
      <c r="L308" s="73"/>
      <c r="M308" s="73" t="s">
        <v>338</v>
      </c>
    </row>
    <row r="309">
      <c r="A309" s="65" t="s">
        <v>1479</v>
      </c>
      <c r="B309" s="65" t="s">
        <v>319</v>
      </c>
      <c r="C309" s="65" t="s">
        <v>321</v>
      </c>
      <c r="D309" s="65">
        <v>2025.0</v>
      </c>
      <c r="E309" s="65">
        <v>8.60369054188436E14</v>
      </c>
      <c r="F309" s="65" t="s">
        <v>326</v>
      </c>
      <c r="G309" s="192" t="s">
        <v>328</v>
      </c>
      <c r="H309" s="69">
        <v>45973.0</v>
      </c>
      <c r="I309" s="65" t="s">
        <v>337</v>
      </c>
      <c r="J309" s="71"/>
      <c r="K309" s="73"/>
      <c r="L309" s="73"/>
      <c r="M309" s="73" t="s">
        <v>338</v>
      </c>
    </row>
    <row r="310">
      <c r="A310" s="65" t="s">
        <v>1481</v>
      </c>
      <c r="B310" s="65" t="s">
        <v>319</v>
      </c>
      <c r="C310" s="65" t="s">
        <v>321</v>
      </c>
      <c r="D310" s="65">
        <v>2025.0</v>
      </c>
      <c r="E310" s="65">
        <v>8.60369054743867E14</v>
      </c>
      <c r="F310" s="65" t="s">
        <v>326</v>
      </c>
      <c r="G310" s="192" t="s">
        <v>328</v>
      </c>
      <c r="H310" s="69">
        <v>45973.0</v>
      </c>
      <c r="I310" s="65" t="s">
        <v>337</v>
      </c>
      <c r="J310" s="71"/>
      <c r="K310" s="73"/>
      <c r="L310" s="73"/>
      <c r="M310" s="73" t="s">
        <v>338</v>
      </c>
    </row>
    <row r="311">
      <c r="A311" s="75" t="s">
        <v>1482</v>
      </c>
      <c r="B311" s="75" t="s">
        <v>389</v>
      </c>
      <c r="C311" s="75" t="s">
        <v>1483</v>
      </c>
      <c r="D311" s="75">
        <v>2023.0</v>
      </c>
      <c r="E311" s="75">
        <v>8.60369052142997E14</v>
      </c>
      <c r="F311" s="76" t="s">
        <v>398</v>
      </c>
      <c r="G311" s="210" t="s">
        <v>328</v>
      </c>
      <c r="H311" s="69">
        <v>45658.0</v>
      </c>
      <c r="I311" s="78" t="s">
        <v>337</v>
      </c>
      <c r="J311" s="78"/>
      <c r="K311" s="79"/>
      <c r="L311" s="80"/>
      <c r="M311" s="81"/>
      <c r="N311" s="83" t="s">
        <v>380</v>
      </c>
    </row>
    <row r="312">
      <c r="A312" s="195" t="s">
        <v>1487</v>
      </c>
      <c r="B312" s="195" t="s">
        <v>319</v>
      </c>
      <c r="C312" s="211" t="s">
        <v>723</v>
      </c>
      <c r="D312" s="78">
        <v>2026.0</v>
      </c>
      <c r="E312" s="78">
        <v>8.60369054188352E14</v>
      </c>
      <c r="F312" s="65" t="s">
        <v>326</v>
      </c>
      <c r="G312" s="210" t="s">
        <v>230</v>
      </c>
      <c r="H312" s="69">
        <v>46183.0</v>
      </c>
      <c r="I312" s="65" t="s">
        <v>337</v>
      </c>
      <c r="J312" s="71"/>
      <c r="K312" s="65" t="s">
        <v>1489</v>
      </c>
      <c r="L312" s="73"/>
      <c r="M312" s="73" t="s">
        <v>338</v>
      </c>
    </row>
    <row r="313">
      <c r="A313" s="65" t="s">
        <v>1491</v>
      </c>
      <c r="B313" s="65" t="s">
        <v>389</v>
      </c>
      <c r="C313" s="71"/>
      <c r="D313" s="71"/>
      <c r="E313" s="65">
        <v>8.60369054182983E14</v>
      </c>
      <c r="F313" s="65" t="s">
        <v>326</v>
      </c>
      <c r="G313" s="192" t="s">
        <v>498</v>
      </c>
      <c r="H313" s="69">
        <v>45973.0</v>
      </c>
      <c r="I313" s="195" t="s">
        <v>1240</v>
      </c>
      <c r="J313" s="71"/>
      <c r="K313" s="65" t="s">
        <v>1489</v>
      </c>
      <c r="L313" s="73"/>
      <c r="M313" s="73" t="s">
        <v>338</v>
      </c>
    </row>
    <row r="314">
      <c r="A314" s="78" t="s">
        <v>1494</v>
      </c>
      <c r="B314" s="75" t="s">
        <v>319</v>
      </c>
      <c r="C314" s="75" t="s">
        <v>376</v>
      </c>
      <c r="D314" s="78">
        <v>2019.0</v>
      </c>
      <c r="E314" s="78">
        <v>8.60369052696489E14</v>
      </c>
      <c r="F314" s="76" t="s">
        <v>326</v>
      </c>
      <c r="G314" s="192" t="s">
        <v>471</v>
      </c>
      <c r="H314" s="69">
        <v>45976.0</v>
      </c>
      <c r="I314" s="78" t="s">
        <v>337</v>
      </c>
      <c r="J314" s="78"/>
      <c r="K314" s="81"/>
      <c r="L314" s="80"/>
      <c r="M314" s="81"/>
    </row>
    <row r="315">
      <c r="A315" s="65" t="s">
        <v>1496</v>
      </c>
      <c r="B315" s="65" t="s">
        <v>319</v>
      </c>
      <c r="C315" s="65" t="s">
        <v>321</v>
      </c>
      <c r="D315" s="65">
        <v>2022.0</v>
      </c>
      <c r="E315" s="65">
        <v>8.60369054198062E14</v>
      </c>
      <c r="F315" s="65" t="s">
        <v>326</v>
      </c>
      <c r="G315" s="192" t="s">
        <v>328</v>
      </c>
      <c r="H315" s="69">
        <v>45978.0</v>
      </c>
      <c r="I315" s="65" t="s">
        <v>337</v>
      </c>
      <c r="J315" s="71"/>
      <c r="K315" s="73"/>
      <c r="L315" s="73"/>
      <c r="M315" s="73" t="s">
        <v>338</v>
      </c>
    </row>
    <row r="316">
      <c r="A316" s="65" t="s">
        <v>1498</v>
      </c>
      <c r="B316" s="65" t="s">
        <v>319</v>
      </c>
      <c r="C316" s="65" t="s">
        <v>1501</v>
      </c>
      <c r="D316" s="65">
        <v>2025.0</v>
      </c>
      <c r="E316" s="65">
        <v>8.60369054731367E14</v>
      </c>
      <c r="F316" s="65" t="s">
        <v>326</v>
      </c>
      <c r="G316" s="192" t="s">
        <v>328</v>
      </c>
      <c r="H316" s="69">
        <v>45979.0</v>
      </c>
      <c r="I316" s="65" t="s">
        <v>337</v>
      </c>
      <c r="J316" s="71"/>
      <c r="K316" s="73"/>
      <c r="L316" s="73"/>
      <c r="M316" s="73" t="s">
        <v>338</v>
      </c>
    </row>
    <row r="317">
      <c r="A317" s="65" t="s">
        <v>1503</v>
      </c>
      <c r="B317" s="65" t="s">
        <v>319</v>
      </c>
      <c r="C317" s="65" t="s">
        <v>376</v>
      </c>
      <c r="D317" s="65">
        <v>2024.0</v>
      </c>
      <c r="E317" s="65">
        <v>8.60369054198351E14</v>
      </c>
      <c r="F317" s="65" t="s">
        <v>326</v>
      </c>
      <c r="G317" s="192" t="s">
        <v>387</v>
      </c>
      <c r="H317" s="69">
        <v>45979.0</v>
      </c>
      <c r="I317" s="65" t="s">
        <v>337</v>
      </c>
      <c r="J317" s="71"/>
      <c r="K317" s="73"/>
      <c r="L317" s="73"/>
      <c r="M317" s="73" t="s">
        <v>338</v>
      </c>
    </row>
    <row r="318">
      <c r="A318" s="65" t="s">
        <v>1505</v>
      </c>
      <c r="B318" s="65" t="s">
        <v>319</v>
      </c>
      <c r="C318" s="65" t="s">
        <v>376</v>
      </c>
      <c r="D318" s="65">
        <v>2024.0</v>
      </c>
      <c r="E318" s="65">
        <v>8.60369054199599E14</v>
      </c>
      <c r="F318" s="65" t="s">
        <v>326</v>
      </c>
      <c r="G318" s="192" t="s">
        <v>387</v>
      </c>
      <c r="H318" s="69">
        <v>45979.0</v>
      </c>
      <c r="I318" s="65" t="s">
        <v>337</v>
      </c>
      <c r="J318" s="71"/>
      <c r="K318" s="73"/>
      <c r="L318" s="73"/>
      <c r="M318" s="73" t="s">
        <v>338</v>
      </c>
    </row>
    <row r="319">
      <c r="A319" s="193" t="s">
        <v>1508</v>
      </c>
      <c r="B319" s="65" t="s">
        <v>319</v>
      </c>
      <c r="C319" s="65" t="s">
        <v>376</v>
      </c>
      <c r="D319" s="65">
        <v>2024.0</v>
      </c>
      <c r="E319" s="65">
        <v>8.60369054416209E14</v>
      </c>
      <c r="F319" s="65" t="s">
        <v>326</v>
      </c>
      <c r="G319" s="192" t="s">
        <v>387</v>
      </c>
      <c r="H319" s="69">
        <v>45979.0</v>
      </c>
      <c r="I319" s="65" t="s">
        <v>337</v>
      </c>
      <c r="J319" s="71"/>
      <c r="K319" s="73"/>
      <c r="L319" s="73"/>
      <c r="M319" s="73" t="s">
        <v>338</v>
      </c>
    </row>
    <row r="320">
      <c r="A320" s="65" t="s">
        <v>1511</v>
      </c>
      <c r="B320" s="65" t="s">
        <v>319</v>
      </c>
      <c r="C320" s="65" t="s">
        <v>376</v>
      </c>
      <c r="D320" s="65">
        <v>2024.0</v>
      </c>
      <c r="E320" s="65">
        <v>8.6036905440658E14</v>
      </c>
      <c r="F320" s="65" t="s">
        <v>326</v>
      </c>
      <c r="G320" s="192" t="s">
        <v>387</v>
      </c>
      <c r="H320" s="69">
        <v>45979.0</v>
      </c>
      <c r="I320" s="65" t="s">
        <v>337</v>
      </c>
      <c r="J320" s="71"/>
      <c r="K320" s="73"/>
      <c r="L320" s="73"/>
      <c r="M320" s="73" t="s">
        <v>338</v>
      </c>
    </row>
    <row r="321">
      <c r="A321" s="65" t="s">
        <v>1513</v>
      </c>
      <c r="B321" s="65" t="s">
        <v>389</v>
      </c>
      <c r="C321" s="195" t="s">
        <v>1371</v>
      </c>
      <c r="D321" s="65">
        <v>2024.0</v>
      </c>
      <c r="E321" s="65">
        <v>8.6036905416936E14</v>
      </c>
      <c r="F321" s="65" t="s">
        <v>326</v>
      </c>
      <c r="G321" s="192" t="s">
        <v>425</v>
      </c>
      <c r="H321" s="69">
        <v>45979.0</v>
      </c>
      <c r="I321" s="65" t="s">
        <v>337</v>
      </c>
      <c r="J321" s="71"/>
      <c r="K321" s="73"/>
      <c r="L321" s="73"/>
      <c r="M321" s="73" t="s">
        <v>338</v>
      </c>
    </row>
    <row r="322">
      <c r="A322" s="65" t="s">
        <v>1515</v>
      </c>
      <c r="B322" s="65" t="s">
        <v>374</v>
      </c>
      <c r="C322" s="65" t="s">
        <v>469</v>
      </c>
      <c r="D322" s="65">
        <v>2022.0</v>
      </c>
      <c r="E322" s="65">
        <v>8.60369054159361E14</v>
      </c>
      <c r="F322" s="65" t="s">
        <v>326</v>
      </c>
      <c r="G322" s="192" t="s">
        <v>425</v>
      </c>
      <c r="H322" s="69">
        <v>45979.0</v>
      </c>
      <c r="I322" s="65" t="s">
        <v>337</v>
      </c>
      <c r="J322" s="71"/>
      <c r="K322" s="73"/>
      <c r="L322" s="73"/>
      <c r="M322" s="73" t="s">
        <v>338</v>
      </c>
    </row>
    <row r="323">
      <c r="A323" s="65" t="s">
        <v>1521</v>
      </c>
      <c r="B323" s="65" t="s">
        <v>319</v>
      </c>
      <c r="C323" s="65" t="s">
        <v>376</v>
      </c>
      <c r="D323" s="65">
        <v>2024.0</v>
      </c>
      <c r="E323" s="65">
        <v>8.60369054170558E14</v>
      </c>
      <c r="F323" s="65" t="s">
        <v>326</v>
      </c>
      <c r="G323" s="192" t="s">
        <v>425</v>
      </c>
      <c r="H323" s="69">
        <v>45979.0</v>
      </c>
      <c r="I323" s="65" t="s">
        <v>337</v>
      </c>
      <c r="J323" s="71"/>
      <c r="K323" s="73"/>
      <c r="L323" s="73"/>
      <c r="M323" s="73" t="s">
        <v>338</v>
      </c>
    </row>
    <row r="324">
      <c r="A324" s="195" t="s">
        <v>1524</v>
      </c>
      <c r="B324" s="65" t="s">
        <v>884</v>
      </c>
      <c r="C324" s="65" t="s">
        <v>1525</v>
      </c>
      <c r="D324" s="65">
        <v>2021.0</v>
      </c>
      <c r="E324" s="65">
        <v>8.60369054185291E14</v>
      </c>
      <c r="F324" s="65" t="s">
        <v>326</v>
      </c>
      <c r="G324" s="192" t="s">
        <v>425</v>
      </c>
      <c r="H324" s="69">
        <v>45980.0</v>
      </c>
      <c r="I324" s="65" t="s">
        <v>337</v>
      </c>
      <c r="J324" s="71"/>
      <c r="K324" s="73"/>
      <c r="L324" s="73"/>
      <c r="M324" s="73" t="s">
        <v>338</v>
      </c>
    </row>
    <row r="325">
      <c r="A325" s="65" t="s">
        <v>1528</v>
      </c>
      <c r="B325" s="65" t="s">
        <v>319</v>
      </c>
      <c r="C325" s="65" t="s">
        <v>321</v>
      </c>
      <c r="D325" s="65">
        <v>2024.0</v>
      </c>
      <c r="E325" s="65">
        <v>8.60369054406887E14</v>
      </c>
      <c r="F325" s="65" t="s">
        <v>326</v>
      </c>
      <c r="G325" s="192" t="s">
        <v>471</v>
      </c>
      <c r="H325" s="69">
        <v>45981.0</v>
      </c>
      <c r="I325" s="65" t="s">
        <v>337</v>
      </c>
      <c r="J325" s="71"/>
      <c r="K325" s="73"/>
      <c r="L325" s="73"/>
      <c r="M325" s="73" t="s">
        <v>338</v>
      </c>
    </row>
    <row r="326">
      <c r="A326" s="78" t="s">
        <v>1531</v>
      </c>
      <c r="B326" s="75" t="s">
        <v>319</v>
      </c>
      <c r="C326" s="75" t="s">
        <v>321</v>
      </c>
      <c r="D326" s="78">
        <v>2021.0</v>
      </c>
      <c r="E326" s="78">
        <v>8.60369052446661E14</v>
      </c>
      <c r="F326" s="76" t="s">
        <v>326</v>
      </c>
      <c r="G326" s="192" t="s">
        <v>471</v>
      </c>
      <c r="H326" s="69">
        <v>45982.0</v>
      </c>
      <c r="I326" s="78" t="s">
        <v>337</v>
      </c>
      <c r="J326" s="78"/>
      <c r="K326" s="81"/>
      <c r="L326" s="80"/>
      <c r="M326" s="81"/>
    </row>
    <row r="327">
      <c r="A327" s="65" t="s">
        <v>1533</v>
      </c>
      <c r="B327" s="65" t="s">
        <v>319</v>
      </c>
      <c r="C327" s="65" t="s">
        <v>321</v>
      </c>
      <c r="D327" s="65">
        <v>2026.0</v>
      </c>
      <c r="E327" s="65">
        <v>8.60369054188022E14</v>
      </c>
      <c r="F327" s="65" t="s">
        <v>326</v>
      </c>
      <c r="G327" s="192" t="s">
        <v>328</v>
      </c>
      <c r="H327" s="69">
        <v>45985.0</v>
      </c>
      <c r="I327" s="65" t="s">
        <v>337</v>
      </c>
      <c r="J327" s="71"/>
      <c r="K327" s="73"/>
      <c r="L327" s="73"/>
      <c r="M327" s="73" t="s">
        <v>338</v>
      </c>
    </row>
    <row r="328">
      <c r="A328" s="65" t="s">
        <v>1534</v>
      </c>
      <c r="B328" s="65" t="s">
        <v>319</v>
      </c>
      <c r="C328" s="65" t="s">
        <v>321</v>
      </c>
      <c r="D328" s="65">
        <v>2025.0</v>
      </c>
      <c r="E328" s="65">
        <v>8.60369054189848E14</v>
      </c>
      <c r="F328" s="65" t="s">
        <v>326</v>
      </c>
      <c r="G328" s="192" t="s">
        <v>471</v>
      </c>
      <c r="H328" s="69">
        <v>45985.0</v>
      </c>
      <c r="I328" s="65" t="s">
        <v>337</v>
      </c>
      <c r="J328" s="71"/>
      <c r="K328" s="73"/>
      <c r="L328" s="73"/>
      <c r="M328" s="73" t="s">
        <v>338</v>
      </c>
    </row>
    <row r="329">
      <c r="A329" s="65" t="s">
        <v>1535</v>
      </c>
      <c r="B329" s="65" t="s">
        <v>389</v>
      </c>
      <c r="C329" s="65" t="s">
        <v>1371</v>
      </c>
      <c r="D329" s="65">
        <v>2024.0</v>
      </c>
      <c r="E329" s="65">
        <v>8.60369054199086E14</v>
      </c>
      <c r="F329" s="65" t="s">
        <v>326</v>
      </c>
      <c r="G329" s="192" t="s">
        <v>387</v>
      </c>
      <c r="H329" s="69">
        <v>45986.0</v>
      </c>
      <c r="I329" s="65" t="s">
        <v>337</v>
      </c>
      <c r="J329" s="71"/>
      <c r="K329" s="73"/>
      <c r="L329" s="73"/>
      <c r="M329" s="73" t="s">
        <v>338</v>
      </c>
    </row>
    <row r="330">
      <c r="A330" s="65" t="s">
        <v>1539</v>
      </c>
      <c r="B330" s="65" t="s">
        <v>319</v>
      </c>
      <c r="C330" s="65" t="s">
        <v>376</v>
      </c>
      <c r="D330" s="65">
        <v>2025.0</v>
      </c>
      <c r="E330" s="65">
        <v>8.60369054743826E14</v>
      </c>
      <c r="F330" s="65" t="s">
        <v>326</v>
      </c>
      <c r="G330" s="192" t="s">
        <v>387</v>
      </c>
      <c r="H330" s="69">
        <v>45986.0</v>
      </c>
      <c r="I330" s="65" t="s">
        <v>337</v>
      </c>
      <c r="J330" s="71"/>
      <c r="K330" s="73"/>
      <c r="L330" s="73"/>
      <c r="M330" s="73" t="s">
        <v>338</v>
      </c>
    </row>
    <row r="331">
      <c r="A331" s="65" t="s">
        <v>1542</v>
      </c>
      <c r="B331" s="65" t="s">
        <v>374</v>
      </c>
      <c r="C331" s="65" t="s">
        <v>469</v>
      </c>
      <c r="D331" s="65">
        <v>2020.0</v>
      </c>
      <c r="E331" s="65">
        <v>8.60369054415193E14</v>
      </c>
      <c r="F331" s="65" t="s">
        <v>326</v>
      </c>
      <c r="G331" s="192" t="s">
        <v>387</v>
      </c>
      <c r="H331" s="69">
        <v>45986.0</v>
      </c>
      <c r="I331" s="65" t="s">
        <v>337</v>
      </c>
      <c r="J331" s="71"/>
      <c r="K331" s="73"/>
      <c r="L331" s="73"/>
      <c r="M331" s="73" t="s">
        <v>338</v>
      </c>
    </row>
    <row r="332">
      <c r="A332" s="65" t="s">
        <v>1544</v>
      </c>
      <c r="B332" s="65" t="s">
        <v>319</v>
      </c>
      <c r="C332" s="65" t="s">
        <v>376</v>
      </c>
      <c r="D332" s="65">
        <v>2024.0</v>
      </c>
      <c r="E332" s="65">
        <v>8.6036905474078E14</v>
      </c>
      <c r="F332" s="65" t="s">
        <v>326</v>
      </c>
      <c r="G332" s="192" t="s">
        <v>387</v>
      </c>
      <c r="H332" s="69">
        <v>45986.0</v>
      </c>
      <c r="I332" s="65" t="s">
        <v>337</v>
      </c>
      <c r="J332" s="71"/>
      <c r="K332" s="73"/>
      <c r="L332" s="73"/>
      <c r="M332" s="73" t="s">
        <v>338</v>
      </c>
    </row>
    <row r="333">
      <c r="A333" s="65" t="s">
        <v>1547</v>
      </c>
      <c r="B333" s="65" t="s">
        <v>374</v>
      </c>
      <c r="C333" s="65" t="s">
        <v>469</v>
      </c>
      <c r="D333" s="65">
        <v>2020.0</v>
      </c>
      <c r="E333" s="65">
        <v>8.60369054413693E14</v>
      </c>
      <c r="F333" s="65" t="s">
        <v>326</v>
      </c>
      <c r="G333" s="192" t="s">
        <v>387</v>
      </c>
      <c r="H333" s="69">
        <v>45986.0</v>
      </c>
      <c r="I333" s="65" t="s">
        <v>337</v>
      </c>
      <c r="J333" s="71"/>
      <c r="K333" s="73"/>
      <c r="L333" s="73"/>
      <c r="M333" s="73" t="s">
        <v>338</v>
      </c>
    </row>
    <row r="334">
      <c r="A334" s="65" t="s">
        <v>1551</v>
      </c>
      <c r="B334" s="65" t="s">
        <v>374</v>
      </c>
      <c r="C334" s="65" t="s">
        <v>469</v>
      </c>
      <c r="D334" s="65">
        <v>2021.0</v>
      </c>
      <c r="E334" s="65">
        <v>8.60369054406523E14</v>
      </c>
      <c r="F334" s="65" t="s">
        <v>326</v>
      </c>
      <c r="G334" s="192" t="s">
        <v>387</v>
      </c>
      <c r="H334" s="69">
        <v>45986.0</v>
      </c>
      <c r="I334" s="65" t="s">
        <v>337</v>
      </c>
      <c r="J334" s="71"/>
      <c r="K334" s="73"/>
      <c r="L334" s="73"/>
      <c r="M334" s="73" t="s">
        <v>338</v>
      </c>
    </row>
    <row r="335">
      <c r="A335" s="65" t="s">
        <v>1554</v>
      </c>
      <c r="B335" s="65" t="s">
        <v>374</v>
      </c>
      <c r="C335" s="65" t="s">
        <v>469</v>
      </c>
      <c r="D335" s="65">
        <v>2020.0</v>
      </c>
      <c r="E335" s="65">
        <v>8.60369054739865E14</v>
      </c>
      <c r="F335" s="65" t="s">
        <v>326</v>
      </c>
      <c r="G335" s="192" t="s">
        <v>387</v>
      </c>
      <c r="H335" s="69">
        <v>45986.0</v>
      </c>
      <c r="I335" s="65" t="s">
        <v>337</v>
      </c>
      <c r="J335" s="71"/>
      <c r="K335" s="73"/>
      <c r="L335" s="73"/>
      <c r="M335" s="73" t="s">
        <v>338</v>
      </c>
    </row>
    <row r="336">
      <c r="A336" s="65" t="s">
        <v>1556</v>
      </c>
      <c r="B336" s="65" t="s">
        <v>374</v>
      </c>
      <c r="C336" s="65" t="s">
        <v>469</v>
      </c>
      <c r="D336" s="65">
        <v>2020.0</v>
      </c>
      <c r="E336" s="65">
        <v>8.6036905419256E14</v>
      </c>
      <c r="F336" s="65" t="s">
        <v>326</v>
      </c>
      <c r="G336" s="192" t="s">
        <v>387</v>
      </c>
      <c r="H336" s="69">
        <v>45986.0</v>
      </c>
      <c r="I336" s="65" t="s">
        <v>337</v>
      </c>
      <c r="J336" s="71"/>
      <c r="K336" s="73"/>
      <c r="L336" s="73"/>
      <c r="M336" s="73" t="s">
        <v>338</v>
      </c>
    </row>
    <row r="337">
      <c r="A337" s="65" t="s">
        <v>1559</v>
      </c>
      <c r="B337" s="65" t="s">
        <v>319</v>
      </c>
      <c r="C337" s="65" t="s">
        <v>376</v>
      </c>
      <c r="D337" s="65">
        <v>2025.0</v>
      </c>
      <c r="E337" s="65">
        <v>8.60369054181423E14</v>
      </c>
      <c r="F337" s="65" t="s">
        <v>326</v>
      </c>
      <c r="G337" s="192" t="s">
        <v>387</v>
      </c>
      <c r="H337" s="69">
        <v>45986.0</v>
      </c>
      <c r="I337" s="65" t="s">
        <v>337</v>
      </c>
      <c r="J337" s="71"/>
      <c r="K337" s="73"/>
      <c r="L337" s="73"/>
      <c r="M337" s="73" t="s">
        <v>338</v>
      </c>
    </row>
    <row r="338">
      <c r="A338" s="65" t="s">
        <v>1561</v>
      </c>
      <c r="B338" s="65" t="s">
        <v>374</v>
      </c>
      <c r="C338" s="65" t="s">
        <v>469</v>
      </c>
      <c r="D338" s="65">
        <v>2021.0</v>
      </c>
      <c r="E338" s="65">
        <v>8.60369054199045E14</v>
      </c>
      <c r="F338" s="65" t="s">
        <v>326</v>
      </c>
      <c r="G338" s="192" t="s">
        <v>387</v>
      </c>
      <c r="H338" s="69">
        <v>45986.0</v>
      </c>
      <c r="I338" s="65" t="s">
        <v>337</v>
      </c>
      <c r="J338" s="71"/>
      <c r="K338" s="73"/>
      <c r="L338" s="73"/>
      <c r="M338" s="73" t="s">
        <v>338</v>
      </c>
    </row>
    <row r="339">
      <c r="A339" s="65" t="s">
        <v>1562</v>
      </c>
      <c r="B339" s="65" t="s">
        <v>319</v>
      </c>
      <c r="C339" s="65" t="s">
        <v>376</v>
      </c>
      <c r="D339" s="65">
        <v>2022.0</v>
      </c>
      <c r="E339" s="65">
        <v>8.60369054407042E14</v>
      </c>
      <c r="F339" s="65" t="s">
        <v>326</v>
      </c>
      <c r="G339" s="192" t="s">
        <v>387</v>
      </c>
      <c r="H339" s="69">
        <v>45986.0</v>
      </c>
      <c r="I339" s="65" t="s">
        <v>337</v>
      </c>
      <c r="J339" s="71"/>
      <c r="K339" s="73"/>
      <c r="L339" s="73"/>
      <c r="M339" s="73" t="s">
        <v>338</v>
      </c>
    </row>
    <row r="340">
      <c r="A340" s="65" t="s">
        <v>1564</v>
      </c>
      <c r="B340" s="65" t="s">
        <v>319</v>
      </c>
      <c r="C340" s="65" t="s">
        <v>321</v>
      </c>
      <c r="D340" s="65">
        <v>2025.0</v>
      </c>
      <c r="E340" s="65">
        <v>8.60369054123037E14</v>
      </c>
      <c r="F340" s="65" t="s">
        <v>326</v>
      </c>
      <c r="G340" s="192" t="s">
        <v>328</v>
      </c>
      <c r="H340" s="69">
        <v>45987.0</v>
      </c>
      <c r="I340" s="65" t="s">
        <v>337</v>
      </c>
      <c r="J340" s="71"/>
      <c r="K340" s="73"/>
      <c r="L340" s="73"/>
      <c r="M340" s="73" t="s">
        <v>338</v>
      </c>
    </row>
    <row r="341">
      <c r="A341" s="78" t="s">
        <v>1567</v>
      </c>
      <c r="B341" s="75" t="s">
        <v>319</v>
      </c>
      <c r="C341" s="75" t="s">
        <v>321</v>
      </c>
      <c r="D341" s="78">
        <v>2021.0</v>
      </c>
      <c r="E341" s="78">
        <v>8.60369052123575E14</v>
      </c>
      <c r="F341" s="76" t="s">
        <v>398</v>
      </c>
      <c r="G341" s="68" t="s">
        <v>378</v>
      </c>
      <c r="H341" s="69">
        <v>45992.0</v>
      </c>
      <c r="I341" s="78" t="s">
        <v>337</v>
      </c>
      <c r="J341" s="78"/>
      <c r="K341" s="81"/>
      <c r="L341" s="80"/>
      <c r="M341" s="81"/>
    </row>
    <row r="342">
      <c r="A342" s="65" t="s">
        <v>1570</v>
      </c>
      <c r="B342" s="65" t="s">
        <v>319</v>
      </c>
      <c r="C342" s="65" t="s">
        <v>321</v>
      </c>
      <c r="D342" s="65">
        <v>2025.0</v>
      </c>
      <c r="E342" s="65">
        <v>8.6036905416154E14</v>
      </c>
      <c r="F342" s="65" t="s">
        <v>326</v>
      </c>
      <c r="G342" s="192" t="s">
        <v>328</v>
      </c>
      <c r="H342" s="69">
        <v>45995.0</v>
      </c>
      <c r="I342" s="65" t="s">
        <v>337</v>
      </c>
      <c r="J342" s="71"/>
      <c r="K342" s="73"/>
      <c r="L342" s="73"/>
      <c r="M342" s="73" t="s">
        <v>338</v>
      </c>
    </row>
    <row r="343">
      <c r="A343" s="65" t="s">
        <v>1573</v>
      </c>
      <c r="B343" s="65" t="s">
        <v>374</v>
      </c>
      <c r="C343" s="65" t="s">
        <v>469</v>
      </c>
      <c r="D343" s="65">
        <v>2022.0</v>
      </c>
      <c r="E343" s="65">
        <v>8.60369054416464E14</v>
      </c>
      <c r="F343" s="65" t="s">
        <v>326</v>
      </c>
      <c r="G343" s="192" t="s">
        <v>378</v>
      </c>
      <c r="H343" s="69">
        <v>45995.0</v>
      </c>
      <c r="I343" s="65" t="s">
        <v>337</v>
      </c>
      <c r="J343" s="71"/>
      <c r="K343" s="73"/>
      <c r="L343" s="73"/>
      <c r="M343" s="73" t="s">
        <v>338</v>
      </c>
    </row>
    <row r="344">
      <c r="A344" s="65" t="s">
        <v>1575</v>
      </c>
      <c r="B344" s="65" t="s">
        <v>319</v>
      </c>
      <c r="C344" s="65" t="s">
        <v>376</v>
      </c>
      <c r="D344" s="65">
        <v>2025.0</v>
      </c>
      <c r="E344" s="65">
        <v>8.60369054177785E14</v>
      </c>
      <c r="F344" s="65" t="s">
        <v>326</v>
      </c>
      <c r="G344" s="192" t="s">
        <v>328</v>
      </c>
      <c r="H344" s="69">
        <v>45996.0</v>
      </c>
      <c r="I344" s="65" t="s">
        <v>337</v>
      </c>
      <c r="J344" s="71"/>
      <c r="K344" s="73"/>
      <c r="L344" s="73"/>
      <c r="M344" s="73" t="s">
        <v>338</v>
      </c>
    </row>
    <row r="345">
      <c r="A345" s="78" t="s">
        <v>1577</v>
      </c>
      <c r="B345" s="75" t="s">
        <v>319</v>
      </c>
      <c r="C345" s="75" t="s">
        <v>321</v>
      </c>
      <c r="D345" s="78">
        <v>2021.0</v>
      </c>
      <c r="E345" s="78">
        <v>8.60369052433784E14</v>
      </c>
      <c r="F345" s="76" t="s">
        <v>326</v>
      </c>
      <c r="G345" s="68" t="s">
        <v>328</v>
      </c>
      <c r="H345" s="69">
        <v>45997.0</v>
      </c>
      <c r="I345" s="78" t="s">
        <v>337</v>
      </c>
      <c r="J345" s="78"/>
      <c r="K345" s="81"/>
      <c r="L345" s="80"/>
      <c r="M345" s="81"/>
    </row>
    <row r="346">
      <c r="A346" s="65" t="s">
        <v>1578</v>
      </c>
      <c r="B346" s="65" t="s">
        <v>319</v>
      </c>
      <c r="C346" s="65" t="s">
        <v>376</v>
      </c>
      <c r="D346" s="65">
        <v>2022.0</v>
      </c>
      <c r="E346" s="65">
        <v>8.60369054740459E14</v>
      </c>
      <c r="F346" s="65" t="s">
        <v>326</v>
      </c>
      <c r="G346" s="192" t="s">
        <v>642</v>
      </c>
      <c r="H346" s="69">
        <v>45997.0</v>
      </c>
      <c r="I346" s="65" t="s">
        <v>337</v>
      </c>
      <c r="J346" s="71"/>
      <c r="K346" s="73"/>
      <c r="L346" s="73"/>
      <c r="M346" s="73" t="s">
        <v>338</v>
      </c>
    </row>
    <row r="347">
      <c r="A347" s="65" t="s">
        <v>1580</v>
      </c>
      <c r="B347" s="65" t="s">
        <v>319</v>
      </c>
      <c r="C347" s="65" t="s">
        <v>723</v>
      </c>
      <c r="D347" s="65">
        <v>2021.0</v>
      </c>
      <c r="E347" s="65">
        <v>8.6036905473998E14</v>
      </c>
      <c r="F347" s="65" t="s">
        <v>326</v>
      </c>
      <c r="G347" s="192" t="s">
        <v>642</v>
      </c>
      <c r="H347" s="69">
        <v>45997.0</v>
      </c>
      <c r="I347" s="65" t="s">
        <v>337</v>
      </c>
      <c r="J347" s="71"/>
      <c r="K347" s="73"/>
      <c r="L347" s="73"/>
      <c r="M347" s="73" t="s">
        <v>338</v>
      </c>
    </row>
    <row r="348">
      <c r="A348" s="65" t="s">
        <v>1581</v>
      </c>
      <c r="B348" s="65" t="s">
        <v>319</v>
      </c>
      <c r="C348" s="65" t="s">
        <v>723</v>
      </c>
      <c r="D348" s="65">
        <v>2021.0</v>
      </c>
      <c r="E348" s="65">
        <v>8.60369054402191E14</v>
      </c>
      <c r="F348" s="65" t="s">
        <v>326</v>
      </c>
      <c r="G348" s="192" t="s">
        <v>642</v>
      </c>
      <c r="H348" s="69">
        <v>45997.0</v>
      </c>
      <c r="I348" s="65" t="s">
        <v>337</v>
      </c>
      <c r="J348" s="71"/>
      <c r="K348" s="73"/>
      <c r="L348" s="73"/>
      <c r="M348" s="73" t="s">
        <v>338</v>
      </c>
    </row>
    <row r="349">
      <c r="A349" s="65" t="s">
        <v>1583</v>
      </c>
      <c r="B349" s="65" t="s">
        <v>319</v>
      </c>
      <c r="C349" s="65" t="s">
        <v>723</v>
      </c>
      <c r="D349" s="65">
        <v>2025.0</v>
      </c>
      <c r="E349" s="65">
        <v>8.60369054183346E14</v>
      </c>
      <c r="F349" s="65" t="s">
        <v>326</v>
      </c>
      <c r="G349" s="192" t="s">
        <v>642</v>
      </c>
      <c r="H349" s="69">
        <v>45997.0</v>
      </c>
      <c r="I349" s="65" t="s">
        <v>337</v>
      </c>
      <c r="J349" s="71"/>
      <c r="K349" s="73"/>
      <c r="L349" s="73"/>
      <c r="M349" s="73" t="s">
        <v>338</v>
      </c>
    </row>
    <row r="350">
      <c r="A350" s="65" t="s">
        <v>1584</v>
      </c>
      <c r="B350" s="65" t="s">
        <v>319</v>
      </c>
      <c r="C350" s="65" t="s">
        <v>376</v>
      </c>
      <c r="D350" s="65">
        <v>2025.0</v>
      </c>
      <c r="E350" s="65">
        <v>8.60369054734973E14</v>
      </c>
      <c r="F350" s="65" t="s">
        <v>326</v>
      </c>
      <c r="G350" s="192" t="s">
        <v>642</v>
      </c>
      <c r="H350" s="69">
        <v>45997.0</v>
      </c>
      <c r="I350" s="65" t="s">
        <v>337</v>
      </c>
      <c r="J350" s="71"/>
      <c r="K350" s="73"/>
      <c r="L350" s="73"/>
      <c r="M350" s="73" t="s">
        <v>338</v>
      </c>
    </row>
    <row r="351">
      <c r="A351" s="65" t="s">
        <v>1585</v>
      </c>
      <c r="B351" s="65" t="s">
        <v>319</v>
      </c>
      <c r="C351" s="65" t="s">
        <v>376</v>
      </c>
      <c r="D351" s="65">
        <v>2025.0</v>
      </c>
      <c r="E351" s="65">
        <v>8.60369054401425E14</v>
      </c>
      <c r="F351" s="65" t="s">
        <v>326</v>
      </c>
      <c r="G351" s="192" t="s">
        <v>642</v>
      </c>
      <c r="H351" s="69">
        <v>45997.0</v>
      </c>
      <c r="I351" s="65" t="s">
        <v>337</v>
      </c>
      <c r="J351" s="71"/>
      <c r="K351" s="73"/>
      <c r="L351" s="73"/>
      <c r="M351" s="73" t="s">
        <v>338</v>
      </c>
    </row>
    <row r="352">
      <c r="A352" s="65" t="s">
        <v>1587</v>
      </c>
      <c r="B352" s="65" t="s">
        <v>374</v>
      </c>
      <c r="C352" s="65" t="s">
        <v>1588</v>
      </c>
      <c r="D352" s="65">
        <v>2025.0</v>
      </c>
      <c r="E352" s="65">
        <v>8.60369054192412E14</v>
      </c>
      <c r="F352" s="65" t="s">
        <v>326</v>
      </c>
      <c r="G352" s="192" t="s">
        <v>642</v>
      </c>
      <c r="H352" s="69">
        <v>45997.0</v>
      </c>
      <c r="I352" s="65" t="s">
        <v>337</v>
      </c>
      <c r="J352" s="71"/>
      <c r="K352" s="73"/>
      <c r="L352" s="73"/>
      <c r="M352" s="73" t="s">
        <v>338</v>
      </c>
    </row>
    <row r="353">
      <c r="A353" s="65" t="s">
        <v>1590</v>
      </c>
      <c r="B353" s="65" t="s">
        <v>374</v>
      </c>
      <c r="C353" s="65" t="s">
        <v>647</v>
      </c>
      <c r="D353" s="65">
        <v>2025.0</v>
      </c>
      <c r="E353" s="65">
        <v>8.60369054412117E14</v>
      </c>
      <c r="F353" s="65" t="s">
        <v>326</v>
      </c>
      <c r="G353" s="192" t="s">
        <v>642</v>
      </c>
      <c r="H353" s="69">
        <v>45997.0</v>
      </c>
      <c r="I353" s="65" t="s">
        <v>337</v>
      </c>
      <c r="J353" s="71"/>
      <c r="K353" s="73"/>
      <c r="L353" s="73"/>
      <c r="M353" s="73" t="s">
        <v>338</v>
      </c>
    </row>
    <row r="354">
      <c r="A354" s="65" t="s">
        <v>1591</v>
      </c>
      <c r="B354" s="65" t="s">
        <v>319</v>
      </c>
      <c r="C354" s="65" t="s">
        <v>376</v>
      </c>
      <c r="D354" s="65">
        <v>2022.0</v>
      </c>
      <c r="E354" s="65">
        <v>8.6036905475983E14</v>
      </c>
      <c r="F354" s="65" t="s">
        <v>326</v>
      </c>
      <c r="G354" s="192" t="s">
        <v>642</v>
      </c>
      <c r="H354" s="69">
        <v>45997.0</v>
      </c>
      <c r="I354" s="65" t="s">
        <v>337</v>
      </c>
      <c r="J354" s="71"/>
      <c r="K354" s="73"/>
      <c r="L354" s="73"/>
      <c r="M354" s="73" t="s">
        <v>338</v>
      </c>
    </row>
    <row r="355">
      <c r="A355" s="65" t="s">
        <v>1593</v>
      </c>
      <c r="B355" s="65" t="s">
        <v>374</v>
      </c>
      <c r="C355" s="65" t="s">
        <v>647</v>
      </c>
      <c r="D355" s="65">
        <v>2024.0</v>
      </c>
      <c r="E355" s="65">
        <v>8.6036905440677E14</v>
      </c>
      <c r="F355" s="65" t="s">
        <v>326</v>
      </c>
      <c r="G355" s="192" t="s">
        <v>642</v>
      </c>
      <c r="H355" s="69">
        <v>45997.0</v>
      </c>
      <c r="I355" s="65" t="s">
        <v>337</v>
      </c>
      <c r="J355" s="71"/>
      <c r="K355" s="73"/>
      <c r="L355" s="73"/>
      <c r="M355" s="73" t="s">
        <v>338</v>
      </c>
    </row>
    <row r="356">
      <c r="A356" s="65" t="s">
        <v>1594</v>
      </c>
      <c r="B356" s="65" t="s">
        <v>319</v>
      </c>
      <c r="C356" s="65" t="s">
        <v>376</v>
      </c>
      <c r="D356" s="65">
        <v>2023.0</v>
      </c>
      <c r="E356" s="65">
        <v>8.60369054738248E14</v>
      </c>
      <c r="F356" s="65" t="s">
        <v>326</v>
      </c>
      <c r="G356" s="192" t="s">
        <v>642</v>
      </c>
      <c r="H356" s="69">
        <v>45997.0</v>
      </c>
      <c r="I356" s="65" t="s">
        <v>337</v>
      </c>
      <c r="J356" s="71"/>
      <c r="K356" s="73"/>
      <c r="L356" s="73"/>
      <c r="M356" s="73" t="s">
        <v>338</v>
      </c>
    </row>
    <row r="357">
      <c r="A357" s="65" t="s">
        <v>1596</v>
      </c>
      <c r="B357" s="65" t="s">
        <v>319</v>
      </c>
      <c r="C357" s="65" t="s">
        <v>376</v>
      </c>
      <c r="D357" s="65">
        <v>2022.0</v>
      </c>
      <c r="E357" s="65">
        <v>8.60369054185549E14</v>
      </c>
      <c r="F357" s="65" t="s">
        <v>326</v>
      </c>
      <c r="G357" s="192" t="s">
        <v>642</v>
      </c>
      <c r="H357" s="69">
        <v>45997.0</v>
      </c>
      <c r="I357" s="65" t="s">
        <v>337</v>
      </c>
      <c r="J357" s="71"/>
      <c r="K357" s="73"/>
      <c r="L357" s="73"/>
      <c r="M357" s="73" t="s">
        <v>338</v>
      </c>
    </row>
    <row r="358">
      <c r="A358" s="65" t="s">
        <v>1597</v>
      </c>
      <c r="B358" s="65" t="s">
        <v>374</v>
      </c>
      <c r="C358" s="65" t="s">
        <v>647</v>
      </c>
      <c r="D358" s="65">
        <v>2024.0</v>
      </c>
      <c r="E358" s="65">
        <v>8.60369054407331E14</v>
      </c>
      <c r="F358" s="65" t="s">
        <v>326</v>
      </c>
      <c r="G358" s="192" t="s">
        <v>642</v>
      </c>
      <c r="H358" s="69">
        <v>45997.0</v>
      </c>
      <c r="I358" s="65" t="s">
        <v>337</v>
      </c>
      <c r="J358" s="71"/>
      <c r="K358" s="73"/>
      <c r="L358" s="73"/>
      <c r="M358" s="73" t="s">
        <v>338</v>
      </c>
    </row>
    <row r="359">
      <c r="A359" s="65" t="s">
        <v>1599</v>
      </c>
      <c r="B359" s="65" t="s">
        <v>374</v>
      </c>
      <c r="C359" s="65" t="s">
        <v>647</v>
      </c>
      <c r="D359" s="65">
        <v>2024.0</v>
      </c>
      <c r="E359" s="65">
        <v>8.60369054740913E14</v>
      </c>
      <c r="F359" s="65" t="s">
        <v>326</v>
      </c>
      <c r="G359" s="192" t="s">
        <v>642</v>
      </c>
      <c r="H359" s="69">
        <v>45997.0</v>
      </c>
      <c r="I359" s="65" t="s">
        <v>337</v>
      </c>
      <c r="J359" s="71"/>
      <c r="K359" s="73"/>
      <c r="L359" s="73"/>
      <c r="M359" s="73" t="s">
        <v>338</v>
      </c>
    </row>
    <row r="360">
      <c r="A360" s="65" t="s">
        <v>1600</v>
      </c>
      <c r="B360" s="65" t="s">
        <v>374</v>
      </c>
      <c r="C360" s="65" t="s">
        <v>647</v>
      </c>
      <c r="D360" s="65">
        <v>2024.0</v>
      </c>
      <c r="E360" s="65">
        <v>8.60369054726318E14</v>
      </c>
      <c r="F360" s="65" t="s">
        <v>326</v>
      </c>
      <c r="G360" s="192" t="s">
        <v>642</v>
      </c>
      <c r="H360" s="69">
        <v>45997.0</v>
      </c>
      <c r="I360" s="65" t="s">
        <v>337</v>
      </c>
      <c r="J360" s="71"/>
      <c r="K360" s="73"/>
      <c r="L360" s="73"/>
      <c r="M360" s="73" t="s">
        <v>338</v>
      </c>
    </row>
    <row r="361">
      <c r="A361" s="65" t="s">
        <v>1602</v>
      </c>
      <c r="B361" s="65" t="s">
        <v>374</v>
      </c>
      <c r="C361" s="65" t="s">
        <v>647</v>
      </c>
      <c r="D361" s="65">
        <v>2024.0</v>
      </c>
      <c r="E361" s="65">
        <v>8.60369054403629E14</v>
      </c>
      <c r="F361" s="65" t="s">
        <v>326</v>
      </c>
      <c r="G361" s="192" t="s">
        <v>642</v>
      </c>
      <c r="H361" s="69">
        <v>45997.0</v>
      </c>
      <c r="I361" s="65" t="s">
        <v>337</v>
      </c>
      <c r="J361" s="71"/>
      <c r="K361" s="73"/>
      <c r="L361" s="73"/>
      <c r="M361" s="73" t="s">
        <v>338</v>
      </c>
    </row>
    <row r="362">
      <c r="A362" s="75" t="s">
        <v>1604</v>
      </c>
      <c r="B362" s="75" t="s">
        <v>319</v>
      </c>
      <c r="C362" s="75" t="s">
        <v>321</v>
      </c>
      <c r="D362" s="75">
        <v>2024.0</v>
      </c>
      <c r="E362" s="75">
        <v>8.6036905417752E14</v>
      </c>
      <c r="F362" s="76" t="s">
        <v>326</v>
      </c>
      <c r="G362" s="68" t="s">
        <v>328</v>
      </c>
      <c r="H362" s="69">
        <v>45658.0</v>
      </c>
      <c r="I362" s="78" t="s">
        <v>337</v>
      </c>
      <c r="J362" s="78"/>
      <c r="K362" s="79"/>
      <c r="L362" s="80"/>
      <c r="M362" s="81"/>
    </row>
    <row r="363">
      <c r="A363" s="65" t="s">
        <v>1606</v>
      </c>
      <c r="B363" s="65" t="s">
        <v>319</v>
      </c>
      <c r="C363" s="65" t="s">
        <v>376</v>
      </c>
      <c r="D363" s="65">
        <v>2022.0</v>
      </c>
      <c r="E363" s="65">
        <v>8.60369054415342E14</v>
      </c>
      <c r="F363" s="65" t="s">
        <v>326</v>
      </c>
      <c r="G363" s="192" t="s">
        <v>642</v>
      </c>
      <c r="H363" s="69">
        <v>45997.0</v>
      </c>
      <c r="I363" s="65" t="s">
        <v>337</v>
      </c>
      <c r="J363" s="71"/>
      <c r="K363" s="73"/>
      <c r="L363" s="73"/>
      <c r="M363" s="73" t="s">
        <v>338</v>
      </c>
    </row>
    <row r="364">
      <c r="A364" s="65" t="s">
        <v>1609</v>
      </c>
      <c r="B364" s="65" t="s">
        <v>374</v>
      </c>
      <c r="C364" s="65" t="s">
        <v>647</v>
      </c>
      <c r="D364" s="65">
        <v>2024.0</v>
      </c>
      <c r="E364" s="65">
        <v>8.60369054735459E14</v>
      </c>
      <c r="F364" s="65" t="s">
        <v>326</v>
      </c>
      <c r="G364" s="192" t="s">
        <v>642</v>
      </c>
      <c r="H364" s="69">
        <v>45997.0</v>
      </c>
      <c r="I364" s="65" t="s">
        <v>337</v>
      </c>
      <c r="J364" s="71"/>
      <c r="K364" s="73"/>
      <c r="L364" s="73"/>
      <c r="M364" s="73" t="s">
        <v>338</v>
      </c>
    </row>
    <row r="365">
      <c r="A365" s="65" t="s">
        <v>1612</v>
      </c>
      <c r="B365" s="65" t="s">
        <v>374</v>
      </c>
      <c r="C365" s="65" t="s">
        <v>647</v>
      </c>
      <c r="D365" s="65">
        <v>2024.0</v>
      </c>
      <c r="E365" s="65">
        <v>8.60369054740434E14</v>
      </c>
      <c r="F365" s="65" t="s">
        <v>326</v>
      </c>
      <c r="G365" s="192" t="s">
        <v>642</v>
      </c>
      <c r="H365" s="69">
        <v>45997.0</v>
      </c>
      <c r="I365" s="65" t="s">
        <v>337</v>
      </c>
      <c r="J365" s="71"/>
      <c r="K365" s="73"/>
      <c r="L365" s="73"/>
      <c r="M365" s="73" t="s">
        <v>338</v>
      </c>
    </row>
    <row r="366">
      <c r="A366" s="65" t="s">
        <v>1615</v>
      </c>
      <c r="B366" s="65" t="s">
        <v>374</v>
      </c>
      <c r="C366" s="65" t="s">
        <v>647</v>
      </c>
      <c r="D366" s="65">
        <v>2024.0</v>
      </c>
      <c r="E366" s="65">
        <v>8.60369054734916E14</v>
      </c>
      <c r="F366" s="65" t="s">
        <v>326</v>
      </c>
      <c r="G366" s="192" t="s">
        <v>642</v>
      </c>
      <c r="H366" s="69">
        <v>45997.0</v>
      </c>
      <c r="I366" s="65" t="s">
        <v>337</v>
      </c>
      <c r="J366" s="71"/>
      <c r="K366" s="73"/>
      <c r="L366" s="73"/>
      <c r="M366" s="73" t="s">
        <v>338</v>
      </c>
    </row>
    <row r="367">
      <c r="A367" s="65" t="s">
        <v>1618</v>
      </c>
      <c r="B367" s="65" t="s">
        <v>374</v>
      </c>
      <c r="C367" s="65" t="s">
        <v>647</v>
      </c>
      <c r="D367" s="65">
        <v>2024.0</v>
      </c>
      <c r="E367" s="65">
        <v>8.60369054759681E14</v>
      </c>
      <c r="F367" s="65" t="s">
        <v>326</v>
      </c>
      <c r="G367" s="192" t="s">
        <v>642</v>
      </c>
      <c r="H367" s="69">
        <v>45997.0</v>
      </c>
      <c r="I367" s="65" t="s">
        <v>337</v>
      </c>
      <c r="J367" s="71"/>
      <c r="K367" s="73"/>
      <c r="L367" s="73"/>
      <c r="M367" s="73" t="s">
        <v>338</v>
      </c>
    </row>
    <row r="368">
      <c r="A368" s="65" t="s">
        <v>1620</v>
      </c>
      <c r="B368" s="65" t="s">
        <v>374</v>
      </c>
      <c r="C368" s="65" t="s">
        <v>647</v>
      </c>
      <c r="D368" s="65">
        <v>2024.0</v>
      </c>
      <c r="E368" s="65">
        <v>8.60369054401748E14</v>
      </c>
      <c r="F368" s="65" t="s">
        <v>326</v>
      </c>
      <c r="G368" s="192" t="s">
        <v>642</v>
      </c>
      <c r="H368" s="69">
        <v>45997.0</v>
      </c>
      <c r="I368" s="65" t="s">
        <v>337</v>
      </c>
      <c r="J368" s="71"/>
      <c r="K368" s="73"/>
      <c r="L368" s="73"/>
      <c r="M368" s="73" t="s">
        <v>338</v>
      </c>
    </row>
    <row r="369">
      <c r="A369" s="65" t="s">
        <v>1623</v>
      </c>
      <c r="B369" s="65" t="s">
        <v>374</v>
      </c>
      <c r="C369" s="65" t="s">
        <v>647</v>
      </c>
      <c r="D369" s="65">
        <v>2024.0</v>
      </c>
      <c r="E369" s="65">
        <v>8.60369054407521E14</v>
      </c>
      <c r="F369" s="65" t="s">
        <v>326</v>
      </c>
      <c r="G369" s="192" t="s">
        <v>642</v>
      </c>
      <c r="H369" s="69">
        <v>45997.0</v>
      </c>
      <c r="I369" s="65" t="s">
        <v>337</v>
      </c>
      <c r="J369" s="71"/>
      <c r="K369" s="73"/>
      <c r="L369" s="73"/>
      <c r="M369" s="73" t="s">
        <v>338</v>
      </c>
    </row>
    <row r="370">
      <c r="A370" s="65" t="s">
        <v>1626</v>
      </c>
      <c r="B370" s="65" t="s">
        <v>319</v>
      </c>
      <c r="C370" s="65" t="s">
        <v>723</v>
      </c>
      <c r="D370" s="65">
        <v>2024.0</v>
      </c>
      <c r="E370" s="65">
        <v>8.6036905476464E14</v>
      </c>
      <c r="F370" s="65" t="s">
        <v>326</v>
      </c>
      <c r="G370" s="192" t="s">
        <v>328</v>
      </c>
      <c r="H370" s="69">
        <v>45998.0</v>
      </c>
      <c r="I370" s="65" t="s">
        <v>337</v>
      </c>
      <c r="J370" s="71"/>
      <c r="K370" s="73"/>
      <c r="L370" s="73"/>
      <c r="M370" s="73" t="s">
        <v>338</v>
      </c>
    </row>
    <row r="371">
      <c r="A371" s="65" t="s">
        <v>1630</v>
      </c>
      <c r="B371" s="65" t="s">
        <v>389</v>
      </c>
      <c r="C371" s="65" t="s">
        <v>1292</v>
      </c>
      <c r="D371" s="65">
        <v>2025.0</v>
      </c>
      <c r="E371" s="65">
        <v>8.60369052156393E14</v>
      </c>
      <c r="F371" s="65" t="s">
        <v>398</v>
      </c>
      <c r="G371" s="192" t="s">
        <v>328</v>
      </c>
      <c r="H371" s="69">
        <v>46000.0</v>
      </c>
      <c r="I371" s="65" t="s">
        <v>337</v>
      </c>
      <c r="J371" s="71"/>
      <c r="K371" s="73"/>
      <c r="L371" s="73"/>
      <c r="M371" s="73" t="s">
        <v>338</v>
      </c>
    </row>
    <row r="372">
      <c r="A372" s="65" t="s">
        <v>1632</v>
      </c>
      <c r="B372" s="65" t="s">
        <v>319</v>
      </c>
      <c r="C372" s="65" t="s">
        <v>321</v>
      </c>
      <c r="D372" s="65">
        <v>2025.0</v>
      </c>
      <c r="E372" s="65">
        <v>8.60369054740723E14</v>
      </c>
      <c r="F372" s="65" t="s">
        <v>326</v>
      </c>
      <c r="G372" s="192" t="s">
        <v>328</v>
      </c>
      <c r="H372" s="69">
        <v>46002.0</v>
      </c>
      <c r="I372" s="65" t="s">
        <v>337</v>
      </c>
      <c r="J372" s="71"/>
      <c r="K372" s="73"/>
      <c r="L372" s="73"/>
      <c r="M372" s="73" t="s">
        <v>338</v>
      </c>
    </row>
    <row r="373">
      <c r="A373" s="65" t="s">
        <v>1635</v>
      </c>
      <c r="B373" s="65" t="s">
        <v>319</v>
      </c>
      <c r="C373" s="65" t="s">
        <v>321</v>
      </c>
      <c r="D373" s="65">
        <v>2026.0</v>
      </c>
      <c r="E373" s="65">
        <v>8.60369052704879E14</v>
      </c>
      <c r="F373" s="65" t="s">
        <v>326</v>
      </c>
      <c r="G373" s="192" t="s">
        <v>328</v>
      </c>
      <c r="H373" s="69">
        <v>46002.0</v>
      </c>
      <c r="I373" s="65" t="s">
        <v>337</v>
      </c>
      <c r="J373" s="71"/>
      <c r="K373" s="73"/>
      <c r="L373" s="73"/>
      <c r="M373" s="73" t="s">
        <v>338</v>
      </c>
    </row>
    <row r="374">
      <c r="A374" s="65" t="s">
        <v>1637</v>
      </c>
      <c r="B374" s="65" t="s">
        <v>319</v>
      </c>
      <c r="C374" s="65" t="s">
        <v>321</v>
      </c>
      <c r="D374" s="65">
        <v>2026.0</v>
      </c>
      <c r="E374" s="65">
        <v>8.60369054169097E14</v>
      </c>
      <c r="F374" s="65" t="s">
        <v>326</v>
      </c>
      <c r="G374" s="192" t="s">
        <v>328</v>
      </c>
      <c r="H374" s="69">
        <v>46004.0</v>
      </c>
      <c r="I374" s="65" t="s">
        <v>337</v>
      </c>
      <c r="J374" s="71"/>
      <c r="K374" s="73"/>
      <c r="L374" s="73"/>
      <c r="M374" s="73" t="s">
        <v>338</v>
      </c>
    </row>
    <row r="375">
      <c r="A375" s="65" t="s">
        <v>1638</v>
      </c>
      <c r="B375" s="65" t="s">
        <v>319</v>
      </c>
      <c r="C375" s="65" t="s">
        <v>321</v>
      </c>
      <c r="D375" s="65">
        <v>2026.0</v>
      </c>
      <c r="E375" s="65">
        <v>8.60369054155336E14</v>
      </c>
      <c r="F375" s="65" t="s">
        <v>326</v>
      </c>
      <c r="G375" s="192" t="s">
        <v>328</v>
      </c>
      <c r="H375" s="69">
        <v>46004.0</v>
      </c>
      <c r="I375" s="65" t="s">
        <v>337</v>
      </c>
      <c r="J375" s="71"/>
      <c r="K375" s="73"/>
      <c r="L375" s="73"/>
      <c r="M375" s="73" t="s">
        <v>338</v>
      </c>
    </row>
    <row r="376">
      <c r="A376" s="65" t="s">
        <v>1641</v>
      </c>
      <c r="B376" s="65" t="s">
        <v>319</v>
      </c>
      <c r="C376" s="65" t="s">
        <v>321</v>
      </c>
      <c r="D376" s="65">
        <v>2025.0</v>
      </c>
      <c r="E376" s="65">
        <v>8.60369054192081E14</v>
      </c>
      <c r="F376" s="65" t="s">
        <v>326</v>
      </c>
      <c r="G376" s="192" t="s">
        <v>328</v>
      </c>
      <c r="H376" s="69">
        <v>46006.0</v>
      </c>
      <c r="I376" s="65" t="s">
        <v>337</v>
      </c>
      <c r="J376" s="71"/>
      <c r="K376" s="73"/>
      <c r="L376" s="73"/>
      <c r="M376" s="73" t="s">
        <v>338</v>
      </c>
    </row>
    <row r="377">
      <c r="A377" s="75" t="s">
        <v>1642</v>
      </c>
      <c r="B377" s="75" t="s">
        <v>319</v>
      </c>
      <c r="C377" s="75" t="s">
        <v>321</v>
      </c>
      <c r="D377" s="75">
        <v>2024.0</v>
      </c>
      <c r="E377" s="75">
        <v>8.60369053334585E14</v>
      </c>
      <c r="F377" s="76" t="s">
        <v>326</v>
      </c>
      <c r="G377" s="68" t="s">
        <v>328</v>
      </c>
      <c r="H377" s="69">
        <v>45658.0</v>
      </c>
      <c r="I377" s="78" t="s">
        <v>337</v>
      </c>
      <c r="J377" s="78"/>
      <c r="K377" s="79"/>
      <c r="L377" s="80"/>
      <c r="M377" s="81"/>
    </row>
    <row r="378">
      <c r="A378" s="75" t="s">
        <v>1643</v>
      </c>
      <c r="B378" s="75" t="s">
        <v>319</v>
      </c>
      <c r="C378" s="75" t="s">
        <v>1247</v>
      </c>
      <c r="D378" s="75">
        <v>2024.0</v>
      </c>
      <c r="E378" s="75">
        <v>8.60369052696406E14</v>
      </c>
      <c r="F378" s="76" t="s">
        <v>326</v>
      </c>
      <c r="G378" s="68" t="s">
        <v>328</v>
      </c>
      <c r="H378" s="69">
        <v>45658.0</v>
      </c>
      <c r="I378" s="78" t="s">
        <v>337</v>
      </c>
      <c r="J378" s="78"/>
      <c r="K378" s="79"/>
      <c r="L378" s="80"/>
      <c r="M378" s="81"/>
    </row>
    <row r="379">
      <c r="A379" s="75" t="s">
        <v>1645</v>
      </c>
      <c r="B379" s="75" t="s">
        <v>319</v>
      </c>
      <c r="C379" s="75" t="s">
        <v>321</v>
      </c>
      <c r="D379" s="75">
        <v>2024.0</v>
      </c>
      <c r="E379" s="75">
        <v>8.60369054160625E14</v>
      </c>
      <c r="F379" s="76" t="s">
        <v>326</v>
      </c>
      <c r="G379" s="68" t="s">
        <v>328</v>
      </c>
      <c r="H379" s="69">
        <v>45658.0</v>
      </c>
      <c r="I379" s="78" t="s">
        <v>337</v>
      </c>
      <c r="J379" s="78"/>
      <c r="K379" s="79"/>
      <c r="L379" s="80"/>
      <c r="M379" s="81"/>
    </row>
    <row r="380">
      <c r="A380" s="65" t="s">
        <v>1648</v>
      </c>
      <c r="B380" s="65" t="s">
        <v>319</v>
      </c>
      <c r="C380" s="65" t="s">
        <v>723</v>
      </c>
      <c r="D380" s="65">
        <v>2024.0</v>
      </c>
      <c r="E380" s="65">
        <v>8.60369052690649E14</v>
      </c>
      <c r="F380" s="65" t="s">
        <v>326</v>
      </c>
      <c r="G380" s="192" t="s">
        <v>50</v>
      </c>
      <c r="H380" s="69">
        <v>46009.0</v>
      </c>
      <c r="I380" s="65" t="s">
        <v>337</v>
      </c>
      <c r="J380" s="71"/>
      <c r="K380" s="73"/>
      <c r="L380" s="73"/>
      <c r="M380" s="73" t="s">
        <v>338</v>
      </c>
    </row>
    <row r="381">
      <c r="A381" s="65" t="s">
        <v>1650</v>
      </c>
      <c r="B381" s="65" t="s">
        <v>319</v>
      </c>
      <c r="C381" s="65" t="s">
        <v>321</v>
      </c>
      <c r="D381" s="65">
        <v>2026.0</v>
      </c>
      <c r="E381" s="65">
        <v>8.60369054196934E14</v>
      </c>
      <c r="F381" s="65" t="s">
        <v>326</v>
      </c>
      <c r="G381" s="192" t="s">
        <v>328</v>
      </c>
      <c r="H381" s="69">
        <v>46015.0</v>
      </c>
      <c r="I381" s="65" t="s">
        <v>337</v>
      </c>
      <c r="J381" s="71"/>
      <c r="K381" s="73"/>
      <c r="L381" s="73"/>
      <c r="M381" s="73" t="s">
        <v>338</v>
      </c>
    </row>
    <row r="382">
      <c r="A382" s="65" t="s">
        <v>1652</v>
      </c>
      <c r="B382" s="65" t="s">
        <v>319</v>
      </c>
      <c r="C382" s="65" t="s">
        <v>321</v>
      </c>
      <c r="D382" s="65">
        <v>2026.0</v>
      </c>
      <c r="E382" s="65">
        <v>8.60369054187487E14</v>
      </c>
      <c r="F382" s="65" t="s">
        <v>326</v>
      </c>
      <c r="G382" s="192" t="s">
        <v>328</v>
      </c>
      <c r="H382" s="69">
        <v>46015.0</v>
      </c>
      <c r="I382" s="65" t="s">
        <v>337</v>
      </c>
      <c r="J382" s="71"/>
      <c r="K382" s="73"/>
      <c r="L382" s="73"/>
      <c r="M382" s="73" t="s">
        <v>338</v>
      </c>
    </row>
    <row r="383">
      <c r="A383" s="65" t="s">
        <v>1654</v>
      </c>
      <c r="B383" s="65" t="s">
        <v>319</v>
      </c>
      <c r="C383" s="65" t="s">
        <v>321</v>
      </c>
      <c r="D383" s="65">
        <v>2026.0</v>
      </c>
      <c r="E383" s="65">
        <v>8.60369054193642E14</v>
      </c>
      <c r="F383" s="65" t="s">
        <v>326</v>
      </c>
      <c r="G383" s="192" t="s">
        <v>328</v>
      </c>
      <c r="H383" s="69">
        <v>46015.0</v>
      </c>
      <c r="I383" s="65" t="s">
        <v>337</v>
      </c>
      <c r="J383" s="71"/>
      <c r="K383" s="73"/>
      <c r="L383" s="73"/>
      <c r="M383" s="73" t="s">
        <v>338</v>
      </c>
    </row>
    <row r="384">
      <c r="A384" s="65" t="s">
        <v>1656</v>
      </c>
      <c r="B384" s="65" t="s">
        <v>884</v>
      </c>
      <c r="C384" s="65" t="s">
        <v>1657</v>
      </c>
      <c r="D384" s="65">
        <v>2020.0</v>
      </c>
      <c r="E384" s="65">
        <v>8.60369054115744E14</v>
      </c>
      <c r="F384" s="65" t="s">
        <v>326</v>
      </c>
      <c r="G384" s="192" t="s">
        <v>271</v>
      </c>
      <c r="H384" s="69">
        <v>46015.0</v>
      </c>
      <c r="I384" s="65" t="s">
        <v>337</v>
      </c>
      <c r="J384" s="71"/>
      <c r="K384" s="73"/>
      <c r="L384" s="73"/>
      <c r="M384" s="73" t="s">
        <v>338</v>
      </c>
    </row>
    <row r="385">
      <c r="A385" s="65" t="s">
        <v>1659</v>
      </c>
      <c r="B385" s="65" t="s">
        <v>884</v>
      </c>
      <c r="C385" s="65" t="s">
        <v>1660</v>
      </c>
      <c r="D385" s="65">
        <v>2019.0</v>
      </c>
      <c r="E385" s="65">
        <v>8.60369054416548E14</v>
      </c>
      <c r="F385" s="65" t="s">
        <v>326</v>
      </c>
      <c r="G385" s="192" t="s">
        <v>271</v>
      </c>
      <c r="H385" s="69">
        <v>46015.0</v>
      </c>
      <c r="I385" s="65" t="s">
        <v>337</v>
      </c>
      <c r="J385" s="71"/>
      <c r="K385" s="73"/>
      <c r="L385" s="73"/>
      <c r="M385" s="73" t="s">
        <v>338</v>
      </c>
    </row>
    <row r="386">
      <c r="A386" s="65" t="s">
        <v>1662</v>
      </c>
      <c r="B386" s="65" t="s">
        <v>884</v>
      </c>
      <c r="C386" s="65" t="s">
        <v>1663</v>
      </c>
      <c r="D386" s="65">
        <v>2019.0</v>
      </c>
      <c r="E386" s="65">
        <v>8.60369052696448E14</v>
      </c>
      <c r="F386" s="65" t="s">
        <v>326</v>
      </c>
      <c r="G386" s="192" t="s">
        <v>271</v>
      </c>
      <c r="H386" s="69">
        <v>46015.0</v>
      </c>
      <c r="I386" s="65" t="s">
        <v>337</v>
      </c>
      <c r="J386" s="71"/>
      <c r="K386" s="73"/>
      <c r="L386" s="73"/>
      <c r="M386" s="73" t="s">
        <v>338</v>
      </c>
    </row>
    <row r="387">
      <c r="A387" s="65" t="s">
        <v>1665</v>
      </c>
      <c r="B387" s="65" t="s">
        <v>884</v>
      </c>
      <c r="C387" s="65" t="s">
        <v>1666</v>
      </c>
      <c r="D387" s="65">
        <v>2022.0</v>
      </c>
      <c r="E387" s="65">
        <v>8.6036905419001E14</v>
      </c>
      <c r="F387" s="65" t="s">
        <v>326</v>
      </c>
      <c r="G387" s="192" t="s">
        <v>271</v>
      </c>
      <c r="H387" s="69">
        <v>46015.0</v>
      </c>
      <c r="I387" s="65" t="s">
        <v>337</v>
      </c>
      <c r="J387" s="71"/>
      <c r="K387" s="73"/>
      <c r="L387" s="73"/>
      <c r="M387" s="73" t="s">
        <v>338</v>
      </c>
    </row>
    <row r="388">
      <c r="A388" s="65" t="s">
        <v>1669</v>
      </c>
      <c r="B388" s="65" t="s">
        <v>884</v>
      </c>
      <c r="C388" s="65" t="s">
        <v>1666</v>
      </c>
      <c r="D388" s="65">
        <v>2020.0</v>
      </c>
      <c r="E388" s="65">
        <v>8.60369054763014E14</v>
      </c>
      <c r="F388" s="65" t="s">
        <v>326</v>
      </c>
      <c r="G388" s="192" t="s">
        <v>271</v>
      </c>
      <c r="H388" s="69">
        <v>46015.0</v>
      </c>
      <c r="I388" s="65" t="s">
        <v>337</v>
      </c>
      <c r="J388" s="71"/>
      <c r="K388" s="73"/>
      <c r="L388" s="73"/>
      <c r="M388" s="73" t="s">
        <v>338</v>
      </c>
    </row>
    <row r="389">
      <c r="A389" s="65" t="s">
        <v>1671</v>
      </c>
      <c r="B389" s="65" t="s">
        <v>389</v>
      </c>
      <c r="C389" s="65" t="s">
        <v>1673</v>
      </c>
      <c r="D389" s="65">
        <v>2024.0</v>
      </c>
      <c r="E389" s="65">
        <v>8.60369054194236E14</v>
      </c>
      <c r="F389" s="65" t="s">
        <v>326</v>
      </c>
      <c r="G389" s="192" t="s">
        <v>271</v>
      </c>
      <c r="H389" s="69">
        <v>46015.0</v>
      </c>
      <c r="I389" s="65" t="s">
        <v>337</v>
      </c>
      <c r="J389" s="71"/>
      <c r="K389" s="73"/>
      <c r="L389" s="73"/>
      <c r="M389" s="73" t="s">
        <v>338</v>
      </c>
    </row>
    <row r="390">
      <c r="A390" s="65" t="s">
        <v>1676</v>
      </c>
      <c r="B390" s="65" t="s">
        <v>389</v>
      </c>
      <c r="C390" s="65" t="s">
        <v>1673</v>
      </c>
      <c r="D390" s="65">
        <v>2024.0</v>
      </c>
      <c r="E390" s="65">
        <v>8.60369052425988E14</v>
      </c>
      <c r="F390" s="65" t="s">
        <v>326</v>
      </c>
      <c r="G390" s="192" t="s">
        <v>271</v>
      </c>
      <c r="H390" s="69">
        <v>46015.0</v>
      </c>
      <c r="I390" s="65" t="s">
        <v>337</v>
      </c>
      <c r="J390" s="71"/>
      <c r="K390" s="73"/>
      <c r="L390" s="73"/>
      <c r="M390" s="73" t="s">
        <v>338</v>
      </c>
    </row>
    <row r="391">
      <c r="A391" s="65" t="s">
        <v>1678</v>
      </c>
      <c r="B391" s="65" t="s">
        <v>389</v>
      </c>
      <c r="C391" s="65" t="s">
        <v>1679</v>
      </c>
      <c r="D391" s="65">
        <v>2023.0</v>
      </c>
      <c r="E391" s="65">
        <v>8.60369054408412E14</v>
      </c>
      <c r="F391" s="65" t="s">
        <v>326</v>
      </c>
      <c r="G391" s="192" t="s">
        <v>271</v>
      </c>
      <c r="H391" s="69">
        <v>46015.0</v>
      </c>
      <c r="I391" s="65" t="s">
        <v>337</v>
      </c>
      <c r="J391" s="71"/>
      <c r="K391" s="73"/>
      <c r="L391" s="73"/>
      <c r="M391" s="73" t="s">
        <v>338</v>
      </c>
    </row>
    <row r="392">
      <c r="A392" s="65" t="s">
        <v>1681</v>
      </c>
      <c r="B392" s="65" t="s">
        <v>319</v>
      </c>
      <c r="C392" s="65" t="s">
        <v>321</v>
      </c>
      <c r="D392" s="65">
        <v>2026.0</v>
      </c>
      <c r="E392" s="65">
        <v>8.60369054183809E14</v>
      </c>
      <c r="F392" s="65" t="s">
        <v>326</v>
      </c>
      <c r="G392" s="192" t="s">
        <v>328</v>
      </c>
      <c r="H392" s="69">
        <v>46024.0</v>
      </c>
      <c r="I392" s="65" t="s">
        <v>337</v>
      </c>
      <c r="J392" s="71"/>
      <c r="K392" s="73"/>
      <c r="L392" s="73"/>
      <c r="M392" s="73" t="s">
        <v>338</v>
      </c>
    </row>
    <row r="393">
      <c r="A393" s="216" t="s">
        <v>1684</v>
      </c>
      <c r="B393" s="75" t="s">
        <v>884</v>
      </c>
      <c r="C393" s="75" t="s">
        <v>1402</v>
      </c>
      <c r="D393" s="78">
        <v>2019.0</v>
      </c>
      <c r="E393" s="78">
        <v>8.60369052456983E14</v>
      </c>
      <c r="F393" s="76" t="s">
        <v>326</v>
      </c>
      <c r="G393" s="68" t="s">
        <v>404</v>
      </c>
      <c r="H393" s="69">
        <v>46024.0</v>
      </c>
      <c r="I393" s="78" t="s">
        <v>337</v>
      </c>
      <c r="J393" s="78"/>
      <c r="K393" s="81"/>
      <c r="L393" s="80"/>
      <c r="M393" s="81"/>
    </row>
    <row r="394">
      <c r="A394" s="65" t="s">
        <v>1686</v>
      </c>
      <c r="B394" s="65" t="s">
        <v>884</v>
      </c>
      <c r="C394" s="65" t="s">
        <v>1688</v>
      </c>
      <c r="D394" s="65">
        <v>2016.0</v>
      </c>
      <c r="E394" s="65">
        <v>8.60369054740053E14</v>
      </c>
      <c r="F394" s="65" t="s">
        <v>326</v>
      </c>
      <c r="G394" s="192" t="s">
        <v>404</v>
      </c>
      <c r="H394" s="69">
        <v>46024.0</v>
      </c>
      <c r="I394" s="65" t="s">
        <v>337</v>
      </c>
      <c r="J394" s="71"/>
      <c r="K394" s="73"/>
      <c r="L394" s="73"/>
      <c r="M394" s="73" t="s">
        <v>338</v>
      </c>
    </row>
    <row r="395">
      <c r="A395" s="65" t="s">
        <v>1689</v>
      </c>
      <c r="B395" s="65" t="s">
        <v>319</v>
      </c>
      <c r="C395" s="65" t="s">
        <v>723</v>
      </c>
      <c r="D395" s="65">
        <v>2016.0</v>
      </c>
      <c r="E395" s="65">
        <v>8.60369054185754E14</v>
      </c>
      <c r="F395" s="65" t="s">
        <v>326</v>
      </c>
      <c r="G395" s="192" t="s">
        <v>404</v>
      </c>
      <c r="H395" s="69">
        <v>46024.0</v>
      </c>
      <c r="I395" s="65" t="s">
        <v>337</v>
      </c>
      <c r="J395" s="71"/>
      <c r="K395" s="73"/>
      <c r="L395" s="73"/>
      <c r="M395" s="73" t="s">
        <v>338</v>
      </c>
    </row>
    <row r="396">
      <c r="A396" s="65" t="s">
        <v>1691</v>
      </c>
      <c r="B396" s="65" t="s">
        <v>319</v>
      </c>
      <c r="C396" s="65" t="s">
        <v>321</v>
      </c>
      <c r="D396" s="65">
        <v>2026.0</v>
      </c>
      <c r="E396" s="65">
        <v>8.6036905270316E14</v>
      </c>
      <c r="F396" s="65" t="s">
        <v>326</v>
      </c>
      <c r="G396" s="192" t="s">
        <v>328</v>
      </c>
      <c r="H396" s="69">
        <v>46025.0</v>
      </c>
      <c r="I396" s="65" t="s">
        <v>337</v>
      </c>
      <c r="J396" s="71"/>
      <c r="K396" s="73"/>
      <c r="L396" s="73"/>
      <c r="M396" s="73" t="s">
        <v>1693</v>
      </c>
    </row>
    <row r="397">
      <c r="A397" s="65" t="s">
        <v>1695</v>
      </c>
      <c r="B397" s="65" t="s">
        <v>319</v>
      </c>
      <c r="C397" s="65" t="s">
        <v>321</v>
      </c>
      <c r="D397" s="65">
        <v>2025.0</v>
      </c>
      <c r="E397" s="65">
        <v>8.60369054730781E14</v>
      </c>
      <c r="F397" s="65" t="s">
        <v>326</v>
      </c>
      <c r="G397" s="192" t="s">
        <v>328</v>
      </c>
      <c r="H397" s="69">
        <v>46027.0</v>
      </c>
      <c r="I397" s="65" t="s">
        <v>337</v>
      </c>
      <c r="J397" s="71"/>
      <c r="K397" s="73"/>
      <c r="L397" s="73"/>
      <c r="M397" s="73" t="s">
        <v>338</v>
      </c>
    </row>
    <row r="398">
      <c r="A398" s="65" t="s">
        <v>1697</v>
      </c>
      <c r="B398" s="65" t="s">
        <v>319</v>
      </c>
      <c r="C398" s="65" t="s">
        <v>1239</v>
      </c>
      <c r="D398" s="65">
        <v>2026.0</v>
      </c>
      <c r="E398" s="65">
        <v>8.60369054119092E14</v>
      </c>
      <c r="F398" s="65" t="s">
        <v>326</v>
      </c>
      <c r="G398" s="192" t="s">
        <v>328</v>
      </c>
      <c r="H398" s="69">
        <v>46029.0</v>
      </c>
      <c r="I398" s="65" t="s">
        <v>337</v>
      </c>
      <c r="J398" s="71"/>
      <c r="K398" s="73"/>
      <c r="L398" s="73"/>
      <c r="M398" s="73" t="s">
        <v>338</v>
      </c>
    </row>
    <row r="399">
      <c r="A399" s="65" t="s">
        <v>1699</v>
      </c>
      <c r="B399" s="65" t="s">
        <v>319</v>
      </c>
      <c r="C399" s="65" t="s">
        <v>1239</v>
      </c>
      <c r="D399" s="65">
        <v>2026.0</v>
      </c>
      <c r="E399" s="65">
        <v>8.603690541936E14</v>
      </c>
      <c r="F399" s="65" t="s">
        <v>326</v>
      </c>
      <c r="G399" s="192" t="s">
        <v>328</v>
      </c>
      <c r="H399" s="69">
        <v>46029.0</v>
      </c>
      <c r="I399" s="65" t="s">
        <v>337</v>
      </c>
      <c r="J399" s="71"/>
      <c r="K399" s="73"/>
      <c r="L399" s="73"/>
      <c r="M399" s="73" t="s">
        <v>338</v>
      </c>
    </row>
    <row r="400">
      <c r="A400" s="65" t="s">
        <v>1701</v>
      </c>
      <c r="B400" s="65" t="s">
        <v>319</v>
      </c>
      <c r="C400" s="65" t="s">
        <v>1239</v>
      </c>
      <c r="D400" s="65">
        <v>2026.0</v>
      </c>
      <c r="E400" s="65">
        <v>8.60369054194764E14</v>
      </c>
      <c r="F400" s="65" t="s">
        <v>326</v>
      </c>
      <c r="G400" s="192" t="s">
        <v>328</v>
      </c>
      <c r="H400" s="69">
        <v>46029.0</v>
      </c>
      <c r="I400" s="65" t="s">
        <v>337</v>
      </c>
      <c r="J400" s="71"/>
      <c r="K400" s="73"/>
      <c r="L400" s="73"/>
      <c r="M400" s="73" t="s">
        <v>1703</v>
      </c>
    </row>
    <row r="401">
      <c r="A401" s="65" t="s">
        <v>1705</v>
      </c>
      <c r="B401" s="65" t="s">
        <v>319</v>
      </c>
      <c r="C401" s="65" t="s">
        <v>1239</v>
      </c>
      <c r="D401" s="65">
        <v>2026.0</v>
      </c>
      <c r="E401" s="65">
        <v>8.60369054185838E14</v>
      </c>
      <c r="F401" s="65" t="s">
        <v>326</v>
      </c>
      <c r="G401" s="192" t="s">
        <v>328</v>
      </c>
      <c r="H401" s="69">
        <v>46029.0</v>
      </c>
      <c r="I401" s="65" t="s">
        <v>337</v>
      </c>
      <c r="J401" s="71"/>
      <c r="K401" s="73"/>
      <c r="L401" s="73"/>
      <c r="M401" s="73" t="s">
        <v>338</v>
      </c>
    </row>
    <row r="402">
      <c r="A402" s="65" t="s">
        <v>1706</v>
      </c>
      <c r="B402" s="65" t="s">
        <v>319</v>
      </c>
      <c r="C402" s="65" t="s">
        <v>1239</v>
      </c>
      <c r="D402" s="65">
        <v>2026.0</v>
      </c>
      <c r="E402" s="65">
        <v>8.60369054402407E14</v>
      </c>
      <c r="F402" s="65" t="s">
        <v>326</v>
      </c>
      <c r="G402" s="192" t="s">
        <v>328</v>
      </c>
      <c r="H402" s="69">
        <v>46029.0</v>
      </c>
      <c r="I402" s="65" t="s">
        <v>337</v>
      </c>
      <c r="J402" s="71"/>
      <c r="K402" s="73"/>
      <c r="L402" s="73"/>
      <c r="M402" s="73" t="s">
        <v>338</v>
      </c>
    </row>
    <row r="403">
      <c r="A403" s="65" t="s">
        <v>1707</v>
      </c>
      <c r="B403" s="65" t="s">
        <v>319</v>
      </c>
      <c r="C403" s="65" t="s">
        <v>1239</v>
      </c>
      <c r="D403" s="65">
        <v>2026.0</v>
      </c>
      <c r="E403" s="65">
        <v>8.60369054195183E14</v>
      </c>
      <c r="F403" s="65" t="s">
        <v>326</v>
      </c>
      <c r="G403" s="192" t="s">
        <v>328</v>
      </c>
      <c r="H403" s="69">
        <v>46029.0</v>
      </c>
      <c r="I403" s="65" t="s">
        <v>337</v>
      </c>
      <c r="J403" s="71"/>
      <c r="K403" s="73"/>
      <c r="L403" s="73"/>
      <c r="M403" s="73" t="s">
        <v>338</v>
      </c>
    </row>
    <row r="404">
      <c r="A404" s="65" t="s">
        <v>1709</v>
      </c>
      <c r="B404" s="65" t="s">
        <v>319</v>
      </c>
      <c r="C404" s="65" t="s">
        <v>1239</v>
      </c>
      <c r="D404" s="65">
        <v>2026.0</v>
      </c>
      <c r="E404" s="65">
        <v>8.60369054193824E14</v>
      </c>
      <c r="F404" s="65" t="s">
        <v>326</v>
      </c>
      <c r="G404" s="192" t="s">
        <v>328</v>
      </c>
      <c r="H404" s="69">
        <v>46029.0</v>
      </c>
      <c r="I404" s="65" t="s">
        <v>337</v>
      </c>
      <c r="J404" s="71"/>
      <c r="K404" s="73"/>
      <c r="L404" s="73"/>
      <c r="M404" s="73" t="s">
        <v>338</v>
      </c>
    </row>
    <row r="405">
      <c r="A405" s="65" t="s">
        <v>1711</v>
      </c>
      <c r="B405" s="65" t="s">
        <v>319</v>
      </c>
      <c r="C405" s="65" t="s">
        <v>1239</v>
      </c>
      <c r="D405" s="65">
        <v>2026.0</v>
      </c>
      <c r="E405" s="65">
        <v>8.60369054197296E14</v>
      </c>
      <c r="F405" s="65" t="s">
        <v>326</v>
      </c>
      <c r="G405" s="192" t="s">
        <v>328</v>
      </c>
      <c r="H405" s="69">
        <v>46029.0</v>
      </c>
      <c r="I405" s="65" t="s">
        <v>337</v>
      </c>
      <c r="J405" s="71"/>
      <c r="K405" s="73"/>
      <c r="L405" s="73"/>
      <c r="M405" s="73" t="s">
        <v>338</v>
      </c>
    </row>
    <row r="406">
      <c r="A406" s="65" t="s">
        <v>1714</v>
      </c>
      <c r="B406" s="65" t="s">
        <v>319</v>
      </c>
      <c r="C406" s="65" t="s">
        <v>1239</v>
      </c>
      <c r="D406" s="65">
        <v>2026.0</v>
      </c>
      <c r="E406" s="65">
        <v>8.60369054739972E14</v>
      </c>
      <c r="F406" s="65" t="s">
        <v>326</v>
      </c>
      <c r="G406" s="192" t="s">
        <v>328</v>
      </c>
      <c r="H406" s="69">
        <v>46029.0</v>
      </c>
      <c r="I406" s="65" t="s">
        <v>337</v>
      </c>
      <c r="J406" s="71"/>
      <c r="K406" s="73"/>
      <c r="L406" s="73"/>
      <c r="M406" s="73" t="s">
        <v>338</v>
      </c>
    </row>
    <row r="407">
      <c r="A407" s="65" t="s">
        <v>1716</v>
      </c>
      <c r="B407" s="65" t="s">
        <v>319</v>
      </c>
      <c r="C407" s="65" t="s">
        <v>1239</v>
      </c>
      <c r="D407" s="65">
        <v>2026.0</v>
      </c>
      <c r="E407" s="65">
        <v>8.60369054118847E14</v>
      </c>
      <c r="F407" s="65" t="s">
        <v>326</v>
      </c>
      <c r="G407" s="192" t="s">
        <v>328</v>
      </c>
      <c r="H407" s="69">
        <v>46029.0</v>
      </c>
      <c r="I407" s="65" t="s">
        <v>337</v>
      </c>
      <c r="J407" s="71"/>
      <c r="K407" s="73"/>
      <c r="L407" s="73"/>
      <c r="M407" s="73" t="s">
        <v>1703</v>
      </c>
    </row>
    <row r="408">
      <c r="A408" s="76" t="s">
        <v>1720</v>
      </c>
      <c r="B408" s="75" t="s">
        <v>319</v>
      </c>
      <c r="C408" s="75" t="s">
        <v>321</v>
      </c>
      <c r="D408" s="75">
        <v>2024.0</v>
      </c>
      <c r="E408" s="75">
        <v>8.60369052417258E14</v>
      </c>
      <c r="F408" s="76" t="s">
        <v>326</v>
      </c>
      <c r="G408" s="68" t="s">
        <v>362</v>
      </c>
      <c r="H408" s="69">
        <v>46030.0</v>
      </c>
      <c r="I408" s="78" t="s">
        <v>337</v>
      </c>
      <c r="J408" s="78" t="s">
        <v>1723</v>
      </c>
      <c r="K408" s="79"/>
      <c r="L408" s="80"/>
      <c r="M408" s="81"/>
    </row>
    <row r="409">
      <c r="A409" s="75" t="s">
        <v>1724</v>
      </c>
      <c r="B409" s="75" t="s">
        <v>319</v>
      </c>
      <c r="C409" s="75" t="s">
        <v>1725</v>
      </c>
      <c r="D409" s="75">
        <v>2026.0</v>
      </c>
      <c r="E409" s="75">
        <v>8.60369052695127E14</v>
      </c>
      <c r="F409" s="76" t="s">
        <v>326</v>
      </c>
      <c r="G409" s="68" t="s">
        <v>328</v>
      </c>
      <c r="H409" s="69">
        <v>46031.0</v>
      </c>
      <c r="I409" s="78" t="s">
        <v>337</v>
      </c>
      <c r="J409" s="78"/>
      <c r="K409" s="79"/>
      <c r="L409" s="80"/>
      <c r="M409" s="81"/>
    </row>
    <row r="410">
      <c r="A410" s="65" t="s">
        <v>1727</v>
      </c>
      <c r="B410" s="65" t="s">
        <v>319</v>
      </c>
      <c r="C410" s="65" t="s">
        <v>376</v>
      </c>
      <c r="D410" s="65">
        <v>2021.0</v>
      </c>
      <c r="E410" s="65">
        <v>8.60369054118946E14</v>
      </c>
      <c r="F410" s="65" t="s">
        <v>326</v>
      </c>
      <c r="G410" s="192" t="s">
        <v>819</v>
      </c>
      <c r="H410" s="69">
        <v>46031.0</v>
      </c>
      <c r="I410" s="65" t="s">
        <v>337</v>
      </c>
      <c r="J410" s="71"/>
      <c r="K410" s="73"/>
      <c r="L410" s="73"/>
      <c r="M410" s="73" t="s">
        <v>338</v>
      </c>
    </row>
    <row r="411">
      <c r="A411" s="65" t="s">
        <v>1729</v>
      </c>
      <c r="B411" s="65" t="s">
        <v>319</v>
      </c>
      <c r="C411" s="65" t="s">
        <v>376</v>
      </c>
      <c r="D411" s="65">
        <v>2021.0</v>
      </c>
      <c r="E411" s="65">
        <v>8.60369054193469E14</v>
      </c>
      <c r="F411" s="65" t="s">
        <v>326</v>
      </c>
      <c r="G411" s="192" t="s">
        <v>819</v>
      </c>
      <c r="H411" s="69">
        <v>46031.0</v>
      </c>
      <c r="I411" s="65" t="s">
        <v>337</v>
      </c>
      <c r="J411" s="71"/>
      <c r="K411" s="73"/>
      <c r="L411" s="73"/>
      <c r="M411" s="73" t="s">
        <v>338</v>
      </c>
    </row>
    <row r="412">
      <c r="A412" s="65" t="s">
        <v>1731</v>
      </c>
      <c r="B412" s="65" t="s">
        <v>319</v>
      </c>
      <c r="C412" s="195" t="s">
        <v>376</v>
      </c>
      <c r="D412" s="65">
        <v>2025.0</v>
      </c>
      <c r="E412" s="65">
        <v>8.60369054744071E14</v>
      </c>
      <c r="F412" s="65" t="s">
        <v>326</v>
      </c>
      <c r="G412" s="192" t="s">
        <v>819</v>
      </c>
      <c r="H412" s="69">
        <v>46031.0</v>
      </c>
      <c r="I412" s="65" t="s">
        <v>337</v>
      </c>
      <c r="J412" s="71"/>
      <c r="K412" s="73"/>
      <c r="L412" s="73"/>
      <c r="M412" s="73" t="s">
        <v>338</v>
      </c>
    </row>
    <row r="413">
      <c r="A413" s="78" t="s">
        <v>1733</v>
      </c>
      <c r="B413" s="75" t="s">
        <v>319</v>
      </c>
      <c r="C413" s="75" t="s">
        <v>376</v>
      </c>
      <c r="D413" s="78">
        <v>2021.0</v>
      </c>
      <c r="E413" s="78">
        <v>8.60369052448592E14</v>
      </c>
      <c r="F413" s="76" t="s">
        <v>326</v>
      </c>
      <c r="G413" s="68" t="s">
        <v>328</v>
      </c>
      <c r="H413" s="69">
        <v>46031.0</v>
      </c>
      <c r="I413" s="78" t="s">
        <v>337</v>
      </c>
      <c r="J413" s="78"/>
      <c r="K413" s="81"/>
      <c r="L413" s="80"/>
      <c r="M413" s="81"/>
    </row>
    <row r="414">
      <c r="A414" s="65" t="s">
        <v>1735</v>
      </c>
      <c r="B414" s="65" t="s">
        <v>319</v>
      </c>
      <c r="C414" s="195" t="s">
        <v>376</v>
      </c>
      <c r="D414" s="65">
        <v>2025.0</v>
      </c>
      <c r="E414" s="65">
        <v>8.6036905441262E14</v>
      </c>
      <c r="F414" s="65" t="s">
        <v>326</v>
      </c>
      <c r="G414" s="192" t="s">
        <v>819</v>
      </c>
      <c r="H414" s="69">
        <v>46031.0</v>
      </c>
      <c r="I414" s="65" t="s">
        <v>337</v>
      </c>
      <c r="J414" s="71"/>
      <c r="K414" s="73"/>
      <c r="L414" s="73"/>
      <c r="M414" s="73" t="s">
        <v>338</v>
      </c>
    </row>
    <row r="415">
      <c r="A415" s="78" t="s">
        <v>1738</v>
      </c>
      <c r="B415" s="75" t="s">
        <v>319</v>
      </c>
      <c r="C415" s="75" t="s">
        <v>321</v>
      </c>
      <c r="D415" s="78">
        <v>2022.0</v>
      </c>
      <c r="E415" s="78">
        <v>8.60369054160872E14</v>
      </c>
      <c r="F415" s="76" t="s">
        <v>326</v>
      </c>
      <c r="G415" s="68" t="s">
        <v>471</v>
      </c>
      <c r="H415" s="69">
        <v>46032.0</v>
      </c>
      <c r="I415" s="78" t="s">
        <v>337</v>
      </c>
      <c r="J415" s="78"/>
      <c r="K415" s="81"/>
      <c r="L415" s="80"/>
      <c r="M415" s="81"/>
    </row>
    <row r="416">
      <c r="A416" s="78" t="s">
        <v>1740</v>
      </c>
      <c r="B416" s="75" t="s">
        <v>884</v>
      </c>
      <c r="C416" s="75" t="s">
        <v>1666</v>
      </c>
      <c r="D416" s="78">
        <v>2021.0</v>
      </c>
      <c r="E416" s="78">
        <v>8.60369055009748E14</v>
      </c>
      <c r="F416" s="76" t="s">
        <v>326</v>
      </c>
      <c r="G416" s="68" t="s">
        <v>271</v>
      </c>
      <c r="H416" s="69">
        <v>46034.0</v>
      </c>
      <c r="I416" s="78" t="s">
        <v>337</v>
      </c>
      <c r="J416" s="78"/>
      <c r="K416" s="78" t="s">
        <v>1241</v>
      </c>
      <c r="L416" s="80"/>
      <c r="M416" s="81"/>
    </row>
    <row r="417">
      <c r="A417" s="75" t="s">
        <v>1743</v>
      </c>
      <c r="B417" s="75" t="s">
        <v>319</v>
      </c>
      <c r="C417" s="75" t="s">
        <v>376</v>
      </c>
      <c r="D417" s="75">
        <v>2020.0</v>
      </c>
      <c r="E417" s="75">
        <v>8.60369054184203E14</v>
      </c>
      <c r="F417" s="76" t="s">
        <v>326</v>
      </c>
      <c r="G417" s="68" t="s">
        <v>471</v>
      </c>
      <c r="H417" s="69">
        <v>46036.0</v>
      </c>
      <c r="I417" s="78" t="s">
        <v>337</v>
      </c>
      <c r="J417" s="78" t="s">
        <v>1745</v>
      </c>
      <c r="K417" s="79"/>
      <c r="L417" s="80"/>
      <c r="M417" s="81"/>
    </row>
    <row r="418">
      <c r="A418" s="65" t="s">
        <v>1748</v>
      </c>
      <c r="B418" s="65" t="s">
        <v>319</v>
      </c>
      <c r="C418" s="65" t="s">
        <v>321</v>
      </c>
      <c r="D418" s="65">
        <v>2025.0</v>
      </c>
      <c r="E418" s="65">
        <v>8.60369054194566E14</v>
      </c>
      <c r="F418" s="65" t="s">
        <v>326</v>
      </c>
      <c r="G418" s="192" t="s">
        <v>387</v>
      </c>
      <c r="H418" s="69">
        <v>46036.0</v>
      </c>
      <c r="I418" s="65" t="s">
        <v>337</v>
      </c>
      <c r="J418" s="71"/>
      <c r="K418" s="73"/>
      <c r="L418" s="73"/>
      <c r="M418" s="73" t="s">
        <v>338</v>
      </c>
    </row>
    <row r="419">
      <c r="A419" s="65" t="s">
        <v>1751</v>
      </c>
      <c r="B419" s="65" t="s">
        <v>319</v>
      </c>
      <c r="C419" s="65" t="s">
        <v>1752</v>
      </c>
      <c r="D419" s="65">
        <v>2026.0</v>
      </c>
      <c r="E419" s="65">
        <v>8.60369054404932E14</v>
      </c>
      <c r="F419" s="65" t="s">
        <v>326</v>
      </c>
      <c r="G419" s="192" t="s">
        <v>387</v>
      </c>
      <c r="H419" s="69">
        <v>46036.0</v>
      </c>
      <c r="I419" s="65" t="s">
        <v>337</v>
      </c>
      <c r="J419" s="71"/>
      <c r="K419" s="73"/>
      <c r="L419" s="73"/>
      <c r="M419" s="73" t="s">
        <v>338</v>
      </c>
    </row>
    <row r="420">
      <c r="A420" s="65" t="s">
        <v>1754</v>
      </c>
      <c r="B420" s="65" t="s">
        <v>319</v>
      </c>
      <c r="C420" s="65" t="s">
        <v>1752</v>
      </c>
      <c r="D420" s="65">
        <v>2026.0</v>
      </c>
      <c r="E420" s="65">
        <v>8.60369054188238E14</v>
      </c>
      <c r="F420" s="65" t="s">
        <v>326</v>
      </c>
      <c r="G420" s="192" t="s">
        <v>387</v>
      </c>
      <c r="H420" s="69">
        <v>46036.0</v>
      </c>
      <c r="I420" s="65" t="s">
        <v>337</v>
      </c>
      <c r="J420" s="71"/>
      <c r="K420" s="73"/>
      <c r="L420" s="73"/>
      <c r="M420" s="73" t="s">
        <v>338</v>
      </c>
    </row>
    <row r="421">
      <c r="A421" s="65" t="s">
        <v>1756</v>
      </c>
      <c r="B421" s="65" t="s">
        <v>319</v>
      </c>
      <c r="C421" s="65" t="s">
        <v>321</v>
      </c>
      <c r="D421" s="65">
        <v>2025.0</v>
      </c>
      <c r="E421" s="65">
        <v>8.60369054740566E14</v>
      </c>
      <c r="F421" s="65" t="s">
        <v>326</v>
      </c>
      <c r="G421" s="192" t="s">
        <v>387</v>
      </c>
      <c r="H421" s="69">
        <v>46036.0</v>
      </c>
      <c r="I421" s="65" t="s">
        <v>337</v>
      </c>
      <c r="J421" s="71"/>
      <c r="K421" s="73"/>
      <c r="L421" s="73"/>
      <c r="M421" s="73" t="s">
        <v>338</v>
      </c>
    </row>
    <row r="422">
      <c r="A422" s="65" t="s">
        <v>1760</v>
      </c>
      <c r="B422" s="65" t="s">
        <v>319</v>
      </c>
      <c r="C422" s="65" t="s">
        <v>321</v>
      </c>
      <c r="D422" s="65">
        <v>2025.0</v>
      </c>
      <c r="E422" s="65">
        <v>8.60369054185168E14</v>
      </c>
      <c r="F422" s="65" t="s">
        <v>326</v>
      </c>
      <c r="G422" s="192" t="s">
        <v>387</v>
      </c>
      <c r="H422" s="69">
        <v>46036.0</v>
      </c>
      <c r="I422" s="65" t="s">
        <v>337</v>
      </c>
      <c r="J422" s="71"/>
      <c r="K422" s="73"/>
      <c r="L422" s="73"/>
      <c r="M422" s="73" t="s">
        <v>338</v>
      </c>
    </row>
    <row r="423">
      <c r="A423" s="75" t="s">
        <v>1762</v>
      </c>
      <c r="B423" s="75" t="s">
        <v>319</v>
      </c>
      <c r="C423" s="75" t="s">
        <v>321</v>
      </c>
      <c r="D423" s="75">
        <v>2026.0</v>
      </c>
      <c r="E423" s="75">
        <v>8.60369052433503E14</v>
      </c>
      <c r="F423" s="76" t="s">
        <v>326</v>
      </c>
      <c r="G423" s="68" t="s">
        <v>582</v>
      </c>
      <c r="H423" s="69">
        <v>46038.0</v>
      </c>
      <c r="I423" s="78" t="s">
        <v>337</v>
      </c>
      <c r="J423" s="78"/>
      <c r="K423" s="79"/>
      <c r="L423" s="80"/>
      <c r="M423" s="81"/>
    </row>
    <row r="424">
      <c r="A424" s="75" t="s">
        <v>1767</v>
      </c>
      <c r="B424" s="75" t="s">
        <v>319</v>
      </c>
      <c r="C424" s="75" t="s">
        <v>321</v>
      </c>
      <c r="D424" s="75">
        <v>2026.0</v>
      </c>
      <c r="E424" s="75">
        <v>8.60369052143003E14</v>
      </c>
      <c r="F424" s="76" t="s">
        <v>398</v>
      </c>
      <c r="G424" s="68" t="s">
        <v>328</v>
      </c>
      <c r="H424" s="69">
        <v>46041.0</v>
      </c>
      <c r="I424" s="78" t="s">
        <v>337</v>
      </c>
      <c r="J424" s="78"/>
      <c r="K424" s="79"/>
      <c r="L424" s="80"/>
      <c r="M424" s="81"/>
    </row>
    <row r="425">
      <c r="A425" s="75" t="s">
        <v>1769</v>
      </c>
      <c r="B425" s="75" t="s">
        <v>319</v>
      </c>
      <c r="C425" s="75" t="s">
        <v>321</v>
      </c>
      <c r="D425" s="75">
        <v>2026.0</v>
      </c>
      <c r="E425" s="75">
        <v>8.60369052412234E14</v>
      </c>
      <c r="F425" s="76" t="s">
        <v>326</v>
      </c>
      <c r="G425" s="68" t="s">
        <v>328</v>
      </c>
      <c r="H425" s="69">
        <v>46041.0</v>
      </c>
      <c r="I425" s="78" t="s">
        <v>337</v>
      </c>
      <c r="J425" s="78"/>
      <c r="K425" s="79"/>
      <c r="L425" s="80"/>
      <c r="M425" s="81"/>
    </row>
    <row r="426">
      <c r="A426" s="75" t="s">
        <v>1772</v>
      </c>
      <c r="B426" s="75" t="s">
        <v>319</v>
      </c>
      <c r="C426" s="75" t="s">
        <v>321</v>
      </c>
      <c r="D426" s="75">
        <v>2026.0</v>
      </c>
      <c r="E426" s="75">
        <v>8.60369054191489E14</v>
      </c>
      <c r="F426" s="76" t="s">
        <v>326</v>
      </c>
      <c r="G426" s="68" t="s">
        <v>328</v>
      </c>
      <c r="H426" s="69">
        <v>46041.0</v>
      </c>
      <c r="I426" s="78" t="s">
        <v>337</v>
      </c>
      <c r="J426" s="78"/>
      <c r="K426" s="79"/>
      <c r="L426" s="80"/>
      <c r="M426" s="81"/>
    </row>
    <row r="427">
      <c r="A427" s="75" t="s">
        <v>1774</v>
      </c>
      <c r="B427" s="75" t="s">
        <v>319</v>
      </c>
      <c r="C427" s="75" t="s">
        <v>321</v>
      </c>
      <c r="D427" s="75">
        <v>2026.0</v>
      </c>
      <c r="E427" s="75">
        <v>8.60369052446992E14</v>
      </c>
      <c r="F427" s="76" t="s">
        <v>326</v>
      </c>
      <c r="G427" s="68" t="s">
        <v>328</v>
      </c>
      <c r="H427" s="69">
        <v>46041.0</v>
      </c>
      <c r="I427" s="78" t="s">
        <v>337</v>
      </c>
      <c r="J427" s="78"/>
      <c r="K427" s="79"/>
      <c r="L427" s="80"/>
      <c r="M427" s="81"/>
    </row>
    <row r="428">
      <c r="A428" s="75" t="s">
        <v>1775</v>
      </c>
      <c r="B428" s="75" t="s">
        <v>319</v>
      </c>
      <c r="C428" s="75" t="s">
        <v>1247</v>
      </c>
      <c r="D428" s="75">
        <v>2026.0</v>
      </c>
      <c r="E428" s="75">
        <v>8.60369054162415E14</v>
      </c>
      <c r="F428" s="76" t="s">
        <v>326</v>
      </c>
      <c r="G428" s="68" t="s">
        <v>328</v>
      </c>
      <c r="H428" s="69">
        <v>46041.0</v>
      </c>
      <c r="I428" s="78" t="s">
        <v>337</v>
      </c>
      <c r="J428" s="78"/>
      <c r="K428" s="79"/>
      <c r="L428" s="80"/>
      <c r="M428" s="81"/>
    </row>
    <row r="429">
      <c r="A429" s="75" t="s">
        <v>1780</v>
      </c>
      <c r="B429" s="75" t="s">
        <v>319</v>
      </c>
      <c r="C429" s="75" t="s">
        <v>321</v>
      </c>
      <c r="D429" s="75">
        <v>2026.0</v>
      </c>
      <c r="E429" s="75">
        <v>8.60369052706676E14</v>
      </c>
      <c r="F429" s="76" t="s">
        <v>326</v>
      </c>
      <c r="G429" s="68" t="s">
        <v>328</v>
      </c>
      <c r="H429" s="69">
        <v>46044.0</v>
      </c>
      <c r="I429" s="78" t="s">
        <v>337</v>
      </c>
      <c r="J429" s="78"/>
      <c r="K429" s="79"/>
      <c r="L429" s="80"/>
      <c r="M429" s="81"/>
    </row>
    <row r="430">
      <c r="A430" s="75" t="s">
        <v>1782</v>
      </c>
      <c r="B430" s="75" t="s">
        <v>319</v>
      </c>
      <c r="C430" s="75" t="s">
        <v>321</v>
      </c>
      <c r="D430" s="75">
        <v>2026.0</v>
      </c>
      <c r="E430" s="75">
        <v>8.60369052169842E14</v>
      </c>
      <c r="F430" s="76" t="s">
        <v>326</v>
      </c>
      <c r="G430" s="68" t="s">
        <v>328</v>
      </c>
      <c r="H430" s="69">
        <v>46044.0</v>
      </c>
      <c r="I430" s="78" t="s">
        <v>337</v>
      </c>
      <c r="J430" s="78"/>
      <c r="K430" s="79"/>
      <c r="L430" s="80"/>
      <c r="M430" s="81"/>
    </row>
    <row r="431">
      <c r="A431" s="78" t="s">
        <v>1786</v>
      </c>
      <c r="B431" s="75" t="s">
        <v>319</v>
      </c>
      <c r="C431" s="75" t="s">
        <v>321</v>
      </c>
      <c r="D431" s="78">
        <v>2026.0</v>
      </c>
      <c r="E431" s="78">
        <v>8.60369052143052E14</v>
      </c>
      <c r="F431" s="76" t="s">
        <v>326</v>
      </c>
      <c r="G431" s="68" t="s">
        <v>328</v>
      </c>
      <c r="H431" s="69">
        <v>46044.0</v>
      </c>
      <c r="I431" s="78" t="s">
        <v>337</v>
      </c>
      <c r="J431" s="78"/>
      <c r="K431" s="81"/>
      <c r="L431" s="80"/>
      <c r="M431" s="81"/>
    </row>
    <row r="432">
      <c r="A432" s="78" t="s">
        <v>1789</v>
      </c>
      <c r="B432" s="75" t="s">
        <v>319</v>
      </c>
      <c r="C432" s="75" t="s">
        <v>321</v>
      </c>
      <c r="D432" s="78">
        <v>2026.0</v>
      </c>
      <c r="E432" s="78">
        <v>8.60369052448709E14</v>
      </c>
      <c r="F432" s="76" t="s">
        <v>326</v>
      </c>
      <c r="G432" s="68" t="s">
        <v>328</v>
      </c>
      <c r="H432" s="69">
        <v>46044.0</v>
      </c>
      <c r="I432" s="78" t="s">
        <v>337</v>
      </c>
      <c r="J432" s="78"/>
      <c r="K432" s="81"/>
      <c r="L432" s="80"/>
      <c r="M432" s="81"/>
    </row>
    <row r="433">
      <c r="A433" s="78" t="s">
        <v>1791</v>
      </c>
      <c r="B433" s="75" t="s">
        <v>319</v>
      </c>
      <c r="C433" s="75" t="s">
        <v>321</v>
      </c>
      <c r="D433" s="78">
        <v>2026.0</v>
      </c>
      <c r="E433" s="78">
        <v>8.60369052435755E14</v>
      </c>
      <c r="F433" s="76" t="s">
        <v>326</v>
      </c>
      <c r="G433" s="68" t="s">
        <v>328</v>
      </c>
      <c r="H433" s="69">
        <v>46044.0</v>
      </c>
      <c r="I433" s="78" t="s">
        <v>337</v>
      </c>
      <c r="J433" s="78"/>
      <c r="K433" s="81"/>
      <c r="L433" s="80"/>
      <c r="M433" s="81"/>
    </row>
    <row r="434">
      <c r="A434" s="75" t="s">
        <v>1793</v>
      </c>
      <c r="B434" s="75" t="s">
        <v>319</v>
      </c>
      <c r="C434" s="75" t="s">
        <v>321</v>
      </c>
      <c r="D434" s="75">
        <v>2021.0</v>
      </c>
      <c r="E434" s="75">
        <v>8.6036905416644E14</v>
      </c>
      <c r="F434" s="76" t="s">
        <v>326</v>
      </c>
      <c r="G434" s="68" t="s">
        <v>471</v>
      </c>
      <c r="H434" s="69">
        <v>46045.0</v>
      </c>
      <c r="I434" s="78" t="s">
        <v>337</v>
      </c>
      <c r="J434" s="78"/>
      <c r="K434" s="79"/>
      <c r="L434" s="80"/>
      <c r="M434" s="81"/>
    </row>
    <row r="435">
      <c r="A435" s="65" t="s">
        <v>1795</v>
      </c>
      <c r="B435" s="65" t="s">
        <v>389</v>
      </c>
      <c r="C435" s="65" t="s">
        <v>1292</v>
      </c>
      <c r="D435" s="65">
        <v>2023.0</v>
      </c>
      <c r="E435" s="65">
        <v>8.60369054743883E14</v>
      </c>
      <c r="F435" s="65" t="s">
        <v>326</v>
      </c>
      <c r="G435" s="192" t="s">
        <v>642</v>
      </c>
      <c r="H435" s="69">
        <v>46046.0</v>
      </c>
      <c r="I435" s="65" t="s">
        <v>337</v>
      </c>
      <c r="J435" s="71"/>
      <c r="K435" s="73"/>
      <c r="L435" s="73"/>
      <c r="M435" s="73" t="s">
        <v>338</v>
      </c>
    </row>
    <row r="436">
      <c r="A436" s="65" t="s">
        <v>1799</v>
      </c>
      <c r="B436" s="65" t="s">
        <v>389</v>
      </c>
      <c r="C436" s="65" t="s">
        <v>1292</v>
      </c>
      <c r="D436" s="65">
        <v>2023.0</v>
      </c>
      <c r="E436" s="65">
        <v>8.60369054188444E14</v>
      </c>
      <c r="F436" s="65" t="s">
        <v>326</v>
      </c>
      <c r="G436" s="192" t="s">
        <v>642</v>
      </c>
      <c r="H436" s="69">
        <v>46046.0</v>
      </c>
      <c r="I436" s="65" t="s">
        <v>337</v>
      </c>
      <c r="J436" s="71"/>
      <c r="K436" s="73"/>
      <c r="L436" s="73"/>
      <c r="M436" s="73" t="s">
        <v>338</v>
      </c>
    </row>
    <row r="437">
      <c r="A437" s="65" t="s">
        <v>1801</v>
      </c>
      <c r="B437" s="65" t="s">
        <v>389</v>
      </c>
      <c r="C437" s="65" t="s">
        <v>1292</v>
      </c>
      <c r="D437" s="65">
        <v>2023.0</v>
      </c>
      <c r="E437" s="65">
        <v>8.60369054200314E14</v>
      </c>
      <c r="F437" s="65" t="s">
        <v>326</v>
      </c>
      <c r="G437" s="192" t="s">
        <v>642</v>
      </c>
      <c r="H437" s="69">
        <v>46046.0</v>
      </c>
      <c r="I437" s="65" t="s">
        <v>337</v>
      </c>
      <c r="J437" s="71"/>
      <c r="K437" s="73"/>
      <c r="L437" s="73"/>
      <c r="M437" s="73" t="s">
        <v>338</v>
      </c>
    </row>
    <row r="438">
      <c r="A438" s="65" t="s">
        <v>1806</v>
      </c>
      <c r="B438" s="65" t="s">
        <v>389</v>
      </c>
      <c r="C438" s="65" t="s">
        <v>1292</v>
      </c>
      <c r="D438" s="65">
        <v>2025.0</v>
      </c>
      <c r="E438" s="65">
        <v>8.6036905472692E14</v>
      </c>
      <c r="F438" s="65" t="s">
        <v>326</v>
      </c>
      <c r="G438" s="192" t="s">
        <v>642</v>
      </c>
      <c r="H438" s="69">
        <v>46046.0</v>
      </c>
      <c r="I438" s="65" t="s">
        <v>337</v>
      </c>
      <c r="J438" s="71"/>
      <c r="K438" s="73"/>
      <c r="L438" s="73"/>
      <c r="M438" s="73" t="s">
        <v>338</v>
      </c>
    </row>
    <row r="439">
      <c r="A439" s="65" t="s">
        <v>1808</v>
      </c>
      <c r="B439" s="65" t="s">
        <v>389</v>
      </c>
      <c r="C439" s="65" t="s">
        <v>1292</v>
      </c>
      <c r="D439" s="65">
        <v>2023.0</v>
      </c>
      <c r="E439" s="65">
        <v>8.60369054123003E14</v>
      </c>
      <c r="F439" s="65" t="s">
        <v>326</v>
      </c>
      <c r="G439" s="192" t="s">
        <v>642</v>
      </c>
      <c r="H439" s="69">
        <v>46046.0</v>
      </c>
      <c r="I439" s="65" t="s">
        <v>337</v>
      </c>
      <c r="J439" s="71"/>
      <c r="K439" s="73"/>
      <c r="L439" s="73"/>
      <c r="M439" s="73" t="s">
        <v>338</v>
      </c>
    </row>
    <row r="440">
      <c r="A440" s="65" t="s">
        <v>1811</v>
      </c>
      <c r="B440" s="65" t="s">
        <v>319</v>
      </c>
      <c r="C440" s="65" t="s">
        <v>321</v>
      </c>
      <c r="D440" s="65">
        <v>2026.0</v>
      </c>
      <c r="E440" s="65">
        <v>8.60369053335145E14</v>
      </c>
      <c r="F440" s="65" t="s">
        <v>326</v>
      </c>
      <c r="G440" s="192" t="s">
        <v>328</v>
      </c>
      <c r="H440" s="69">
        <v>46046.0</v>
      </c>
      <c r="I440" s="65" t="s">
        <v>337</v>
      </c>
      <c r="J440" s="71"/>
      <c r="K440" s="73"/>
      <c r="L440" s="73"/>
      <c r="M440" s="73" t="s">
        <v>338</v>
      </c>
    </row>
    <row r="441">
      <c r="A441" s="65" t="s">
        <v>1814</v>
      </c>
      <c r="B441" s="65" t="s">
        <v>389</v>
      </c>
      <c r="C441" s="65" t="s">
        <v>1292</v>
      </c>
      <c r="D441" s="65">
        <v>2023.0</v>
      </c>
      <c r="E441" s="65">
        <v>8.60369054763022E14</v>
      </c>
      <c r="F441" s="65" t="s">
        <v>326</v>
      </c>
      <c r="G441" s="192" t="s">
        <v>642</v>
      </c>
      <c r="H441" s="69">
        <v>46046.0</v>
      </c>
      <c r="I441" s="65" t="s">
        <v>337</v>
      </c>
      <c r="J441" s="71"/>
      <c r="K441" s="73"/>
      <c r="L441" s="73"/>
      <c r="M441" s="73" t="s">
        <v>338</v>
      </c>
    </row>
    <row r="442">
      <c r="A442" s="65" t="s">
        <v>1817</v>
      </c>
      <c r="B442" s="65" t="s">
        <v>389</v>
      </c>
      <c r="C442" s="65" t="s">
        <v>1292</v>
      </c>
      <c r="D442" s="65">
        <v>2023.0</v>
      </c>
      <c r="E442" s="65">
        <v>8.60369054763048E14</v>
      </c>
      <c r="F442" s="65" t="s">
        <v>326</v>
      </c>
      <c r="G442" s="192" t="s">
        <v>642</v>
      </c>
      <c r="H442" s="69">
        <v>46046.0</v>
      </c>
      <c r="I442" s="65" t="s">
        <v>337</v>
      </c>
      <c r="J442" s="71"/>
      <c r="K442" s="73"/>
      <c r="L442" s="73"/>
      <c r="M442" s="73" t="s">
        <v>338</v>
      </c>
    </row>
    <row r="443">
      <c r="A443" s="65" t="s">
        <v>1820</v>
      </c>
      <c r="B443" s="65" t="s">
        <v>389</v>
      </c>
      <c r="C443" s="65" t="s">
        <v>1292</v>
      </c>
      <c r="D443" s="65">
        <v>2023.0</v>
      </c>
      <c r="E443" s="65">
        <v>8.60369052173265E14</v>
      </c>
      <c r="F443" s="65" t="s">
        <v>326</v>
      </c>
      <c r="G443" s="192" t="s">
        <v>642</v>
      </c>
      <c r="H443" s="69">
        <v>46046.0</v>
      </c>
      <c r="I443" s="65" t="s">
        <v>337</v>
      </c>
      <c r="J443" s="71"/>
      <c r="K443" s="73"/>
      <c r="L443" s="73"/>
      <c r="M443" s="73" t="s">
        <v>338</v>
      </c>
    </row>
    <row r="444">
      <c r="A444" s="76" t="s">
        <v>1822</v>
      </c>
      <c r="B444" s="75" t="s">
        <v>319</v>
      </c>
      <c r="C444" s="75" t="s">
        <v>321</v>
      </c>
      <c r="D444" s="75">
        <v>2026.0</v>
      </c>
      <c r="E444" s="75">
        <v>8.60369052142872E14</v>
      </c>
      <c r="F444" s="76" t="s">
        <v>326</v>
      </c>
      <c r="G444" s="68" t="s">
        <v>328</v>
      </c>
      <c r="H444" s="69">
        <v>46048.0</v>
      </c>
      <c r="I444" s="78" t="s">
        <v>337</v>
      </c>
      <c r="J444" s="78"/>
      <c r="K444" s="79"/>
      <c r="L444" s="80"/>
      <c r="M444" s="81"/>
    </row>
    <row r="445">
      <c r="A445" s="75" t="s">
        <v>1826</v>
      </c>
      <c r="B445" s="75" t="s">
        <v>319</v>
      </c>
      <c r="C445" s="75" t="s">
        <v>321</v>
      </c>
      <c r="D445" s="75">
        <v>2026.0</v>
      </c>
      <c r="E445" s="75">
        <v>8.60369052414594E14</v>
      </c>
      <c r="F445" s="76" t="s">
        <v>326</v>
      </c>
      <c r="G445" s="68" t="s">
        <v>328</v>
      </c>
      <c r="H445" s="69">
        <v>46048.0</v>
      </c>
      <c r="I445" s="78" t="s">
        <v>337</v>
      </c>
      <c r="J445" s="78"/>
      <c r="K445" s="79"/>
      <c r="L445" s="80"/>
      <c r="M445" s="81"/>
    </row>
    <row r="446">
      <c r="A446" s="75" t="s">
        <v>1829</v>
      </c>
      <c r="B446" s="75" t="s">
        <v>319</v>
      </c>
      <c r="C446" s="75" t="s">
        <v>321</v>
      </c>
      <c r="D446" s="75">
        <v>2026.0</v>
      </c>
      <c r="E446" s="75">
        <v>8.6036905077842E14</v>
      </c>
      <c r="F446" s="76" t="s">
        <v>326</v>
      </c>
      <c r="G446" s="68" t="s">
        <v>328</v>
      </c>
      <c r="H446" s="69">
        <v>46048.0</v>
      </c>
      <c r="I446" s="78" t="s">
        <v>337</v>
      </c>
      <c r="J446" s="78"/>
      <c r="K446" s="79"/>
      <c r="L446" s="80"/>
      <c r="M446" s="81"/>
    </row>
    <row r="447">
      <c r="A447" s="76" t="s">
        <v>1832</v>
      </c>
      <c r="B447" s="75" t="s">
        <v>319</v>
      </c>
      <c r="C447" s="75" t="s">
        <v>321</v>
      </c>
      <c r="D447" s="75">
        <v>2026.0</v>
      </c>
      <c r="E447" s="75">
        <v>8.60369052706585E14</v>
      </c>
      <c r="F447" s="76" t="s">
        <v>326</v>
      </c>
      <c r="G447" s="68" t="s">
        <v>328</v>
      </c>
      <c r="H447" s="69">
        <v>46049.0</v>
      </c>
      <c r="I447" s="78" t="s">
        <v>337</v>
      </c>
      <c r="J447" s="78"/>
      <c r="K447" s="79"/>
      <c r="L447" s="80"/>
      <c r="M447" s="81"/>
    </row>
    <row r="448">
      <c r="A448" s="75" t="s">
        <v>1833</v>
      </c>
      <c r="B448" s="75" t="s">
        <v>319</v>
      </c>
      <c r="C448" s="75" t="s">
        <v>321</v>
      </c>
      <c r="D448" s="75">
        <v>2026.0</v>
      </c>
      <c r="E448" s="75">
        <v>8.6036905242615E14</v>
      </c>
      <c r="F448" s="76" t="s">
        <v>326</v>
      </c>
      <c r="G448" s="68" t="s">
        <v>674</v>
      </c>
      <c r="H448" s="69">
        <v>46050.0</v>
      </c>
      <c r="I448" s="78" t="s">
        <v>337</v>
      </c>
      <c r="J448" s="78"/>
      <c r="K448" s="79"/>
      <c r="L448" s="80"/>
      <c r="M448" s="81"/>
    </row>
    <row r="449">
      <c r="A449" s="75" t="s">
        <v>1836</v>
      </c>
      <c r="B449" s="75" t="s">
        <v>319</v>
      </c>
      <c r="C449" s="75" t="s">
        <v>321</v>
      </c>
      <c r="D449" s="75">
        <v>2021.0</v>
      </c>
      <c r="E449" s="75">
        <v>8.60369052444724E14</v>
      </c>
      <c r="F449" s="76" t="s">
        <v>326</v>
      </c>
      <c r="G449" s="68" t="s">
        <v>328</v>
      </c>
      <c r="H449" s="69">
        <v>46051.0</v>
      </c>
      <c r="I449" s="78" t="s">
        <v>337</v>
      </c>
      <c r="J449" s="78"/>
      <c r="K449" s="79"/>
      <c r="L449" s="80"/>
      <c r="M449" s="81"/>
    </row>
    <row r="450">
      <c r="A450" s="65" t="s">
        <v>1839</v>
      </c>
      <c r="B450" s="65" t="s">
        <v>319</v>
      </c>
      <c r="C450" s="65" t="s">
        <v>1239</v>
      </c>
      <c r="D450" s="65">
        <v>2026.0</v>
      </c>
      <c r="E450" s="65">
        <v>8.60369054408545E14</v>
      </c>
      <c r="F450" s="65" t="s">
        <v>326</v>
      </c>
      <c r="G450" s="192" t="s">
        <v>328</v>
      </c>
      <c r="H450" s="69">
        <v>46057.0</v>
      </c>
      <c r="I450" s="65" t="s">
        <v>337</v>
      </c>
      <c r="J450" s="71"/>
      <c r="K450" s="73"/>
      <c r="L450" s="73"/>
      <c r="M450" s="73" t="s">
        <v>338</v>
      </c>
    </row>
    <row r="451">
      <c r="A451" s="65" t="s">
        <v>1840</v>
      </c>
      <c r="B451" s="65" t="s">
        <v>319</v>
      </c>
      <c r="C451" s="65" t="s">
        <v>1239</v>
      </c>
      <c r="D451" s="65">
        <v>2026.0</v>
      </c>
      <c r="E451" s="65">
        <v>8.60369054759384E14</v>
      </c>
      <c r="F451" s="65" t="s">
        <v>326</v>
      </c>
      <c r="G451" s="192" t="s">
        <v>328</v>
      </c>
      <c r="H451" s="69">
        <v>46057.0</v>
      </c>
      <c r="I451" s="65" t="s">
        <v>337</v>
      </c>
      <c r="J451" s="71"/>
      <c r="K451" s="73"/>
      <c r="L451" s="73"/>
      <c r="M451" s="73" t="s">
        <v>338</v>
      </c>
    </row>
    <row r="452">
      <c r="A452" s="65" t="s">
        <v>1842</v>
      </c>
      <c r="B452" s="65" t="s">
        <v>319</v>
      </c>
      <c r="C452" s="65" t="s">
        <v>1239</v>
      </c>
      <c r="D452" s="65">
        <v>2026.0</v>
      </c>
      <c r="E452" s="65">
        <v>8.60369054195787E14</v>
      </c>
      <c r="F452" s="65" t="s">
        <v>326</v>
      </c>
      <c r="G452" s="192" t="s">
        <v>328</v>
      </c>
      <c r="H452" s="69">
        <v>46057.0</v>
      </c>
      <c r="I452" s="65" t="s">
        <v>337</v>
      </c>
      <c r="J452" s="71"/>
      <c r="K452" s="71"/>
      <c r="L452" s="73"/>
      <c r="M452" s="73" t="s">
        <v>338</v>
      </c>
    </row>
    <row r="453">
      <c r="A453" s="65" t="s">
        <v>1844</v>
      </c>
      <c r="B453" s="65" t="s">
        <v>319</v>
      </c>
      <c r="C453" s="65" t="s">
        <v>1239</v>
      </c>
      <c r="D453" s="65">
        <v>2026.0</v>
      </c>
      <c r="E453" s="65">
        <v>8.60369052689419E14</v>
      </c>
      <c r="F453" s="65" t="s">
        <v>326</v>
      </c>
      <c r="G453" s="192" t="s">
        <v>328</v>
      </c>
      <c r="H453" s="69">
        <v>46057.0</v>
      </c>
      <c r="I453" s="65" t="s">
        <v>337</v>
      </c>
      <c r="J453" s="71"/>
      <c r="K453" s="71"/>
      <c r="L453" s="73"/>
      <c r="M453" s="73" t="s">
        <v>338</v>
      </c>
    </row>
    <row r="454">
      <c r="A454" s="65" t="s">
        <v>1847</v>
      </c>
      <c r="B454" s="65" t="s">
        <v>319</v>
      </c>
      <c r="C454" s="65" t="s">
        <v>1239</v>
      </c>
      <c r="D454" s="65">
        <v>2024.0</v>
      </c>
      <c r="E454" s="65">
        <v>8.60369052154323E14</v>
      </c>
      <c r="F454" s="65" t="s">
        <v>326</v>
      </c>
      <c r="G454" s="68" t="s">
        <v>279</v>
      </c>
      <c r="H454" s="69">
        <v>46058.0</v>
      </c>
      <c r="I454" s="195" t="s">
        <v>1240</v>
      </c>
      <c r="J454" s="71"/>
      <c r="K454" s="65" t="s">
        <v>1241</v>
      </c>
      <c r="L454" s="73"/>
      <c r="M454" s="73" t="s">
        <v>338</v>
      </c>
    </row>
    <row r="455">
      <c r="A455" s="195" t="s">
        <v>1851</v>
      </c>
      <c r="B455" s="195" t="s">
        <v>319</v>
      </c>
      <c r="C455" s="195" t="s">
        <v>723</v>
      </c>
      <c r="D455" s="78">
        <v>2026.0</v>
      </c>
      <c r="E455" s="78">
        <v>8.60369054737612E14</v>
      </c>
      <c r="F455" s="65" t="s">
        <v>326</v>
      </c>
      <c r="G455" s="210" t="s">
        <v>230</v>
      </c>
      <c r="H455" s="69">
        <v>46183.0</v>
      </c>
      <c r="I455" s="195" t="s">
        <v>337</v>
      </c>
      <c r="J455" s="71"/>
      <c r="K455" s="65" t="s">
        <v>1241</v>
      </c>
      <c r="L455" s="73"/>
      <c r="M455" s="73" t="s">
        <v>338</v>
      </c>
    </row>
    <row r="456">
      <c r="A456" s="75" t="s">
        <v>1854</v>
      </c>
      <c r="B456" s="75" t="s">
        <v>319</v>
      </c>
      <c r="C456" s="75" t="s">
        <v>1247</v>
      </c>
      <c r="D456" s="75">
        <v>2024.0</v>
      </c>
      <c r="E456" s="75">
        <v>8.60369054188485E14</v>
      </c>
      <c r="F456" s="76" t="s">
        <v>326</v>
      </c>
      <c r="G456" s="68" t="s">
        <v>328</v>
      </c>
      <c r="H456" s="69">
        <v>45658.0</v>
      </c>
      <c r="I456" s="78" t="s">
        <v>337</v>
      </c>
      <c r="J456" s="78"/>
      <c r="K456" s="79"/>
      <c r="L456" s="80"/>
      <c r="M456" s="81"/>
    </row>
    <row r="457">
      <c r="A457" s="65" t="s">
        <v>1858</v>
      </c>
      <c r="B457" s="65" t="s">
        <v>319</v>
      </c>
      <c r="C457" s="65" t="s">
        <v>1239</v>
      </c>
      <c r="D457" s="65">
        <v>2024.0</v>
      </c>
      <c r="E457" s="65">
        <v>8.60369050815578E14</v>
      </c>
      <c r="F457" s="65" t="s">
        <v>326</v>
      </c>
      <c r="G457" s="68" t="s">
        <v>279</v>
      </c>
      <c r="H457" s="69">
        <v>46058.0</v>
      </c>
      <c r="I457" s="195" t="s">
        <v>1240</v>
      </c>
      <c r="J457" s="71"/>
      <c r="K457" s="65" t="s">
        <v>1241</v>
      </c>
      <c r="L457" s="73"/>
      <c r="M457" s="73" t="s">
        <v>338</v>
      </c>
    </row>
    <row r="458">
      <c r="A458" s="75" t="s">
        <v>1860</v>
      </c>
      <c r="B458" s="75" t="s">
        <v>319</v>
      </c>
      <c r="C458" s="75" t="s">
        <v>1247</v>
      </c>
      <c r="D458" s="75">
        <v>2024.0</v>
      </c>
      <c r="E458" s="75">
        <v>8.60369054155948E14</v>
      </c>
      <c r="F458" s="76" t="s">
        <v>326</v>
      </c>
      <c r="G458" s="68" t="s">
        <v>328</v>
      </c>
      <c r="H458" s="69">
        <v>45658.0</v>
      </c>
      <c r="I458" s="78" t="s">
        <v>337</v>
      </c>
      <c r="J458" s="78"/>
      <c r="K458" s="79"/>
      <c r="L458" s="80"/>
      <c r="M458" s="81"/>
    </row>
    <row r="459">
      <c r="A459" s="75" t="s">
        <v>1862</v>
      </c>
      <c r="B459" s="75" t="s">
        <v>319</v>
      </c>
      <c r="C459" s="75" t="s">
        <v>376</v>
      </c>
      <c r="D459" s="75">
        <v>2019.0</v>
      </c>
      <c r="E459" s="75">
        <v>8.60369052440524E14</v>
      </c>
      <c r="F459" s="76" t="s">
        <v>326</v>
      </c>
      <c r="G459" s="68" t="s">
        <v>471</v>
      </c>
      <c r="H459" s="69">
        <v>46059.0</v>
      </c>
      <c r="I459" s="78" t="s">
        <v>337</v>
      </c>
      <c r="J459" s="78"/>
      <c r="K459" s="79"/>
      <c r="L459" s="80"/>
      <c r="M459" s="81"/>
    </row>
    <row r="460">
      <c r="A460" s="65" t="s">
        <v>1865</v>
      </c>
      <c r="B460" s="65" t="s">
        <v>374</v>
      </c>
      <c r="C460" s="65" t="s">
        <v>1866</v>
      </c>
      <c r="D460" s="65">
        <v>2025.0</v>
      </c>
      <c r="E460" s="65">
        <v>8.60369054413115E14</v>
      </c>
      <c r="F460" s="65" t="s">
        <v>326</v>
      </c>
      <c r="G460" s="68" t="s">
        <v>279</v>
      </c>
      <c r="H460" s="69">
        <v>46063.0</v>
      </c>
      <c r="I460" s="195" t="s">
        <v>1240</v>
      </c>
      <c r="J460" s="71"/>
      <c r="K460" s="73"/>
      <c r="L460" s="73"/>
      <c r="M460" s="73" t="s">
        <v>338</v>
      </c>
    </row>
    <row r="461">
      <c r="A461" s="75" t="s">
        <v>1869</v>
      </c>
      <c r="B461" s="75" t="s">
        <v>319</v>
      </c>
      <c r="C461" s="75" t="s">
        <v>1247</v>
      </c>
      <c r="D461" s="75">
        <v>2024.0</v>
      </c>
      <c r="E461" s="75">
        <v>8.60369052708854E14</v>
      </c>
      <c r="F461" s="76" t="s">
        <v>326</v>
      </c>
      <c r="G461" s="68" t="s">
        <v>328</v>
      </c>
      <c r="H461" s="69">
        <v>45658.0</v>
      </c>
      <c r="I461" s="78" t="s">
        <v>337</v>
      </c>
      <c r="J461" s="78"/>
      <c r="K461" s="79"/>
      <c r="L461" s="80"/>
      <c r="M461" s="81"/>
    </row>
    <row r="462">
      <c r="A462" s="75" t="s">
        <v>1871</v>
      </c>
      <c r="B462" s="75" t="s">
        <v>319</v>
      </c>
      <c r="C462" s="75" t="s">
        <v>1247</v>
      </c>
      <c r="D462" s="75">
        <v>2024.0</v>
      </c>
      <c r="E462" s="75">
        <v>8.60369054406432E14</v>
      </c>
      <c r="F462" s="76" t="s">
        <v>326</v>
      </c>
      <c r="G462" s="68" t="s">
        <v>328</v>
      </c>
      <c r="H462" s="69">
        <v>45658.0</v>
      </c>
      <c r="I462" s="78" t="s">
        <v>337</v>
      </c>
      <c r="J462" s="78"/>
      <c r="K462" s="79"/>
      <c r="L462" s="110" t="s">
        <v>1873</v>
      </c>
      <c r="M462" s="81"/>
    </row>
    <row r="463">
      <c r="A463" s="78" t="s">
        <v>1874</v>
      </c>
      <c r="B463" s="75" t="s">
        <v>884</v>
      </c>
      <c r="C463" s="75" t="s">
        <v>1666</v>
      </c>
      <c r="D463" s="78">
        <v>2018.0</v>
      </c>
      <c r="E463" s="78">
        <v>8.60369055023632E14</v>
      </c>
      <c r="F463" s="76" t="s">
        <v>326</v>
      </c>
      <c r="G463" s="68" t="s">
        <v>271</v>
      </c>
      <c r="H463" s="69">
        <v>46065.0</v>
      </c>
      <c r="I463" s="78" t="s">
        <v>337</v>
      </c>
      <c r="J463" s="78"/>
      <c r="K463" s="81"/>
      <c r="L463" s="80"/>
      <c r="M463" s="81"/>
    </row>
    <row r="464">
      <c r="A464" s="78" t="s">
        <v>1876</v>
      </c>
      <c r="B464" s="75" t="s">
        <v>884</v>
      </c>
      <c r="C464" s="75" t="s">
        <v>1666</v>
      </c>
      <c r="D464" s="78">
        <v>2022.0</v>
      </c>
      <c r="E464" s="78">
        <v>8.60369055007486E14</v>
      </c>
      <c r="F464" s="76" t="s">
        <v>326</v>
      </c>
      <c r="G464" s="68" t="s">
        <v>271</v>
      </c>
      <c r="H464" s="69">
        <v>46065.0</v>
      </c>
      <c r="I464" s="78" t="s">
        <v>337</v>
      </c>
      <c r="J464" s="78"/>
      <c r="K464" s="78" t="s">
        <v>1241</v>
      </c>
      <c r="L464" s="80"/>
      <c r="M464" s="81"/>
    </row>
    <row r="465">
      <c r="A465" s="78" t="s">
        <v>1878</v>
      </c>
      <c r="B465" s="75" t="s">
        <v>389</v>
      </c>
      <c r="C465" s="75" t="s">
        <v>1879</v>
      </c>
      <c r="D465" s="78">
        <v>2018.0</v>
      </c>
      <c r="E465" s="78">
        <v>8.60369055026635E14</v>
      </c>
      <c r="F465" s="76" t="s">
        <v>326</v>
      </c>
      <c r="G465" s="68" t="s">
        <v>271</v>
      </c>
      <c r="H465" s="69">
        <v>46065.0</v>
      </c>
      <c r="I465" s="78" t="s">
        <v>337</v>
      </c>
      <c r="J465" s="78"/>
      <c r="K465" s="78" t="s">
        <v>1241</v>
      </c>
      <c r="L465" s="80"/>
      <c r="M465" s="81"/>
    </row>
    <row r="466">
      <c r="A466" s="78" t="s">
        <v>1882</v>
      </c>
      <c r="B466" s="75" t="s">
        <v>884</v>
      </c>
      <c r="C466" s="75" t="s">
        <v>1666</v>
      </c>
      <c r="D466" s="78">
        <v>2019.0</v>
      </c>
      <c r="E466" s="78">
        <v>8.60369054978588E14</v>
      </c>
      <c r="F466" s="76" t="s">
        <v>326</v>
      </c>
      <c r="G466" s="68" t="s">
        <v>271</v>
      </c>
      <c r="H466" s="69">
        <v>46065.0</v>
      </c>
      <c r="I466" s="78" t="s">
        <v>337</v>
      </c>
      <c r="J466" s="78"/>
      <c r="K466" s="78" t="s">
        <v>1241</v>
      </c>
      <c r="L466" s="80"/>
      <c r="M466" s="81"/>
    </row>
    <row r="467">
      <c r="A467" s="78" t="s">
        <v>1885</v>
      </c>
      <c r="B467" s="75" t="s">
        <v>884</v>
      </c>
      <c r="C467" s="75" t="s">
        <v>1666</v>
      </c>
      <c r="D467" s="78">
        <v>2021.0</v>
      </c>
      <c r="E467" s="78">
        <v>8.60369055025637E14</v>
      </c>
      <c r="F467" s="76" t="s">
        <v>326</v>
      </c>
      <c r="G467" s="68" t="s">
        <v>271</v>
      </c>
      <c r="H467" s="69">
        <v>46065.0</v>
      </c>
      <c r="I467" s="78" t="s">
        <v>337</v>
      </c>
      <c r="J467" s="78"/>
      <c r="K467" s="78" t="s">
        <v>1241</v>
      </c>
      <c r="L467" s="80"/>
      <c r="M467" s="81"/>
    </row>
    <row r="468">
      <c r="A468" s="78" t="s">
        <v>1887</v>
      </c>
      <c r="B468" s="75" t="s">
        <v>884</v>
      </c>
      <c r="C468" s="75" t="s">
        <v>1666</v>
      </c>
      <c r="D468" s="78">
        <v>2021.0</v>
      </c>
      <c r="E468" s="78">
        <v>8.60369054992373E14</v>
      </c>
      <c r="F468" s="76" t="s">
        <v>326</v>
      </c>
      <c r="G468" s="68" t="s">
        <v>271</v>
      </c>
      <c r="H468" s="69">
        <v>46065.0</v>
      </c>
      <c r="I468" s="78" t="s">
        <v>337</v>
      </c>
      <c r="J468" s="78"/>
      <c r="K468" s="78" t="s">
        <v>1241</v>
      </c>
      <c r="L468" s="80"/>
      <c r="M468" s="81"/>
    </row>
    <row r="469">
      <c r="A469" s="78" t="s">
        <v>1891</v>
      </c>
      <c r="B469" s="75" t="s">
        <v>884</v>
      </c>
      <c r="C469" s="75" t="s">
        <v>1666</v>
      </c>
      <c r="D469" s="78">
        <v>2021.0</v>
      </c>
      <c r="E469" s="78">
        <v>8.60369054985807E14</v>
      </c>
      <c r="F469" s="76" t="s">
        <v>326</v>
      </c>
      <c r="G469" s="68" t="s">
        <v>271</v>
      </c>
      <c r="H469" s="69">
        <v>46065.0</v>
      </c>
      <c r="I469" s="78" t="s">
        <v>337</v>
      </c>
      <c r="J469" s="78"/>
      <c r="K469" s="78" t="s">
        <v>1241</v>
      </c>
      <c r="L469" s="80"/>
      <c r="M469" s="81"/>
    </row>
    <row r="470">
      <c r="A470" s="65" t="s">
        <v>1892</v>
      </c>
      <c r="B470" s="65" t="s">
        <v>884</v>
      </c>
      <c r="C470" s="65" t="s">
        <v>1666</v>
      </c>
      <c r="D470" s="65">
        <v>2020.0</v>
      </c>
      <c r="E470" s="65">
        <v>8.60369052460381E14</v>
      </c>
      <c r="F470" s="65" t="s">
        <v>326</v>
      </c>
      <c r="G470" s="192" t="s">
        <v>271</v>
      </c>
      <c r="H470" s="69">
        <v>46065.0</v>
      </c>
      <c r="I470" s="65" t="s">
        <v>337</v>
      </c>
      <c r="J470" s="71"/>
      <c r="K470" s="65" t="s">
        <v>1241</v>
      </c>
      <c r="L470" s="73"/>
      <c r="M470" s="73" t="s">
        <v>338</v>
      </c>
    </row>
    <row r="471">
      <c r="A471" s="78" t="s">
        <v>1893</v>
      </c>
      <c r="B471" s="75" t="s">
        <v>884</v>
      </c>
      <c r="C471" s="75" t="s">
        <v>1894</v>
      </c>
      <c r="D471" s="78">
        <v>2022.0</v>
      </c>
      <c r="E471" s="78">
        <v>8.60369055025728E14</v>
      </c>
      <c r="F471" s="76" t="s">
        <v>326</v>
      </c>
      <c r="G471" s="68" t="s">
        <v>271</v>
      </c>
      <c r="H471" s="69">
        <v>46072.0</v>
      </c>
      <c r="I471" s="78" t="s">
        <v>337</v>
      </c>
      <c r="J471" s="78"/>
      <c r="K471" s="78" t="s">
        <v>1241</v>
      </c>
      <c r="L471" s="80"/>
      <c r="M471" s="81"/>
    </row>
    <row r="472">
      <c r="A472" s="78" t="s">
        <v>1896</v>
      </c>
      <c r="B472" s="75" t="s">
        <v>319</v>
      </c>
      <c r="C472" s="75" t="s">
        <v>1898</v>
      </c>
      <c r="D472" s="78">
        <v>2020.0</v>
      </c>
      <c r="E472" s="78">
        <v>8.60369054946122E14</v>
      </c>
      <c r="F472" s="76" t="s">
        <v>326</v>
      </c>
      <c r="G472" s="68" t="s">
        <v>538</v>
      </c>
      <c r="H472" s="69">
        <v>46073.0</v>
      </c>
      <c r="I472" s="78" t="s">
        <v>337</v>
      </c>
      <c r="J472" s="78"/>
      <c r="K472" s="78" t="s">
        <v>1241</v>
      </c>
      <c r="L472" s="80"/>
      <c r="M472" s="81"/>
    </row>
    <row r="473">
      <c r="A473" s="78" t="s">
        <v>1901</v>
      </c>
      <c r="B473" s="75" t="s">
        <v>884</v>
      </c>
      <c r="C473" s="75" t="s">
        <v>1903</v>
      </c>
      <c r="D473" s="78">
        <v>2023.0</v>
      </c>
      <c r="E473" s="78">
        <v>8.60369054789084E14</v>
      </c>
      <c r="F473" s="76" t="s">
        <v>326</v>
      </c>
      <c r="G473" s="68" t="s">
        <v>538</v>
      </c>
      <c r="H473" s="69">
        <v>46073.0</v>
      </c>
      <c r="I473" s="78" t="s">
        <v>337</v>
      </c>
      <c r="J473" s="78"/>
      <c r="K473" s="78" t="s">
        <v>1241</v>
      </c>
      <c r="L473" s="80"/>
      <c r="M473" s="81"/>
    </row>
    <row r="474">
      <c r="A474" s="75" t="s">
        <v>1905</v>
      </c>
      <c r="B474" s="75" t="s">
        <v>319</v>
      </c>
      <c r="C474" s="75" t="s">
        <v>1247</v>
      </c>
      <c r="D474" s="75">
        <v>2024.0</v>
      </c>
      <c r="E474" s="75">
        <v>8.60369053329015E14</v>
      </c>
      <c r="F474" s="76" t="s">
        <v>326</v>
      </c>
      <c r="G474" s="68" t="s">
        <v>328</v>
      </c>
      <c r="H474" s="69">
        <v>45658.0</v>
      </c>
      <c r="I474" s="78" t="s">
        <v>337</v>
      </c>
      <c r="J474" s="78"/>
      <c r="K474" s="79"/>
      <c r="L474" s="80"/>
      <c r="M474" s="81"/>
    </row>
    <row r="475">
      <c r="A475" s="78" t="s">
        <v>1908</v>
      </c>
      <c r="B475" s="75" t="s">
        <v>319</v>
      </c>
      <c r="C475" s="75" t="s">
        <v>321</v>
      </c>
      <c r="D475" s="78">
        <v>2023.0</v>
      </c>
      <c r="E475" s="78">
        <v>8.60369054945892E14</v>
      </c>
      <c r="F475" s="76" t="s">
        <v>326</v>
      </c>
      <c r="G475" s="68" t="s">
        <v>621</v>
      </c>
      <c r="H475" s="69">
        <v>46074.0</v>
      </c>
      <c r="I475" s="78" t="s">
        <v>1240</v>
      </c>
      <c r="J475" s="78"/>
      <c r="K475" s="78" t="s">
        <v>1241</v>
      </c>
      <c r="L475" s="80"/>
      <c r="M475" s="81"/>
    </row>
    <row r="476">
      <c r="A476" s="65" t="s">
        <v>1910</v>
      </c>
      <c r="B476" s="65" t="s">
        <v>319</v>
      </c>
      <c r="C476" s="65" t="s">
        <v>376</v>
      </c>
      <c r="D476" s="65">
        <v>2021.0</v>
      </c>
      <c r="E476" s="65">
        <v>8.60369051066361E14</v>
      </c>
      <c r="F476" s="65" t="s">
        <v>326</v>
      </c>
      <c r="G476" s="192" t="s">
        <v>621</v>
      </c>
      <c r="H476" s="69">
        <v>46074.0</v>
      </c>
      <c r="I476" s="65" t="s">
        <v>337</v>
      </c>
      <c r="J476" s="71"/>
      <c r="K476" s="198" t="s">
        <v>1241</v>
      </c>
      <c r="L476" s="73"/>
      <c r="M476" s="73" t="s">
        <v>338</v>
      </c>
    </row>
    <row r="477">
      <c r="A477" s="78" t="s">
        <v>1911</v>
      </c>
      <c r="B477" s="75" t="s">
        <v>319</v>
      </c>
      <c r="C477" s="75" t="s">
        <v>376</v>
      </c>
      <c r="D477" s="78">
        <v>2021.0</v>
      </c>
      <c r="E477" s="78">
        <v>8.6036905499922E14</v>
      </c>
      <c r="F477" s="76" t="s">
        <v>326</v>
      </c>
      <c r="G477" s="68" t="s">
        <v>819</v>
      </c>
      <c r="H477" s="69">
        <v>46076.0</v>
      </c>
      <c r="I477" s="78" t="s">
        <v>337</v>
      </c>
      <c r="J477" s="78"/>
      <c r="K477" s="78" t="s">
        <v>1241</v>
      </c>
      <c r="L477" s="80"/>
      <c r="M477" s="81"/>
    </row>
    <row r="478">
      <c r="A478" s="78" t="s">
        <v>1914</v>
      </c>
      <c r="B478" s="75" t="s">
        <v>319</v>
      </c>
      <c r="C478" s="75" t="s">
        <v>376</v>
      </c>
      <c r="D478" s="78">
        <v>2025.0</v>
      </c>
      <c r="E478" s="78">
        <v>8.60369055001018E14</v>
      </c>
      <c r="F478" s="76" t="s">
        <v>326</v>
      </c>
      <c r="G478" s="68" t="s">
        <v>819</v>
      </c>
      <c r="H478" s="69">
        <v>46076.0</v>
      </c>
      <c r="I478" s="78" t="s">
        <v>1240</v>
      </c>
      <c r="J478" s="78"/>
      <c r="K478" s="78" t="s">
        <v>1241</v>
      </c>
      <c r="L478" s="80"/>
      <c r="M478" s="81"/>
    </row>
    <row r="479">
      <c r="A479" s="78" t="s">
        <v>1916</v>
      </c>
      <c r="B479" s="75" t="s">
        <v>374</v>
      </c>
      <c r="C479" s="75" t="s">
        <v>1918</v>
      </c>
      <c r="D479" s="78">
        <v>2022.0</v>
      </c>
      <c r="E479" s="78">
        <v>8.60369055016438E14</v>
      </c>
      <c r="F479" s="76" t="s">
        <v>326</v>
      </c>
      <c r="G479" s="68" t="s">
        <v>653</v>
      </c>
      <c r="H479" s="69">
        <v>46076.0</v>
      </c>
      <c r="I479" s="78" t="s">
        <v>337</v>
      </c>
      <c r="J479" s="78"/>
      <c r="K479" s="78" t="s">
        <v>1241</v>
      </c>
      <c r="L479" s="80"/>
      <c r="M479" s="81"/>
    </row>
    <row r="480">
      <c r="A480" s="78" t="s">
        <v>1920</v>
      </c>
      <c r="B480" s="75" t="s">
        <v>374</v>
      </c>
      <c r="C480" s="75" t="s">
        <v>1918</v>
      </c>
      <c r="D480" s="78">
        <v>2022.0</v>
      </c>
      <c r="E480" s="78">
        <v>8.60369055023665E14</v>
      </c>
      <c r="F480" s="76" t="s">
        <v>326</v>
      </c>
      <c r="G480" s="68" t="s">
        <v>653</v>
      </c>
      <c r="H480" s="69">
        <v>46076.0</v>
      </c>
      <c r="I480" s="78" t="s">
        <v>337</v>
      </c>
      <c r="J480" s="78"/>
      <c r="K480" s="78" t="s">
        <v>1241</v>
      </c>
      <c r="L480" s="80"/>
      <c r="M480" s="81"/>
    </row>
    <row r="481">
      <c r="A481" s="78" t="s">
        <v>1924</v>
      </c>
      <c r="B481" s="75" t="s">
        <v>374</v>
      </c>
      <c r="C481" s="75" t="s">
        <v>1918</v>
      </c>
      <c r="D481" s="78">
        <v>2023.0</v>
      </c>
      <c r="E481" s="78">
        <v>8.60369055016396E14</v>
      </c>
      <c r="F481" s="76" t="s">
        <v>326</v>
      </c>
      <c r="G481" s="68" t="s">
        <v>653</v>
      </c>
      <c r="H481" s="69">
        <v>46076.0</v>
      </c>
      <c r="I481" s="78" t="s">
        <v>337</v>
      </c>
      <c r="J481" s="78"/>
      <c r="K481" s="81"/>
      <c r="L481" s="80"/>
      <c r="M481" s="81"/>
    </row>
    <row r="482">
      <c r="A482" s="78" t="s">
        <v>1926</v>
      </c>
      <c r="B482" s="75" t="s">
        <v>374</v>
      </c>
      <c r="C482" s="75" t="s">
        <v>1918</v>
      </c>
      <c r="D482" s="78">
        <v>2023.0</v>
      </c>
      <c r="E482" s="78">
        <v>8.60369055023947E14</v>
      </c>
      <c r="F482" s="76" t="s">
        <v>326</v>
      </c>
      <c r="G482" s="68" t="s">
        <v>653</v>
      </c>
      <c r="H482" s="69">
        <v>46076.0</v>
      </c>
      <c r="I482" s="78" t="s">
        <v>337</v>
      </c>
      <c r="J482" s="78"/>
      <c r="K482" s="81"/>
      <c r="L482" s="80"/>
      <c r="M482" s="81"/>
    </row>
    <row r="483">
      <c r="A483" s="78" t="s">
        <v>1928</v>
      </c>
      <c r="B483" s="75" t="s">
        <v>374</v>
      </c>
      <c r="C483" s="75" t="s">
        <v>1918</v>
      </c>
      <c r="D483" s="78">
        <v>2024.0</v>
      </c>
      <c r="E483" s="78">
        <v>8.60369055023541E14</v>
      </c>
      <c r="F483" s="76" t="s">
        <v>326</v>
      </c>
      <c r="G483" s="68" t="s">
        <v>653</v>
      </c>
      <c r="H483" s="69">
        <v>46076.0</v>
      </c>
      <c r="I483" s="78" t="s">
        <v>337</v>
      </c>
      <c r="J483" s="78"/>
      <c r="K483" s="81"/>
      <c r="L483" s="80"/>
      <c r="M483" s="81"/>
    </row>
    <row r="484">
      <c r="A484" s="78" t="s">
        <v>1931</v>
      </c>
      <c r="B484" s="75" t="s">
        <v>374</v>
      </c>
      <c r="C484" s="75" t="s">
        <v>1918</v>
      </c>
      <c r="D484" s="78">
        <v>2023.0</v>
      </c>
      <c r="E484" s="78">
        <v>8.60369055016446E14</v>
      </c>
      <c r="F484" s="76" t="s">
        <v>326</v>
      </c>
      <c r="G484" s="68" t="s">
        <v>653</v>
      </c>
      <c r="H484" s="69">
        <v>46076.0</v>
      </c>
      <c r="I484" s="78" t="s">
        <v>337</v>
      </c>
      <c r="J484" s="78"/>
      <c r="K484" s="81"/>
      <c r="L484" s="80"/>
      <c r="M484" s="81"/>
    </row>
    <row r="485">
      <c r="A485" s="78" t="s">
        <v>1934</v>
      </c>
      <c r="B485" s="75" t="s">
        <v>319</v>
      </c>
      <c r="C485" s="75" t="s">
        <v>321</v>
      </c>
      <c r="D485" s="78">
        <v>2026.0</v>
      </c>
      <c r="E485" s="78">
        <v>8.60369055005332E14</v>
      </c>
      <c r="F485" s="76" t="s">
        <v>326</v>
      </c>
      <c r="G485" s="68" t="s">
        <v>328</v>
      </c>
      <c r="H485" s="69">
        <v>46076.0</v>
      </c>
      <c r="I485" s="78" t="s">
        <v>337</v>
      </c>
      <c r="J485" s="78"/>
      <c r="K485" s="81"/>
      <c r="L485" s="80"/>
      <c r="M485" s="81"/>
    </row>
    <row r="486">
      <c r="A486" s="78" t="s">
        <v>1936</v>
      </c>
      <c r="B486" s="75" t="s">
        <v>319</v>
      </c>
      <c r="C486" s="75" t="s">
        <v>376</v>
      </c>
      <c r="D486" s="78">
        <v>2021.0</v>
      </c>
      <c r="E486" s="78">
        <v>8.60369054998081E14</v>
      </c>
      <c r="F486" s="76" t="s">
        <v>326</v>
      </c>
      <c r="G486" s="68" t="s">
        <v>819</v>
      </c>
      <c r="H486" s="69">
        <v>46077.0</v>
      </c>
      <c r="I486" s="78" t="s">
        <v>337</v>
      </c>
      <c r="J486" s="78"/>
      <c r="K486" s="81"/>
      <c r="L486" s="80"/>
      <c r="M486" s="81"/>
    </row>
    <row r="487">
      <c r="A487" s="65" t="s">
        <v>1939</v>
      </c>
      <c r="B487" s="65" t="s">
        <v>319</v>
      </c>
      <c r="C487" s="65" t="s">
        <v>376</v>
      </c>
      <c r="D487" s="65">
        <v>2022.0</v>
      </c>
      <c r="E487" s="65">
        <v>8.60369055023749E14</v>
      </c>
      <c r="F487" s="205" t="s">
        <v>326</v>
      </c>
      <c r="G487" s="192" t="s">
        <v>664</v>
      </c>
      <c r="H487" s="69">
        <v>46077.0</v>
      </c>
      <c r="I487" s="65" t="s">
        <v>337</v>
      </c>
      <c r="J487" s="71"/>
      <c r="K487" s="73"/>
      <c r="L487" s="73"/>
      <c r="M487" s="73"/>
    </row>
    <row r="488">
      <c r="A488" s="78" t="s">
        <v>1941</v>
      </c>
      <c r="B488" s="75" t="s">
        <v>319</v>
      </c>
      <c r="C488" s="75" t="s">
        <v>321</v>
      </c>
      <c r="D488" s="78">
        <v>2025.0</v>
      </c>
      <c r="E488" s="78">
        <v>8.60369054982994E14</v>
      </c>
      <c r="F488" s="76" t="s">
        <v>326</v>
      </c>
      <c r="G488" s="68" t="s">
        <v>328</v>
      </c>
      <c r="H488" s="69">
        <v>46079.0</v>
      </c>
      <c r="I488" s="78" t="s">
        <v>337</v>
      </c>
      <c r="J488" s="78"/>
      <c r="K488" s="81"/>
      <c r="L488" s="80"/>
      <c r="M488" s="81"/>
    </row>
    <row r="489">
      <c r="A489" s="78" t="s">
        <v>1944</v>
      </c>
      <c r="B489" s="75" t="s">
        <v>319</v>
      </c>
      <c r="C489" s="75" t="s">
        <v>1239</v>
      </c>
      <c r="D489" s="78">
        <v>2026.0</v>
      </c>
      <c r="E489" s="78">
        <v>8.60369055026338E14</v>
      </c>
      <c r="F489" s="76" t="s">
        <v>326</v>
      </c>
      <c r="G489" s="68" t="s">
        <v>328</v>
      </c>
      <c r="H489" s="69">
        <v>46079.0</v>
      </c>
      <c r="I489" s="78" t="s">
        <v>337</v>
      </c>
      <c r="J489" s="78"/>
      <c r="K489" s="81"/>
      <c r="L489" s="80"/>
      <c r="M489" s="81"/>
    </row>
    <row r="490">
      <c r="A490" s="78" t="s">
        <v>1947</v>
      </c>
      <c r="B490" s="75" t="s">
        <v>319</v>
      </c>
      <c r="C490" s="75" t="s">
        <v>1239</v>
      </c>
      <c r="D490" s="78">
        <v>2026.0</v>
      </c>
      <c r="E490" s="78">
        <v>8.60369054907397E14</v>
      </c>
      <c r="F490" s="76" t="s">
        <v>326</v>
      </c>
      <c r="G490" s="68" t="s">
        <v>328</v>
      </c>
      <c r="H490" s="69">
        <v>46079.0</v>
      </c>
      <c r="I490" s="78" t="s">
        <v>337</v>
      </c>
      <c r="J490" s="78"/>
      <c r="K490" s="81"/>
      <c r="L490" s="80"/>
      <c r="M490" s="81"/>
    </row>
    <row r="491">
      <c r="A491" s="78" t="s">
        <v>1948</v>
      </c>
      <c r="B491" s="75" t="s">
        <v>319</v>
      </c>
      <c r="C491" s="75" t="s">
        <v>1239</v>
      </c>
      <c r="D491" s="78">
        <v>2026.0</v>
      </c>
      <c r="E491" s="78">
        <v>8.60369054981384E14</v>
      </c>
      <c r="F491" s="76" t="s">
        <v>326</v>
      </c>
      <c r="G491" s="68" t="s">
        <v>328</v>
      </c>
      <c r="H491" s="69">
        <v>46079.0</v>
      </c>
      <c r="I491" s="78" t="s">
        <v>337</v>
      </c>
      <c r="J491" s="78"/>
      <c r="K491" s="81"/>
      <c r="L491" s="80"/>
      <c r="M491" s="81"/>
    </row>
    <row r="492">
      <c r="A492" s="78" t="s">
        <v>1951</v>
      </c>
      <c r="B492" s="75" t="s">
        <v>319</v>
      </c>
      <c r="C492" s="75" t="s">
        <v>1239</v>
      </c>
      <c r="D492" s="78">
        <v>2026.0</v>
      </c>
      <c r="E492" s="78">
        <v>8.60369054907447E14</v>
      </c>
      <c r="F492" s="76" t="s">
        <v>326</v>
      </c>
      <c r="G492" s="68" t="s">
        <v>328</v>
      </c>
      <c r="H492" s="69">
        <v>46079.0</v>
      </c>
      <c r="I492" s="78" t="s">
        <v>337</v>
      </c>
      <c r="J492" s="78"/>
      <c r="K492" s="81"/>
      <c r="L492" s="80"/>
      <c r="M492" s="81"/>
    </row>
    <row r="493">
      <c r="A493" s="78" t="s">
        <v>1953</v>
      </c>
      <c r="B493" s="75" t="s">
        <v>319</v>
      </c>
      <c r="C493" s="75" t="s">
        <v>1239</v>
      </c>
      <c r="D493" s="78">
        <v>2026.0</v>
      </c>
      <c r="E493" s="78">
        <v>8.60369054982556E14</v>
      </c>
      <c r="F493" s="76" t="s">
        <v>326</v>
      </c>
      <c r="G493" s="68" t="s">
        <v>328</v>
      </c>
      <c r="H493" s="69">
        <v>46079.0</v>
      </c>
      <c r="I493" s="78" t="s">
        <v>337</v>
      </c>
      <c r="J493" s="78"/>
      <c r="K493" s="81"/>
      <c r="L493" s="80"/>
      <c r="M493" s="81"/>
    </row>
    <row r="494">
      <c r="A494" s="78" t="s">
        <v>1956</v>
      </c>
      <c r="B494" s="75" t="s">
        <v>319</v>
      </c>
      <c r="C494" s="75" t="s">
        <v>1239</v>
      </c>
      <c r="D494" s="78">
        <v>2026.0</v>
      </c>
      <c r="E494" s="78">
        <v>8.60369054873193E14</v>
      </c>
      <c r="F494" s="76" t="s">
        <v>326</v>
      </c>
      <c r="G494" s="68" t="s">
        <v>328</v>
      </c>
      <c r="H494" s="69">
        <v>46079.0</v>
      </c>
      <c r="I494" s="78" t="s">
        <v>337</v>
      </c>
      <c r="J494" s="78"/>
      <c r="K494" s="81"/>
      <c r="L494" s="80"/>
      <c r="M494" s="81"/>
    </row>
    <row r="495">
      <c r="A495" s="78" t="s">
        <v>1958</v>
      </c>
      <c r="B495" s="75" t="s">
        <v>319</v>
      </c>
      <c r="C495" s="75" t="s">
        <v>1239</v>
      </c>
      <c r="D495" s="78">
        <v>2026.0</v>
      </c>
      <c r="E495" s="78">
        <v>8.60369055028565E14</v>
      </c>
      <c r="F495" s="76" t="s">
        <v>326</v>
      </c>
      <c r="G495" s="68" t="s">
        <v>328</v>
      </c>
      <c r="H495" s="69">
        <v>46079.0</v>
      </c>
      <c r="I495" s="78" t="s">
        <v>337</v>
      </c>
      <c r="J495" s="78"/>
      <c r="K495" s="81"/>
      <c r="L495" s="80"/>
      <c r="M495" s="81"/>
    </row>
    <row r="496">
      <c r="A496" s="78" t="s">
        <v>1961</v>
      </c>
      <c r="B496" s="75" t="s">
        <v>319</v>
      </c>
      <c r="C496" s="75" t="s">
        <v>1239</v>
      </c>
      <c r="D496" s="78">
        <v>2026.0</v>
      </c>
      <c r="E496" s="78">
        <v>8.60369054978745E14</v>
      </c>
      <c r="F496" s="76" t="s">
        <v>326</v>
      </c>
      <c r="G496" s="68" t="s">
        <v>328</v>
      </c>
      <c r="H496" s="69">
        <v>46079.0</v>
      </c>
      <c r="I496" s="78" t="s">
        <v>337</v>
      </c>
      <c r="J496" s="78"/>
      <c r="K496" s="81"/>
      <c r="L496" s="80"/>
      <c r="M496" s="81"/>
    </row>
    <row r="497">
      <c r="A497" s="78" t="s">
        <v>1963</v>
      </c>
      <c r="B497" s="75" t="s">
        <v>319</v>
      </c>
      <c r="C497" s="75" t="s">
        <v>1239</v>
      </c>
      <c r="D497" s="78">
        <v>2026.0</v>
      </c>
      <c r="E497" s="78">
        <v>8.60369054948375E14</v>
      </c>
      <c r="F497" s="76" t="s">
        <v>326</v>
      </c>
      <c r="G497" s="68" t="s">
        <v>328</v>
      </c>
      <c r="H497" s="69">
        <v>46079.0</v>
      </c>
      <c r="I497" s="78" t="s">
        <v>337</v>
      </c>
      <c r="J497" s="78"/>
      <c r="K497" s="81"/>
      <c r="L497" s="80"/>
      <c r="M497" s="81"/>
    </row>
    <row r="498">
      <c r="A498" s="78" t="s">
        <v>1965</v>
      </c>
      <c r="B498" s="75" t="s">
        <v>319</v>
      </c>
      <c r="C498" s="75" t="s">
        <v>1239</v>
      </c>
      <c r="D498" s="78">
        <v>2026.0</v>
      </c>
      <c r="E498" s="78">
        <v>8.6036905487274E14</v>
      </c>
      <c r="F498" s="76" t="s">
        <v>326</v>
      </c>
      <c r="G498" s="68" t="s">
        <v>328</v>
      </c>
      <c r="H498" s="69">
        <v>46079.0</v>
      </c>
      <c r="I498" s="78" t="s">
        <v>337</v>
      </c>
      <c r="J498" s="78"/>
      <c r="K498" s="81"/>
      <c r="L498" s="80"/>
      <c r="M498" s="81"/>
    </row>
    <row r="499">
      <c r="A499" s="78" t="s">
        <v>1966</v>
      </c>
      <c r="B499" s="75" t="s">
        <v>319</v>
      </c>
      <c r="C499" s="75" t="s">
        <v>1239</v>
      </c>
      <c r="D499" s="78">
        <v>2026.0</v>
      </c>
      <c r="E499" s="78">
        <v>8.60369054981442E14</v>
      </c>
      <c r="F499" s="76" t="s">
        <v>326</v>
      </c>
      <c r="G499" s="68" t="s">
        <v>328</v>
      </c>
      <c r="H499" s="69">
        <v>46079.0</v>
      </c>
      <c r="I499" s="78" t="s">
        <v>337</v>
      </c>
      <c r="J499" s="78"/>
      <c r="K499" s="81"/>
      <c r="L499" s="80"/>
      <c r="M499" s="81"/>
    </row>
    <row r="500">
      <c r="A500" s="78" t="s">
        <v>1969</v>
      </c>
      <c r="B500" s="75" t="s">
        <v>884</v>
      </c>
      <c r="C500" s="75" t="s">
        <v>1894</v>
      </c>
      <c r="D500" s="78">
        <v>2016.0</v>
      </c>
      <c r="E500" s="78">
        <v>8.60369055005563E14</v>
      </c>
      <c r="F500" s="76" t="s">
        <v>326</v>
      </c>
      <c r="G500" s="68" t="s">
        <v>271</v>
      </c>
      <c r="H500" s="69">
        <v>46083.0</v>
      </c>
      <c r="I500" s="78" t="s">
        <v>337</v>
      </c>
      <c r="J500" s="78"/>
      <c r="K500" s="81"/>
      <c r="L500" s="80"/>
      <c r="M500" s="81"/>
    </row>
    <row r="501">
      <c r="A501" s="78" t="s">
        <v>1971</v>
      </c>
      <c r="B501" s="75" t="s">
        <v>884</v>
      </c>
      <c r="C501" s="75" t="s">
        <v>1666</v>
      </c>
      <c r="D501" s="78">
        <v>2019.0</v>
      </c>
      <c r="E501" s="78">
        <v>8.60369055001166E14</v>
      </c>
      <c r="F501" s="76" t="s">
        <v>326</v>
      </c>
      <c r="G501" s="68" t="s">
        <v>271</v>
      </c>
      <c r="H501" s="69">
        <v>46083.0</v>
      </c>
      <c r="I501" s="78" t="s">
        <v>337</v>
      </c>
      <c r="J501" s="78"/>
      <c r="K501" s="81"/>
      <c r="L501" s="80"/>
      <c r="M501" s="81"/>
    </row>
    <row r="502">
      <c r="A502" s="78" t="s">
        <v>1973</v>
      </c>
      <c r="B502" s="75" t="s">
        <v>884</v>
      </c>
      <c r="C502" s="75" t="s">
        <v>1666</v>
      </c>
      <c r="D502" s="78">
        <v>2020.0</v>
      </c>
      <c r="E502" s="78">
        <v>8.60369055022477E14</v>
      </c>
      <c r="F502" s="76" t="s">
        <v>326</v>
      </c>
      <c r="G502" s="68" t="s">
        <v>271</v>
      </c>
      <c r="H502" s="69">
        <v>46083.0</v>
      </c>
      <c r="I502" s="78" t="s">
        <v>337</v>
      </c>
      <c r="J502" s="78"/>
      <c r="K502" s="81"/>
      <c r="L502" s="80"/>
      <c r="M502" s="81"/>
    </row>
    <row r="503">
      <c r="A503" s="78" t="s">
        <v>1975</v>
      </c>
      <c r="B503" s="75" t="s">
        <v>389</v>
      </c>
      <c r="C503" s="75" t="s">
        <v>1879</v>
      </c>
      <c r="D503" s="78">
        <v>2018.0</v>
      </c>
      <c r="E503" s="78">
        <v>8.60369055008872E14</v>
      </c>
      <c r="F503" s="76" t="s">
        <v>326</v>
      </c>
      <c r="G503" s="68" t="s">
        <v>271</v>
      </c>
      <c r="H503" s="69">
        <v>46083.0</v>
      </c>
      <c r="I503" s="78" t="s">
        <v>337</v>
      </c>
      <c r="J503" s="78"/>
      <c r="K503" s="81"/>
      <c r="L503" s="80"/>
      <c r="M503" s="81"/>
    </row>
    <row r="504">
      <c r="A504" s="78" t="s">
        <v>1976</v>
      </c>
      <c r="B504" s="75" t="s">
        <v>884</v>
      </c>
      <c r="C504" s="75" t="s">
        <v>1666</v>
      </c>
      <c r="D504" s="78">
        <v>2022.0</v>
      </c>
      <c r="E504" s="78">
        <v>8.60369055007551E14</v>
      </c>
      <c r="F504" s="76" t="s">
        <v>326</v>
      </c>
      <c r="G504" s="68" t="s">
        <v>271</v>
      </c>
      <c r="H504" s="69">
        <v>46083.0</v>
      </c>
      <c r="I504" s="78" t="s">
        <v>337</v>
      </c>
      <c r="J504" s="78"/>
      <c r="K504" s="81"/>
      <c r="L504" s="80"/>
      <c r="M504" s="81"/>
    </row>
    <row r="505">
      <c r="A505" s="78" t="s">
        <v>1979</v>
      </c>
      <c r="B505" s="75" t="s">
        <v>884</v>
      </c>
      <c r="C505" s="75" t="s">
        <v>1666</v>
      </c>
      <c r="D505" s="78">
        <v>2021.0</v>
      </c>
      <c r="E505" s="78">
        <v>8.60369054996911E14</v>
      </c>
      <c r="F505" s="76" t="s">
        <v>326</v>
      </c>
      <c r="G505" s="68" t="s">
        <v>271</v>
      </c>
      <c r="H505" s="69">
        <v>46083.0</v>
      </c>
      <c r="I505" s="78" t="s">
        <v>337</v>
      </c>
      <c r="J505" s="78"/>
      <c r="K505" s="81"/>
      <c r="L505" s="80"/>
      <c r="M505" s="81"/>
    </row>
    <row r="506">
      <c r="A506" s="78" t="s">
        <v>1982</v>
      </c>
      <c r="B506" s="75" t="s">
        <v>884</v>
      </c>
      <c r="C506" s="75" t="s">
        <v>1666</v>
      </c>
      <c r="D506" s="78">
        <v>2020.0</v>
      </c>
      <c r="E506" s="78">
        <v>8.60369054946833E14</v>
      </c>
      <c r="F506" s="76" t="s">
        <v>326</v>
      </c>
      <c r="G506" s="68" t="s">
        <v>271</v>
      </c>
      <c r="H506" s="69">
        <v>46083.0</v>
      </c>
      <c r="I506" s="78" t="s">
        <v>337</v>
      </c>
      <c r="J506" s="78"/>
      <c r="K506" s="81"/>
      <c r="L506" s="80"/>
      <c r="M506" s="81"/>
    </row>
    <row r="507">
      <c r="A507" s="78" t="s">
        <v>1984</v>
      </c>
      <c r="B507" s="75" t="s">
        <v>884</v>
      </c>
      <c r="C507" s="75" t="s">
        <v>1666</v>
      </c>
      <c r="D507" s="78">
        <v>2019.0</v>
      </c>
      <c r="E507" s="78">
        <v>8.60369055010167E14</v>
      </c>
      <c r="F507" s="76" t="s">
        <v>326</v>
      </c>
      <c r="G507" s="68" t="s">
        <v>271</v>
      </c>
      <c r="H507" s="69">
        <v>46083.0</v>
      </c>
      <c r="I507" s="78" t="s">
        <v>337</v>
      </c>
      <c r="J507" s="78"/>
      <c r="K507" s="81"/>
      <c r="L507" s="80"/>
      <c r="M507" s="81"/>
    </row>
    <row r="508">
      <c r="A508" s="78" t="s">
        <v>1987</v>
      </c>
      <c r="B508" s="75" t="s">
        <v>884</v>
      </c>
      <c r="C508" s="75" t="s">
        <v>1666</v>
      </c>
      <c r="D508" s="78">
        <v>2016.0</v>
      </c>
      <c r="E508" s="78">
        <v>8.60369055026684E14</v>
      </c>
      <c r="F508" s="76" t="s">
        <v>326</v>
      </c>
      <c r="G508" s="68" t="s">
        <v>271</v>
      </c>
      <c r="H508" s="69">
        <v>46083.0</v>
      </c>
      <c r="I508" s="78" t="s">
        <v>337</v>
      </c>
      <c r="J508" s="78"/>
      <c r="K508" s="81"/>
      <c r="L508" s="80"/>
      <c r="M508" s="81"/>
    </row>
    <row r="509">
      <c r="A509" s="78" t="s">
        <v>1989</v>
      </c>
      <c r="B509" s="75" t="s">
        <v>884</v>
      </c>
      <c r="C509" s="75" t="s">
        <v>1666</v>
      </c>
      <c r="D509" s="78">
        <v>2020.0</v>
      </c>
      <c r="E509" s="78">
        <v>8.60369055024499E14</v>
      </c>
      <c r="F509" s="76" t="s">
        <v>326</v>
      </c>
      <c r="G509" s="68" t="s">
        <v>271</v>
      </c>
      <c r="H509" s="69">
        <v>46083.0</v>
      </c>
      <c r="I509" s="78" t="s">
        <v>337</v>
      </c>
      <c r="J509" s="78"/>
      <c r="K509" s="81"/>
      <c r="L509" s="80"/>
      <c r="M509" s="81"/>
    </row>
    <row r="510">
      <c r="A510" s="75" t="s">
        <v>1991</v>
      </c>
      <c r="B510" s="75" t="s">
        <v>319</v>
      </c>
      <c r="C510" s="75" t="s">
        <v>321</v>
      </c>
      <c r="D510" s="75">
        <v>2022.0</v>
      </c>
      <c r="E510" s="75">
        <v>8.6036905416106E14</v>
      </c>
      <c r="F510" s="76" t="s">
        <v>326</v>
      </c>
      <c r="G510" s="68" t="s">
        <v>328</v>
      </c>
      <c r="H510" s="69">
        <v>46084.0</v>
      </c>
      <c r="I510" s="78" t="s">
        <v>337</v>
      </c>
      <c r="J510" s="78"/>
      <c r="K510" s="79"/>
      <c r="L510" s="80"/>
      <c r="M510" s="81"/>
    </row>
    <row r="511">
      <c r="A511" s="78" t="s">
        <v>1993</v>
      </c>
      <c r="B511" s="75" t="s">
        <v>389</v>
      </c>
      <c r="C511" s="75" t="s">
        <v>1292</v>
      </c>
      <c r="D511" s="78">
        <v>2024.0</v>
      </c>
      <c r="E511" s="78">
        <v>8.60369054901259E14</v>
      </c>
      <c r="F511" s="76" t="s">
        <v>326</v>
      </c>
      <c r="G511" s="68" t="s">
        <v>328</v>
      </c>
      <c r="H511" s="69">
        <v>46084.0</v>
      </c>
      <c r="I511" s="78" t="s">
        <v>337</v>
      </c>
      <c r="J511" s="78"/>
      <c r="K511" s="81"/>
      <c r="L511" s="80"/>
      <c r="M511" s="81"/>
    </row>
    <row r="512">
      <c r="A512" s="78" t="s">
        <v>1996</v>
      </c>
      <c r="B512" s="75" t="s">
        <v>319</v>
      </c>
      <c r="C512" s="75" t="s">
        <v>376</v>
      </c>
      <c r="D512" s="78">
        <v>2019.0</v>
      </c>
      <c r="E512" s="78">
        <v>8.60369055016743E14</v>
      </c>
      <c r="F512" s="76" t="s">
        <v>326</v>
      </c>
      <c r="G512" s="68" t="s">
        <v>538</v>
      </c>
      <c r="H512" s="69">
        <v>46087.0</v>
      </c>
      <c r="I512" s="78" t="s">
        <v>337</v>
      </c>
      <c r="J512" s="78"/>
      <c r="K512" s="81"/>
      <c r="L512" s="80"/>
      <c r="M512" s="81"/>
    </row>
    <row r="513">
      <c r="A513" s="78" t="s">
        <v>2000</v>
      </c>
      <c r="B513" s="75" t="s">
        <v>319</v>
      </c>
      <c r="C513" s="75" t="s">
        <v>1898</v>
      </c>
      <c r="D513" s="78">
        <v>2019.0</v>
      </c>
      <c r="E513" s="78">
        <v>8.60369055016594E14</v>
      </c>
      <c r="F513" s="76" t="s">
        <v>326</v>
      </c>
      <c r="G513" s="68" t="s">
        <v>538</v>
      </c>
      <c r="H513" s="69">
        <v>46087.0</v>
      </c>
      <c r="I513" s="78" t="s">
        <v>337</v>
      </c>
      <c r="J513" s="78"/>
      <c r="K513" s="81"/>
      <c r="L513" s="80"/>
      <c r="M513" s="81"/>
    </row>
    <row r="514">
      <c r="A514" s="78" t="s">
        <v>2002</v>
      </c>
      <c r="B514" s="75" t="s">
        <v>319</v>
      </c>
      <c r="C514" s="75" t="s">
        <v>376</v>
      </c>
      <c r="D514" s="78">
        <v>2021.0</v>
      </c>
      <c r="E514" s="78">
        <v>8.60369055019085E14</v>
      </c>
      <c r="F514" s="76" t="s">
        <v>326</v>
      </c>
      <c r="G514" s="68" t="s">
        <v>538</v>
      </c>
      <c r="H514" s="69">
        <v>46087.0</v>
      </c>
      <c r="I514" s="78" t="s">
        <v>337</v>
      </c>
      <c r="J514" s="78"/>
      <c r="K514" s="81"/>
      <c r="L514" s="80"/>
      <c r="M514" s="81"/>
    </row>
    <row r="515">
      <c r="A515" s="78" t="s">
        <v>2007</v>
      </c>
      <c r="B515" s="75" t="s">
        <v>319</v>
      </c>
      <c r="C515" s="75" t="s">
        <v>1898</v>
      </c>
      <c r="D515" s="78">
        <v>2019.0</v>
      </c>
      <c r="E515" s="78">
        <v>8.60369055004772E14</v>
      </c>
      <c r="F515" s="76" t="s">
        <v>326</v>
      </c>
      <c r="G515" s="68" t="s">
        <v>538</v>
      </c>
      <c r="H515" s="69">
        <v>46087.0</v>
      </c>
      <c r="I515" s="78" t="s">
        <v>337</v>
      </c>
      <c r="J515" s="78"/>
      <c r="K515" s="81"/>
      <c r="L515" s="80"/>
      <c r="M515" s="81"/>
    </row>
    <row r="516">
      <c r="A516" s="78" t="s">
        <v>2010</v>
      </c>
      <c r="B516" s="75" t="s">
        <v>1006</v>
      </c>
      <c r="C516" s="75" t="s">
        <v>2011</v>
      </c>
      <c r="D516" s="78">
        <v>2021.0</v>
      </c>
      <c r="E516" s="78">
        <v>8.60369055017972E14</v>
      </c>
      <c r="F516" s="76" t="s">
        <v>326</v>
      </c>
      <c r="G516" s="68" t="s">
        <v>538</v>
      </c>
      <c r="H516" s="69">
        <v>46087.0</v>
      </c>
      <c r="I516" s="78" t="s">
        <v>337</v>
      </c>
      <c r="J516" s="78"/>
      <c r="K516" s="81"/>
      <c r="L516" s="80"/>
      <c r="M516" s="81"/>
    </row>
    <row r="517">
      <c r="A517" s="78" t="s">
        <v>2014</v>
      </c>
      <c r="B517" s="75" t="s">
        <v>319</v>
      </c>
      <c r="C517" s="75" t="s">
        <v>376</v>
      </c>
      <c r="D517" s="78">
        <v>2021.0</v>
      </c>
      <c r="E517" s="78">
        <v>8.60369054789787E14</v>
      </c>
      <c r="F517" s="76" t="s">
        <v>326</v>
      </c>
      <c r="G517" s="68" t="s">
        <v>538</v>
      </c>
      <c r="H517" s="69">
        <v>46087.0</v>
      </c>
      <c r="I517" s="78" t="s">
        <v>337</v>
      </c>
      <c r="J517" s="78"/>
      <c r="K517" s="81"/>
      <c r="L517" s="80"/>
      <c r="M517" s="81"/>
    </row>
    <row r="518">
      <c r="A518" s="78" t="s">
        <v>2016</v>
      </c>
      <c r="B518" s="75" t="s">
        <v>319</v>
      </c>
      <c r="C518" s="75" t="s">
        <v>376</v>
      </c>
      <c r="D518" s="78">
        <v>2021.0</v>
      </c>
      <c r="E518" s="78">
        <v>8.60369055030777E14</v>
      </c>
      <c r="F518" s="76" t="s">
        <v>326</v>
      </c>
      <c r="G518" s="68" t="s">
        <v>538</v>
      </c>
      <c r="H518" s="69">
        <v>46087.0</v>
      </c>
      <c r="I518" s="78" t="s">
        <v>337</v>
      </c>
      <c r="J518" s="78"/>
      <c r="K518" s="81"/>
      <c r="L518" s="80"/>
      <c r="M518" s="81"/>
    </row>
    <row r="519">
      <c r="A519" s="78" t="s">
        <v>2018</v>
      </c>
      <c r="B519" s="75" t="s">
        <v>1006</v>
      </c>
      <c r="C519" s="75" t="s">
        <v>2019</v>
      </c>
      <c r="D519" s="78">
        <v>2022.0</v>
      </c>
      <c r="E519" s="78">
        <v>8.60369054789241E14</v>
      </c>
      <c r="F519" s="76" t="s">
        <v>326</v>
      </c>
      <c r="G519" s="68" t="s">
        <v>538</v>
      </c>
      <c r="H519" s="69">
        <v>46087.0</v>
      </c>
      <c r="I519" s="78" t="s">
        <v>337</v>
      </c>
      <c r="J519" s="78"/>
      <c r="K519" s="81"/>
      <c r="L519" s="80"/>
      <c r="M519" s="81"/>
    </row>
    <row r="520">
      <c r="A520" s="78" t="s">
        <v>2022</v>
      </c>
      <c r="B520" s="75" t="s">
        <v>319</v>
      </c>
      <c r="C520" s="75" t="s">
        <v>723</v>
      </c>
      <c r="D520" s="78">
        <v>2014.0</v>
      </c>
      <c r="E520" s="78">
        <v>8.60369054978844E14</v>
      </c>
      <c r="F520" s="76" t="s">
        <v>326</v>
      </c>
      <c r="G520" s="68" t="s">
        <v>404</v>
      </c>
      <c r="H520" s="69">
        <v>46088.0</v>
      </c>
      <c r="I520" s="78" t="s">
        <v>337</v>
      </c>
      <c r="J520" s="78"/>
      <c r="K520" s="81"/>
      <c r="L520" s="80"/>
      <c r="M520" s="81"/>
    </row>
    <row r="521">
      <c r="A521" s="78" t="s">
        <v>2025</v>
      </c>
      <c r="B521" s="75" t="s">
        <v>884</v>
      </c>
      <c r="C521" s="75" t="s">
        <v>2026</v>
      </c>
      <c r="D521" s="78">
        <v>2016.0</v>
      </c>
      <c r="E521" s="78">
        <v>8.60369055025892E14</v>
      </c>
      <c r="F521" s="76" t="s">
        <v>326</v>
      </c>
      <c r="G521" s="68" t="s">
        <v>404</v>
      </c>
      <c r="H521" s="69">
        <v>46088.0</v>
      </c>
      <c r="I521" s="78" t="s">
        <v>337</v>
      </c>
      <c r="J521" s="78"/>
      <c r="K521" s="81"/>
      <c r="L521" s="80"/>
      <c r="M521" s="81"/>
    </row>
    <row r="522">
      <c r="A522" s="78" t="s">
        <v>2029</v>
      </c>
      <c r="B522" s="75" t="s">
        <v>884</v>
      </c>
      <c r="C522" s="75" t="s">
        <v>1402</v>
      </c>
      <c r="D522" s="78">
        <v>2014.0</v>
      </c>
      <c r="E522" s="78">
        <v>8.60369055005464E14</v>
      </c>
      <c r="F522" s="76" t="s">
        <v>326</v>
      </c>
      <c r="G522" s="68" t="s">
        <v>404</v>
      </c>
      <c r="H522" s="69">
        <v>46088.0</v>
      </c>
      <c r="I522" s="78" t="s">
        <v>337</v>
      </c>
      <c r="J522" s="78"/>
      <c r="K522" s="81"/>
      <c r="L522" s="80"/>
      <c r="M522" s="81"/>
    </row>
    <row r="523">
      <c r="A523" s="78" t="s">
        <v>2032</v>
      </c>
      <c r="B523" s="75" t="s">
        <v>319</v>
      </c>
      <c r="C523" s="75" t="s">
        <v>723</v>
      </c>
      <c r="D523" s="78">
        <v>2018.0</v>
      </c>
      <c r="E523" s="78">
        <v>8.6036905502364E14</v>
      </c>
      <c r="F523" s="76" t="s">
        <v>326</v>
      </c>
      <c r="G523" s="68" t="s">
        <v>404</v>
      </c>
      <c r="H523" s="69">
        <v>46088.0</v>
      </c>
      <c r="I523" s="78" t="s">
        <v>337</v>
      </c>
      <c r="J523" s="78"/>
      <c r="K523" s="81"/>
      <c r="L523" s="80"/>
      <c r="M523" s="81"/>
    </row>
    <row r="524">
      <c r="A524" s="78" t="s">
        <v>2035</v>
      </c>
      <c r="B524" s="75" t="s">
        <v>1006</v>
      </c>
      <c r="C524" s="75" t="s">
        <v>2036</v>
      </c>
      <c r="D524" s="78">
        <v>2021.0</v>
      </c>
      <c r="E524" s="78">
        <v>8.60369055025983E14</v>
      </c>
      <c r="F524" s="76" t="s">
        <v>326</v>
      </c>
      <c r="G524" s="68" t="s">
        <v>404</v>
      </c>
      <c r="H524" s="69">
        <v>46088.0</v>
      </c>
      <c r="I524" s="78" t="s">
        <v>337</v>
      </c>
      <c r="J524" s="78"/>
      <c r="K524" s="81"/>
      <c r="L524" s="80"/>
      <c r="M524" s="81"/>
    </row>
    <row r="525">
      <c r="A525" s="78" t="s">
        <v>2038</v>
      </c>
      <c r="B525" s="75" t="s">
        <v>319</v>
      </c>
      <c r="C525" s="75" t="s">
        <v>2039</v>
      </c>
      <c r="D525" s="78">
        <v>2012.0</v>
      </c>
      <c r="E525" s="78">
        <v>8.60369055021644E14</v>
      </c>
      <c r="F525" s="76" t="s">
        <v>326</v>
      </c>
      <c r="G525" s="68" t="s">
        <v>404</v>
      </c>
      <c r="H525" s="69">
        <v>46088.0</v>
      </c>
      <c r="I525" s="78" t="s">
        <v>337</v>
      </c>
      <c r="J525" s="78"/>
      <c r="K525" s="81"/>
      <c r="L525" s="80"/>
      <c r="M525" s="81"/>
    </row>
    <row r="526">
      <c r="A526" s="78" t="s">
        <v>2042</v>
      </c>
      <c r="B526" s="75" t="s">
        <v>319</v>
      </c>
      <c r="C526" s="75" t="s">
        <v>2043</v>
      </c>
      <c r="D526" s="78">
        <v>2011.0</v>
      </c>
      <c r="E526" s="78">
        <v>8.6036905500893E14</v>
      </c>
      <c r="F526" s="76" t="s">
        <v>326</v>
      </c>
      <c r="G526" s="68" t="s">
        <v>404</v>
      </c>
      <c r="H526" s="69">
        <v>46088.0</v>
      </c>
      <c r="I526" s="78" t="s">
        <v>337</v>
      </c>
      <c r="J526" s="78"/>
      <c r="K526" s="81"/>
      <c r="L526" s="80"/>
      <c r="M526" s="81"/>
    </row>
    <row r="527">
      <c r="A527" s="75" t="s">
        <v>2046</v>
      </c>
      <c r="B527" s="75" t="s">
        <v>319</v>
      </c>
      <c r="C527" s="75" t="s">
        <v>376</v>
      </c>
      <c r="D527" s="75">
        <v>2021.0</v>
      </c>
      <c r="E527" s="75">
        <v>8.60369052703467E14</v>
      </c>
      <c r="F527" s="76" t="s">
        <v>326</v>
      </c>
      <c r="G527" s="68" t="s">
        <v>328</v>
      </c>
      <c r="H527" s="69">
        <v>46093.0</v>
      </c>
      <c r="I527" s="78" t="s">
        <v>337</v>
      </c>
      <c r="J527" s="78"/>
      <c r="K527" s="79"/>
      <c r="L527" s="110" t="s">
        <v>2049</v>
      </c>
      <c r="M527" s="81"/>
    </row>
    <row r="528">
      <c r="A528" s="78" t="s">
        <v>2052</v>
      </c>
      <c r="B528" s="75" t="s">
        <v>389</v>
      </c>
      <c r="C528" s="220" t="s">
        <v>1292</v>
      </c>
      <c r="D528" s="78">
        <v>2023.0</v>
      </c>
      <c r="E528" s="78">
        <v>8.60369055017063E14</v>
      </c>
      <c r="F528" s="76" t="s">
        <v>326</v>
      </c>
      <c r="G528" s="68" t="s">
        <v>642</v>
      </c>
      <c r="H528" s="69">
        <v>46097.0</v>
      </c>
      <c r="I528" s="78" t="s">
        <v>337</v>
      </c>
      <c r="J528" s="78"/>
      <c r="K528" s="81"/>
      <c r="L528" s="80"/>
      <c r="M528" s="81"/>
    </row>
    <row r="529">
      <c r="A529" s="78" t="s">
        <v>2054</v>
      </c>
      <c r="B529" s="75" t="s">
        <v>389</v>
      </c>
      <c r="C529" s="220" t="s">
        <v>1292</v>
      </c>
      <c r="D529" s="78">
        <v>2023.0</v>
      </c>
      <c r="E529" s="78">
        <v>8.60369054787922E14</v>
      </c>
      <c r="F529" s="76" t="s">
        <v>326</v>
      </c>
      <c r="G529" s="68" t="s">
        <v>642</v>
      </c>
      <c r="H529" s="69">
        <v>46097.0</v>
      </c>
      <c r="I529" s="78" t="s">
        <v>337</v>
      </c>
      <c r="J529" s="78"/>
      <c r="K529" s="81"/>
      <c r="L529" s="80"/>
      <c r="M529" s="81"/>
    </row>
    <row r="530">
      <c r="A530" s="78" t="s">
        <v>2057</v>
      </c>
      <c r="B530" s="75" t="s">
        <v>389</v>
      </c>
      <c r="C530" s="220" t="s">
        <v>1292</v>
      </c>
      <c r="D530" s="78"/>
      <c r="E530" s="78">
        <v>8.60369055014151E14</v>
      </c>
      <c r="F530" s="76" t="s">
        <v>326</v>
      </c>
      <c r="G530" s="68" t="s">
        <v>642</v>
      </c>
      <c r="H530" s="69">
        <v>46097.0</v>
      </c>
      <c r="I530" s="78" t="s">
        <v>337</v>
      </c>
      <c r="J530" s="78" t="s">
        <v>2059</v>
      </c>
      <c r="K530" s="81"/>
      <c r="L530" s="80"/>
      <c r="M530" s="81"/>
    </row>
    <row r="531">
      <c r="A531" s="78" t="s">
        <v>2060</v>
      </c>
      <c r="B531" s="75" t="s">
        <v>389</v>
      </c>
      <c r="C531" s="220" t="s">
        <v>1292</v>
      </c>
      <c r="D531" s="78">
        <v>2025.0</v>
      </c>
      <c r="E531" s="78">
        <v>8.60369055013567E14</v>
      </c>
      <c r="F531" s="76" t="s">
        <v>326</v>
      </c>
      <c r="G531" s="68" t="s">
        <v>642</v>
      </c>
      <c r="H531" s="69">
        <v>46097.0</v>
      </c>
      <c r="I531" s="78" t="s">
        <v>337</v>
      </c>
      <c r="J531" s="78"/>
      <c r="K531" s="81"/>
      <c r="L531" s="80"/>
      <c r="M531" s="81"/>
    </row>
    <row r="532">
      <c r="A532" s="75" t="s">
        <v>2063</v>
      </c>
      <c r="B532" s="75"/>
      <c r="C532" s="75"/>
      <c r="D532" s="75"/>
      <c r="E532" s="75">
        <v>8.60369052461447E14</v>
      </c>
      <c r="F532" s="221"/>
      <c r="G532" s="68" t="s">
        <v>696</v>
      </c>
      <c r="H532" s="69">
        <v>45658.0</v>
      </c>
      <c r="I532" s="78" t="s">
        <v>2065</v>
      </c>
      <c r="J532" s="78"/>
      <c r="K532" s="79"/>
      <c r="L532" s="80"/>
      <c r="M532" s="81"/>
    </row>
    <row r="533">
      <c r="A533" s="75" t="s">
        <v>2067</v>
      </c>
      <c r="B533" s="75" t="s">
        <v>319</v>
      </c>
      <c r="C533" s="75" t="s">
        <v>321</v>
      </c>
      <c r="D533" s="75">
        <v>2022.0</v>
      </c>
      <c r="E533" s="75">
        <v>8.60369052708912E14</v>
      </c>
      <c r="F533" s="76" t="s">
        <v>326</v>
      </c>
      <c r="G533" s="68" t="s">
        <v>328</v>
      </c>
      <c r="H533" s="69">
        <v>46098.0</v>
      </c>
      <c r="I533" s="78" t="s">
        <v>337</v>
      </c>
      <c r="J533" s="78"/>
      <c r="K533" s="79"/>
      <c r="L533" s="80"/>
      <c r="M533" s="81"/>
    </row>
    <row r="534">
      <c r="A534" s="75" t="s">
        <v>2070</v>
      </c>
      <c r="B534" s="75" t="s">
        <v>319</v>
      </c>
      <c r="C534" s="75" t="s">
        <v>376</v>
      </c>
      <c r="D534" s="75">
        <v>2022.0</v>
      </c>
      <c r="E534" s="75">
        <v>8.60369054184948E14</v>
      </c>
      <c r="F534" s="76" t="s">
        <v>326</v>
      </c>
      <c r="G534" s="68" t="s">
        <v>768</v>
      </c>
      <c r="H534" s="69">
        <v>45658.0</v>
      </c>
      <c r="I534" s="78" t="s">
        <v>337</v>
      </c>
      <c r="J534" s="78"/>
      <c r="K534" s="79"/>
      <c r="L534" s="80"/>
      <c r="M534" s="81"/>
    </row>
    <row r="535">
      <c r="A535" s="65" t="s">
        <v>2073</v>
      </c>
      <c r="B535" s="65" t="s">
        <v>319</v>
      </c>
      <c r="C535" s="200" t="s">
        <v>1239</v>
      </c>
      <c r="D535" s="65">
        <v>2024.0</v>
      </c>
      <c r="E535" s="65">
        <v>8.60369054187263E14</v>
      </c>
      <c r="F535" s="65" t="s">
        <v>326</v>
      </c>
      <c r="G535" s="68" t="s">
        <v>279</v>
      </c>
      <c r="H535" s="69">
        <v>46098.0</v>
      </c>
      <c r="I535" s="65" t="s">
        <v>1240</v>
      </c>
      <c r="J535" s="71"/>
      <c r="K535" s="73"/>
      <c r="L535" s="73"/>
      <c r="M535" s="73" t="s">
        <v>338</v>
      </c>
    </row>
    <row r="536">
      <c r="A536" s="65" t="s">
        <v>2076</v>
      </c>
      <c r="B536" s="65" t="s">
        <v>319</v>
      </c>
      <c r="C536" s="200" t="s">
        <v>1239</v>
      </c>
      <c r="D536" s="65">
        <v>2024.0</v>
      </c>
      <c r="E536" s="65">
        <v>8.6036905217183E14</v>
      </c>
      <c r="F536" s="65" t="s">
        <v>326</v>
      </c>
      <c r="G536" s="68" t="s">
        <v>279</v>
      </c>
      <c r="H536" s="69">
        <v>46098.0</v>
      </c>
      <c r="I536" s="195" t="s">
        <v>1240</v>
      </c>
      <c r="J536" s="71"/>
      <c r="K536" s="73"/>
      <c r="L536" s="73"/>
      <c r="M536" s="73" t="s">
        <v>338</v>
      </c>
    </row>
    <row r="537">
      <c r="A537" s="65" t="s">
        <v>2081</v>
      </c>
      <c r="B537" s="65" t="s">
        <v>319</v>
      </c>
      <c r="C537" s="65" t="s">
        <v>376</v>
      </c>
      <c r="D537" s="65">
        <v>2021.0</v>
      </c>
      <c r="E537" s="65">
        <v>8.60369052436092E14</v>
      </c>
      <c r="F537" s="65" t="s">
        <v>398</v>
      </c>
      <c r="G537" s="192" t="s">
        <v>328</v>
      </c>
      <c r="H537" s="69">
        <v>46099.0</v>
      </c>
      <c r="I537" s="65" t="s">
        <v>337</v>
      </c>
      <c r="J537" s="71"/>
      <c r="K537" s="73"/>
      <c r="L537" s="73"/>
      <c r="M537" s="73" t="s">
        <v>2083</v>
      </c>
    </row>
    <row r="538">
      <c r="A538" s="216" t="s">
        <v>2084</v>
      </c>
      <c r="B538" s="75" t="s">
        <v>319</v>
      </c>
      <c r="C538" s="75" t="s">
        <v>723</v>
      </c>
      <c r="D538" s="78">
        <v>2013.0</v>
      </c>
      <c r="E538" s="78">
        <v>8.60369055005811E14</v>
      </c>
      <c r="F538" s="76" t="s">
        <v>326</v>
      </c>
      <c r="G538" s="68" t="s">
        <v>404</v>
      </c>
      <c r="H538" s="69">
        <v>46102.0</v>
      </c>
      <c r="I538" s="78" t="s">
        <v>337</v>
      </c>
      <c r="J538" s="78"/>
      <c r="K538" s="81"/>
      <c r="L538" s="80"/>
      <c r="M538" s="81"/>
    </row>
    <row r="539">
      <c r="A539" s="216" t="s">
        <v>2088</v>
      </c>
      <c r="B539" s="75" t="s">
        <v>884</v>
      </c>
      <c r="C539" s="75" t="s">
        <v>2090</v>
      </c>
      <c r="D539" s="78">
        <v>2018.0</v>
      </c>
      <c r="E539" s="78">
        <v>8.6036905494769E14</v>
      </c>
      <c r="F539" s="76" t="s">
        <v>326</v>
      </c>
      <c r="G539" s="68" t="s">
        <v>404</v>
      </c>
      <c r="H539" s="69">
        <v>46102.0</v>
      </c>
      <c r="I539" s="78" t="s">
        <v>337</v>
      </c>
      <c r="J539" s="78"/>
      <c r="K539" s="81"/>
      <c r="L539" s="80"/>
      <c r="M539" s="81"/>
    </row>
    <row r="540">
      <c r="A540" s="216" t="s">
        <v>2093</v>
      </c>
      <c r="B540" s="75" t="s">
        <v>884</v>
      </c>
      <c r="C540" s="75" t="s">
        <v>1666</v>
      </c>
      <c r="D540" s="78">
        <v>2014.0</v>
      </c>
      <c r="E540" s="78">
        <v>8.60369055007874E14</v>
      </c>
      <c r="F540" s="76" t="s">
        <v>326</v>
      </c>
      <c r="G540" s="68" t="s">
        <v>404</v>
      </c>
      <c r="H540" s="69">
        <v>46102.0</v>
      </c>
      <c r="I540" s="78" t="s">
        <v>337</v>
      </c>
      <c r="J540" s="78"/>
      <c r="K540" s="81"/>
      <c r="L540" s="80"/>
      <c r="M540" s="81"/>
    </row>
    <row r="541">
      <c r="A541" s="216" t="s">
        <v>2094</v>
      </c>
      <c r="B541" s="75" t="s">
        <v>389</v>
      </c>
      <c r="C541" s="75" t="s">
        <v>2096</v>
      </c>
      <c r="D541" s="78">
        <v>2023.0</v>
      </c>
      <c r="E541" s="78">
        <v>8.60369054947849E14</v>
      </c>
      <c r="F541" s="76" t="s">
        <v>326</v>
      </c>
      <c r="G541" s="68" t="s">
        <v>404</v>
      </c>
      <c r="H541" s="69">
        <v>46102.0</v>
      </c>
      <c r="I541" s="78" t="s">
        <v>337</v>
      </c>
      <c r="J541" s="78"/>
      <c r="K541" s="81"/>
      <c r="L541" s="80"/>
      <c r="M541" s="81"/>
    </row>
    <row r="542">
      <c r="A542" s="216" t="s">
        <v>2097</v>
      </c>
      <c r="B542" s="75" t="s">
        <v>884</v>
      </c>
      <c r="C542" s="75" t="s">
        <v>2099</v>
      </c>
      <c r="D542" s="78">
        <v>2016.0</v>
      </c>
      <c r="E542" s="78">
        <v>8.60369055006165E14</v>
      </c>
      <c r="F542" s="76" t="s">
        <v>326</v>
      </c>
      <c r="G542" s="68" t="s">
        <v>404</v>
      </c>
      <c r="H542" s="69">
        <v>46102.0</v>
      </c>
      <c r="I542" s="78" t="s">
        <v>337</v>
      </c>
      <c r="J542" s="78"/>
      <c r="K542" s="81"/>
      <c r="L542" s="80"/>
      <c r="M542" s="81"/>
    </row>
    <row r="543">
      <c r="A543" s="222" t="s">
        <v>2101</v>
      </c>
      <c r="B543" s="65" t="s">
        <v>389</v>
      </c>
      <c r="C543" s="65" t="s">
        <v>1879</v>
      </c>
      <c r="D543" s="65">
        <v>2020.0</v>
      </c>
      <c r="E543" s="65">
        <v>8.60369054739931E14</v>
      </c>
      <c r="F543" s="65" t="s">
        <v>326</v>
      </c>
      <c r="G543" s="192" t="s">
        <v>404</v>
      </c>
      <c r="H543" s="69">
        <v>46102.0</v>
      </c>
      <c r="I543" s="65" t="s">
        <v>337</v>
      </c>
      <c r="J543" s="71"/>
      <c r="K543" s="73"/>
      <c r="L543" s="73"/>
      <c r="M543" s="73" t="s">
        <v>338</v>
      </c>
    </row>
    <row r="544">
      <c r="A544" s="78" t="s">
        <v>2104</v>
      </c>
      <c r="B544" s="75" t="s">
        <v>319</v>
      </c>
      <c r="C544" s="75" t="s">
        <v>376</v>
      </c>
      <c r="D544" s="78">
        <v>2024.0</v>
      </c>
      <c r="E544" s="78">
        <v>8.60369055015976E14</v>
      </c>
      <c r="F544" s="76" t="s">
        <v>326</v>
      </c>
      <c r="G544" s="68" t="s">
        <v>715</v>
      </c>
      <c r="H544" s="69">
        <v>46103.0</v>
      </c>
      <c r="I544" s="78" t="s">
        <v>337</v>
      </c>
      <c r="J544" s="78"/>
      <c r="K544" s="81"/>
      <c r="L544" s="80"/>
      <c r="M544" s="81"/>
    </row>
    <row r="545">
      <c r="A545" s="78" t="s">
        <v>2107</v>
      </c>
      <c r="B545" s="75" t="s">
        <v>319</v>
      </c>
      <c r="C545" s="75" t="s">
        <v>376</v>
      </c>
      <c r="D545" s="78">
        <v>2024.0</v>
      </c>
      <c r="E545" s="78">
        <v>8.6036905500628E14</v>
      </c>
      <c r="F545" s="76" t="s">
        <v>326</v>
      </c>
      <c r="G545" s="68" t="s">
        <v>715</v>
      </c>
      <c r="H545" s="69">
        <v>46103.0</v>
      </c>
      <c r="I545" s="78" t="s">
        <v>337</v>
      </c>
      <c r="J545" s="78"/>
      <c r="K545" s="81"/>
      <c r="L545" s="80"/>
      <c r="M545" s="81"/>
    </row>
    <row r="546">
      <c r="A546" s="78" t="s">
        <v>2109</v>
      </c>
      <c r="B546" s="75" t="s">
        <v>389</v>
      </c>
      <c r="C546" s="75" t="s">
        <v>1292</v>
      </c>
      <c r="D546" s="78">
        <v>2024.0</v>
      </c>
      <c r="E546" s="78">
        <v>8.60369055006801E14</v>
      </c>
      <c r="F546" s="76" t="s">
        <v>326</v>
      </c>
      <c r="G546" s="68" t="s">
        <v>715</v>
      </c>
      <c r="H546" s="69">
        <v>46103.0</v>
      </c>
      <c r="I546" s="78" t="s">
        <v>337</v>
      </c>
      <c r="J546" s="78"/>
      <c r="K546" s="81"/>
      <c r="L546" s="80"/>
      <c r="M546" s="81"/>
    </row>
    <row r="547">
      <c r="A547" s="78" t="s">
        <v>2111</v>
      </c>
      <c r="B547" s="75" t="s">
        <v>389</v>
      </c>
      <c r="C547" s="75" t="s">
        <v>1292</v>
      </c>
      <c r="D547" s="78">
        <v>2024.0</v>
      </c>
      <c r="E547" s="78">
        <v>8.60369055014334E14</v>
      </c>
      <c r="F547" s="76" t="s">
        <v>326</v>
      </c>
      <c r="G547" s="68" t="s">
        <v>715</v>
      </c>
      <c r="H547" s="69">
        <v>46103.0</v>
      </c>
      <c r="I547" s="78" t="s">
        <v>337</v>
      </c>
      <c r="J547" s="78"/>
      <c r="K547" s="81"/>
      <c r="L547" s="80"/>
      <c r="M547" s="81"/>
    </row>
    <row r="548">
      <c r="A548" s="78" t="s">
        <v>2115</v>
      </c>
      <c r="B548" s="75" t="s">
        <v>884</v>
      </c>
      <c r="C548" s="75" t="s">
        <v>1310</v>
      </c>
      <c r="D548" s="78">
        <v>2022.0</v>
      </c>
      <c r="E548" s="78">
        <v>8.6036905502566E14</v>
      </c>
      <c r="F548" s="76" t="s">
        <v>326</v>
      </c>
      <c r="G548" s="68" t="s">
        <v>715</v>
      </c>
      <c r="H548" s="69">
        <v>46103.0</v>
      </c>
      <c r="I548" s="78" t="s">
        <v>337</v>
      </c>
      <c r="J548" s="78"/>
      <c r="K548" s="81"/>
      <c r="L548" s="80"/>
      <c r="M548" s="81"/>
    </row>
    <row r="549">
      <c r="A549" s="78" t="s">
        <v>2119</v>
      </c>
      <c r="B549" s="75" t="s">
        <v>884</v>
      </c>
      <c r="C549" s="75" t="s">
        <v>1310</v>
      </c>
      <c r="D549" s="78">
        <v>2022.0</v>
      </c>
      <c r="E549" s="78">
        <v>8.60369055025736E14</v>
      </c>
      <c r="F549" s="76" t="s">
        <v>326</v>
      </c>
      <c r="G549" s="68" t="s">
        <v>715</v>
      </c>
      <c r="H549" s="69">
        <v>46103.0</v>
      </c>
      <c r="I549" s="78" t="s">
        <v>337</v>
      </c>
      <c r="J549" s="78"/>
      <c r="K549" s="81"/>
      <c r="L549" s="80"/>
      <c r="M549" s="81"/>
    </row>
    <row r="550">
      <c r="A550" s="78" t="s">
        <v>2122</v>
      </c>
      <c r="B550" s="75" t="s">
        <v>319</v>
      </c>
      <c r="C550" s="75" t="s">
        <v>723</v>
      </c>
      <c r="D550" s="78">
        <v>2025.0</v>
      </c>
      <c r="E550" s="78">
        <v>8.60369055016792E14</v>
      </c>
      <c r="F550" s="76" t="s">
        <v>326</v>
      </c>
      <c r="G550" s="68" t="s">
        <v>538</v>
      </c>
      <c r="H550" s="69">
        <v>46112.0</v>
      </c>
      <c r="I550" s="78" t="s">
        <v>337</v>
      </c>
      <c r="J550" s="78"/>
      <c r="K550" s="81"/>
      <c r="L550" s="80"/>
      <c r="M550" s="81"/>
    </row>
    <row r="551">
      <c r="A551" s="78" t="s">
        <v>2124</v>
      </c>
      <c r="B551" s="75" t="s">
        <v>319</v>
      </c>
      <c r="C551" s="75" t="s">
        <v>723</v>
      </c>
      <c r="D551" s="78">
        <v>2025.0</v>
      </c>
      <c r="E551" s="78">
        <v>8.60369055010522E14</v>
      </c>
      <c r="F551" s="76" t="s">
        <v>326</v>
      </c>
      <c r="G551" s="68" t="s">
        <v>538</v>
      </c>
      <c r="H551" s="69">
        <v>46112.0</v>
      </c>
      <c r="I551" s="78" t="s">
        <v>337</v>
      </c>
      <c r="J551" s="78"/>
      <c r="K551" s="81"/>
      <c r="L551" s="80"/>
      <c r="M551" s="81"/>
    </row>
    <row r="552">
      <c r="A552" s="78" t="s">
        <v>2127</v>
      </c>
      <c r="B552" s="75" t="s">
        <v>319</v>
      </c>
      <c r="C552" s="75" t="s">
        <v>723</v>
      </c>
      <c r="D552" s="78">
        <v>2025.0</v>
      </c>
      <c r="E552" s="78">
        <v>8.6036905494E14</v>
      </c>
      <c r="F552" s="76" t="s">
        <v>326</v>
      </c>
      <c r="G552" s="68" t="s">
        <v>538</v>
      </c>
      <c r="H552" s="69">
        <v>46112.0</v>
      </c>
      <c r="I552" s="78" t="s">
        <v>337</v>
      </c>
      <c r="J552" s="78"/>
      <c r="K552" s="81"/>
      <c r="L552" s="80"/>
      <c r="M552" s="81"/>
    </row>
    <row r="553">
      <c r="A553" s="78" t="s">
        <v>2129</v>
      </c>
      <c r="B553" s="75" t="s">
        <v>319</v>
      </c>
      <c r="C553" s="75" t="s">
        <v>1898</v>
      </c>
      <c r="D553" s="78">
        <v>2020.0</v>
      </c>
      <c r="E553" s="78">
        <v>8.60369054976905E14</v>
      </c>
      <c r="F553" s="76" t="s">
        <v>326</v>
      </c>
      <c r="G553" s="68" t="s">
        <v>538</v>
      </c>
      <c r="H553" s="69">
        <v>46112.0</v>
      </c>
      <c r="I553" s="78" t="s">
        <v>337</v>
      </c>
      <c r="J553" s="78"/>
      <c r="K553" s="81"/>
      <c r="L553" s="80"/>
      <c r="M553" s="81"/>
    </row>
    <row r="554">
      <c r="A554" s="78" t="s">
        <v>2132</v>
      </c>
      <c r="B554" s="75" t="s">
        <v>884</v>
      </c>
      <c r="C554" s="220" t="s">
        <v>1894</v>
      </c>
      <c r="D554" s="78">
        <v>2021.0</v>
      </c>
      <c r="E554" s="78">
        <v>8.60369054991219E14</v>
      </c>
      <c r="F554" s="76" t="s">
        <v>326</v>
      </c>
      <c r="G554" s="68" t="s">
        <v>538</v>
      </c>
      <c r="H554" s="69">
        <v>46112.0</v>
      </c>
      <c r="I554" s="78" t="s">
        <v>337</v>
      </c>
      <c r="J554" s="78"/>
      <c r="K554" s="81"/>
      <c r="L554" s="80"/>
      <c r="M554" s="81"/>
    </row>
    <row r="555">
      <c r="A555" s="78" t="s">
        <v>2134</v>
      </c>
      <c r="B555" s="75" t="s">
        <v>389</v>
      </c>
      <c r="C555" s="75" t="s">
        <v>1292</v>
      </c>
      <c r="D555" s="78">
        <v>2025.0</v>
      </c>
      <c r="E555" s="78">
        <v>8.60369055019036E14</v>
      </c>
      <c r="F555" s="76" t="s">
        <v>326</v>
      </c>
      <c r="G555" s="68" t="s">
        <v>538</v>
      </c>
      <c r="H555" s="69">
        <v>46112.0</v>
      </c>
      <c r="I555" s="78" t="s">
        <v>337</v>
      </c>
      <c r="J555" s="78"/>
      <c r="K555" s="81"/>
      <c r="L555" s="80"/>
      <c r="M555" s="81"/>
    </row>
    <row r="556">
      <c r="A556" s="78" t="s">
        <v>2137</v>
      </c>
      <c r="B556" s="75" t="s">
        <v>319</v>
      </c>
      <c r="C556" s="75" t="s">
        <v>321</v>
      </c>
      <c r="D556" s="78">
        <v>2025.0</v>
      </c>
      <c r="E556" s="78">
        <v>8.60369054984487E14</v>
      </c>
      <c r="F556" s="76" t="s">
        <v>326</v>
      </c>
      <c r="G556" s="68" t="s">
        <v>538</v>
      </c>
      <c r="H556" s="69">
        <v>46112.0</v>
      </c>
      <c r="I556" s="78" t="s">
        <v>337</v>
      </c>
      <c r="J556" s="78"/>
      <c r="K556" s="81"/>
      <c r="L556" s="80"/>
      <c r="M556" s="81"/>
    </row>
    <row r="557">
      <c r="A557" s="78" t="s">
        <v>2140</v>
      </c>
      <c r="B557" s="75" t="s">
        <v>884</v>
      </c>
      <c r="C557" s="220" t="s">
        <v>2142</v>
      </c>
      <c r="D557" s="78">
        <v>2022.0</v>
      </c>
      <c r="E557" s="78">
        <v>8.60369055018186E14</v>
      </c>
      <c r="F557" s="76" t="s">
        <v>326</v>
      </c>
      <c r="G557" s="68" t="s">
        <v>538</v>
      </c>
      <c r="H557" s="69">
        <v>46112.0</v>
      </c>
      <c r="I557" s="78" t="s">
        <v>337</v>
      </c>
      <c r="J557" s="78"/>
      <c r="K557" s="81"/>
      <c r="L557" s="80"/>
      <c r="M557" s="81"/>
    </row>
    <row r="558">
      <c r="A558" s="78" t="s">
        <v>2143</v>
      </c>
      <c r="B558" s="75" t="s">
        <v>884</v>
      </c>
      <c r="C558" s="220" t="s">
        <v>1894</v>
      </c>
      <c r="D558" s="78">
        <v>2021.0</v>
      </c>
      <c r="E558" s="78">
        <v>8.60369054783756E14</v>
      </c>
      <c r="F558" s="76" t="s">
        <v>326</v>
      </c>
      <c r="G558" s="68" t="s">
        <v>538</v>
      </c>
      <c r="H558" s="69">
        <v>46112.0</v>
      </c>
      <c r="I558" s="78" t="s">
        <v>337</v>
      </c>
      <c r="J558" s="78"/>
      <c r="K558" s="81"/>
      <c r="L558" s="80"/>
      <c r="M558" s="81"/>
    </row>
    <row r="559">
      <c r="A559" s="78" t="s">
        <v>2145</v>
      </c>
      <c r="B559" s="75" t="s">
        <v>1006</v>
      </c>
      <c r="C559" s="220" t="s">
        <v>2147</v>
      </c>
      <c r="D559" s="78">
        <v>2025.0</v>
      </c>
      <c r="E559" s="78">
        <v>8.60369054942816E14</v>
      </c>
      <c r="F559" s="76" t="s">
        <v>326</v>
      </c>
      <c r="G559" s="68" t="s">
        <v>538</v>
      </c>
      <c r="H559" s="69">
        <v>46112.0</v>
      </c>
      <c r="I559" s="78" t="s">
        <v>337</v>
      </c>
      <c r="J559" s="78"/>
      <c r="K559" s="81"/>
      <c r="L559" s="80"/>
      <c r="M559" s="81"/>
    </row>
    <row r="560">
      <c r="A560" s="78" t="s">
        <v>2149</v>
      </c>
      <c r="B560" s="75" t="s">
        <v>319</v>
      </c>
      <c r="C560" s="75" t="s">
        <v>321</v>
      </c>
      <c r="D560" s="78">
        <v>2025.0</v>
      </c>
      <c r="E560" s="78">
        <v>8.60369055003592E14</v>
      </c>
      <c r="F560" s="76" t="s">
        <v>326</v>
      </c>
      <c r="G560" s="68" t="s">
        <v>538</v>
      </c>
      <c r="H560" s="69">
        <v>46112.0</v>
      </c>
      <c r="I560" s="78" t="s">
        <v>337</v>
      </c>
      <c r="J560" s="78"/>
      <c r="K560" s="81"/>
      <c r="L560" s="80"/>
      <c r="M560" s="81"/>
    </row>
    <row r="561">
      <c r="A561" s="78" t="s">
        <v>2151</v>
      </c>
      <c r="B561" s="75" t="s">
        <v>884</v>
      </c>
      <c r="C561" s="220" t="s">
        <v>1894</v>
      </c>
      <c r="D561" s="78">
        <v>2021.0</v>
      </c>
      <c r="E561" s="78">
        <v>8.60369054737349E14</v>
      </c>
      <c r="F561" s="76" t="s">
        <v>326</v>
      </c>
      <c r="G561" s="68" t="s">
        <v>538</v>
      </c>
      <c r="H561" s="69">
        <v>46112.0</v>
      </c>
      <c r="I561" s="78" t="s">
        <v>337</v>
      </c>
      <c r="J561" s="78"/>
      <c r="K561" s="81"/>
      <c r="L561" s="80"/>
      <c r="M561" s="81"/>
    </row>
    <row r="562">
      <c r="A562" s="78" t="s">
        <v>2154</v>
      </c>
      <c r="B562" s="75" t="s">
        <v>319</v>
      </c>
      <c r="C562" s="75" t="s">
        <v>376</v>
      </c>
      <c r="D562" s="78">
        <v>2023.0</v>
      </c>
      <c r="E562" s="78">
        <v>8.60369055031437E14</v>
      </c>
      <c r="F562" s="76" t="s">
        <v>326</v>
      </c>
      <c r="G562" s="68" t="s">
        <v>538</v>
      </c>
      <c r="H562" s="69">
        <v>46112.0</v>
      </c>
      <c r="I562" s="78" t="s">
        <v>337</v>
      </c>
      <c r="J562" s="78"/>
      <c r="K562" s="81"/>
      <c r="L562" s="80"/>
      <c r="M562" s="81"/>
    </row>
    <row r="563">
      <c r="A563" s="78" t="s">
        <v>2157</v>
      </c>
      <c r="B563" s="75" t="s">
        <v>319</v>
      </c>
      <c r="C563" s="75" t="s">
        <v>376</v>
      </c>
      <c r="D563" s="78">
        <v>2025.0</v>
      </c>
      <c r="E563" s="78">
        <v>8.60369055013229E14</v>
      </c>
      <c r="F563" s="76" t="s">
        <v>326</v>
      </c>
      <c r="G563" s="68" t="s">
        <v>538</v>
      </c>
      <c r="H563" s="69">
        <v>46112.0</v>
      </c>
      <c r="I563" s="78" t="s">
        <v>337</v>
      </c>
      <c r="J563" s="78"/>
      <c r="K563" s="81"/>
      <c r="L563" s="80"/>
      <c r="M563" s="81"/>
    </row>
    <row r="564">
      <c r="A564" s="78" t="s">
        <v>2158</v>
      </c>
      <c r="B564" s="75" t="s">
        <v>319</v>
      </c>
      <c r="C564" s="75" t="s">
        <v>376</v>
      </c>
      <c r="D564" s="78">
        <v>2025.0</v>
      </c>
      <c r="E564" s="78">
        <v>8.60369055014938E14</v>
      </c>
      <c r="F564" s="76" t="s">
        <v>326</v>
      </c>
      <c r="G564" s="68" t="s">
        <v>538</v>
      </c>
      <c r="H564" s="69">
        <v>46112.0</v>
      </c>
      <c r="I564" s="78" t="s">
        <v>337</v>
      </c>
      <c r="J564" s="78"/>
      <c r="K564" s="81"/>
      <c r="L564" s="80"/>
      <c r="M564" s="81"/>
    </row>
    <row r="565">
      <c r="A565" s="78" t="s">
        <v>2161</v>
      </c>
      <c r="B565" s="75" t="s">
        <v>319</v>
      </c>
      <c r="C565" s="75" t="s">
        <v>376</v>
      </c>
      <c r="D565" s="78">
        <v>2022.0</v>
      </c>
      <c r="E565" s="78">
        <v>8.60369055014359E14</v>
      </c>
      <c r="F565" s="76" t="s">
        <v>326</v>
      </c>
      <c r="G565" s="68" t="s">
        <v>538</v>
      </c>
      <c r="H565" s="69">
        <v>46112.0</v>
      </c>
      <c r="I565" s="78" t="s">
        <v>337</v>
      </c>
      <c r="J565" s="78"/>
      <c r="K565" s="81"/>
      <c r="L565" s="80"/>
      <c r="M565" s="81"/>
    </row>
    <row r="566">
      <c r="A566" s="65" t="s">
        <v>2164</v>
      </c>
      <c r="B566" s="65" t="s">
        <v>389</v>
      </c>
      <c r="C566" s="65" t="s">
        <v>1292</v>
      </c>
      <c r="D566" s="65">
        <v>2024.0</v>
      </c>
      <c r="E566" s="65">
        <v>8.60369054726623E14</v>
      </c>
      <c r="F566" s="65" t="s">
        <v>326</v>
      </c>
      <c r="G566" s="192" t="s">
        <v>538</v>
      </c>
      <c r="H566" s="69">
        <v>46112.0</v>
      </c>
      <c r="I566" s="65" t="s">
        <v>337</v>
      </c>
      <c r="J566" s="71"/>
      <c r="K566" s="73"/>
      <c r="L566" s="73"/>
      <c r="M566" s="73" t="s">
        <v>338</v>
      </c>
    </row>
    <row r="567">
      <c r="A567" s="65" t="s">
        <v>2167</v>
      </c>
      <c r="B567" s="65" t="s">
        <v>389</v>
      </c>
      <c r="C567" s="65" t="s">
        <v>1371</v>
      </c>
      <c r="D567" s="65">
        <v>2025.0</v>
      </c>
      <c r="E567" s="65">
        <v>8.60369052167754E14</v>
      </c>
      <c r="F567" s="65" t="s">
        <v>326</v>
      </c>
      <c r="G567" s="192" t="s">
        <v>538</v>
      </c>
      <c r="H567" s="69">
        <v>46112.0</v>
      </c>
      <c r="I567" s="65" t="s">
        <v>337</v>
      </c>
      <c r="J567" s="71"/>
      <c r="K567" s="73"/>
      <c r="L567" s="73"/>
      <c r="M567" s="73" t="s">
        <v>338</v>
      </c>
    </row>
    <row r="568">
      <c r="A568" s="78" t="s">
        <v>2170</v>
      </c>
      <c r="B568" s="75" t="s">
        <v>319</v>
      </c>
      <c r="C568" s="75" t="s">
        <v>321</v>
      </c>
      <c r="D568" s="78">
        <v>2022.0</v>
      </c>
      <c r="E568" s="78">
        <v>8.60369055022386E14</v>
      </c>
      <c r="F568" s="76" t="s">
        <v>326</v>
      </c>
      <c r="G568" s="68" t="s">
        <v>328</v>
      </c>
      <c r="H568" s="69">
        <v>46114.0</v>
      </c>
      <c r="I568" s="78" t="s">
        <v>337</v>
      </c>
      <c r="J568" s="78"/>
      <c r="K568" s="81"/>
      <c r="L568" s="80"/>
      <c r="M568" s="81"/>
    </row>
    <row r="569">
      <c r="A569" s="78" t="s">
        <v>2173</v>
      </c>
      <c r="B569" s="75" t="s">
        <v>319</v>
      </c>
      <c r="C569" s="75" t="s">
        <v>321</v>
      </c>
      <c r="D569" s="78">
        <v>2021.0</v>
      </c>
      <c r="E569" s="78">
        <v>8.60369055014276E14</v>
      </c>
      <c r="F569" s="76" t="s">
        <v>326</v>
      </c>
      <c r="G569" s="68" t="s">
        <v>538</v>
      </c>
      <c r="H569" s="69">
        <v>46118.0</v>
      </c>
      <c r="I569" s="78" t="s">
        <v>337</v>
      </c>
      <c r="J569" s="78"/>
      <c r="K569" s="81"/>
      <c r="L569" s="80"/>
      <c r="M569" s="81"/>
    </row>
    <row r="570">
      <c r="A570" s="78" t="s">
        <v>2174</v>
      </c>
      <c r="B570" s="75" t="s">
        <v>319</v>
      </c>
      <c r="C570" s="75" t="s">
        <v>321</v>
      </c>
      <c r="D570" s="78">
        <v>2022.0</v>
      </c>
      <c r="E570" s="78">
        <v>8.60369054942808E14</v>
      </c>
      <c r="F570" s="76" t="s">
        <v>326</v>
      </c>
      <c r="G570" s="68" t="s">
        <v>538</v>
      </c>
      <c r="H570" s="69">
        <v>46118.0</v>
      </c>
      <c r="I570" s="78" t="s">
        <v>337</v>
      </c>
      <c r="J570" s="78"/>
      <c r="K570" s="81"/>
      <c r="L570" s="80"/>
      <c r="M570" s="81"/>
    </row>
    <row r="571">
      <c r="A571" s="78" t="s">
        <v>2176</v>
      </c>
      <c r="B571" s="75" t="s">
        <v>319</v>
      </c>
      <c r="C571" s="75" t="s">
        <v>321</v>
      </c>
      <c r="D571" s="78">
        <v>2022.0</v>
      </c>
      <c r="E571" s="78">
        <v>8.60369054791767E14</v>
      </c>
      <c r="F571" s="76" t="s">
        <v>326</v>
      </c>
      <c r="G571" s="68" t="s">
        <v>538</v>
      </c>
      <c r="H571" s="69">
        <v>46118.0</v>
      </c>
      <c r="I571" s="78" t="s">
        <v>337</v>
      </c>
      <c r="J571" s="78"/>
      <c r="K571" s="81"/>
      <c r="L571" s="80"/>
      <c r="M571" s="81"/>
    </row>
    <row r="572">
      <c r="A572" s="78" t="s">
        <v>2178</v>
      </c>
      <c r="B572" s="75" t="s">
        <v>1006</v>
      </c>
      <c r="C572" s="75" t="s">
        <v>2179</v>
      </c>
      <c r="D572" s="78">
        <v>2026.0</v>
      </c>
      <c r="E572" s="78">
        <v>8.60369054909278E14</v>
      </c>
      <c r="F572" s="76" t="s">
        <v>326</v>
      </c>
      <c r="G572" s="68" t="s">
        <v>538</v>
      </c>
      <c r="H572" s="69">
        <v>46118.0</v>
      </c>
      <c r="I572" s="78" t="s">
        <v>337</v>
      </c>
      <c r="J572" s="78"/>
      <c r="K572" s="81"/>
      <c r="L572" s="80"/>
      <c r="M572" s="81"/>
    </row>
    <row r="573">
      <c r="A573" s="78" t="s">
        <v>2181</v>
      </c>
      <c r="B573" s="75" t="s">
        <v>319</v>
      </c>
      <c r="C573" s="75" t="s">
        <v>1898</v>
      </c>
      <c r="D573" s="78">
        <v>2019.0</v>
      </c>
      <c r="E573" s="78">
        <v>8.60369054974025E14</v>
      </c>
      <c r="F573" s="76" t="s">
        <v>326</v>
      </c>
      <c r="G573" s="68" t="s">
        <v>538</v>
      </c>
      <c r="H573" s="69">
        <v>46118.0</v>
      </c>
      <c r="I573" s="78" t="s">
        <v>337</v>
      </c>
      <c r="J573" s="78"/>
      <c r="K573" s="81"/>
      <c r="L573" s="80"/>
      <c r="M573" s="81"/>
    </row>
    <row r="574">
      <c r="A574" s="78" t="s">
        <v>2183</v>
      </c>
      <c r="B574" s="75" t="s">
        <v>319</v>
      </c>
      <c r="C574" s="75" t="s">
        <v>321</v>
      </c>
      <c r="D574" s="78">
        <v>2025.0</v>
      </c>
      <c r="E574" s="78">
        <v>8.60369054940026E14</v>
      </c>
      <c r="F574" s="76" t="s">
        <v>326</v>
      </c>
      <c r="G574" s="68" t="s">
        <v>538</v>
      </c>
      <c r="H574" s="69">
        <v>46118.0</v>
      </c>
      <c r="I574" s="78" t="s">
        <v>337</v>
      </c>
      <c r="J574" s="78"/>
      <c r="K574" s="81"/>
      <c r="L574" s="80"/>
      <c r="M574" s="81"/>
    </row>
    <row r="575">
      <c r="A575" s="78" t="s">
        <v>2185</v>
      </c>
      <c r="B575" s="75" t="s">
        <v>319</v>
      </c>
      <c r="C575" s="75" t="s">
        <v>321</v>
      </c>
      <c r="D575" s="78">
        <v>2025.0</v>
      </c>
      <c r="E575" s="78">
        <v>8.60369054755689E14</v>
      </c>
      <c r="F575" s="76" t="s">
        <v>326</v>
      </c>
      <c r="G575" s="68" t="s">
        <v>538</v>
      </c>
      <c r="H575" s="69">
        <v>46118.0</v>
      </c>
      <c r="I575" s="78" t="s">
        <v>337</v>
      </c>
      <c r="J575" s="78"/>
      <c r="K575" s="81"/>
      <c r="L575" s="80"/>
      <c r="M575" s="81"/>
    </row>
    <row r="576">
      <c r="A576" s="78" t="s">
        <v>2187</v>
      </c>
      <c r="B576" s="75" t="s">
        <v>1006</v>
      </c>
      <c r="C576" s="220" t="s">
        <v>2147</v>
      </c>
      <c r="D576" s="78">
        <v>2025.0</v>
      </c>
      <c r="E576" s="78">
        <v>8.60369054988595E14</v>
      </c>
      <c r="F576" s="76" t="s">
        <v>326</v>
      </c>
      <c r="G576" s="68" t="s">
        <v>538</v>
      </c>
      <c r="H576" s="69">
        <v>46118.0</v>
      </c>
      <c r="I576" s="78" t="s">
        <v>337</v>
      </c>
      <c r="J576" s="78"/>
      <c r="K576" s="81"/>
      <c r="L576" s="80"/>
      <c r="M576" s="81"/>
    </row>
    <row r="577">
      <c r="A577" s="78" t="s">
        <v>2190</v>
      </c>
      <c r="B577" s="75" t="s">
        <v>319</v>
      </c>
      <c r="C577" s="75" t="s">
        <v>376</v>
      </c>
      <c r="D577" s="78">
        <v>2023.0</v>
      </c>
      <c r="E577" s="78">
        <v>8.60369055014227E14</v>
      </c>
      <c r="F577" s="76" t="s">
        <v>326</v>
      </c>
      <c r="G577" s="68" t="s">
        <v>538</v>
      </c>
      <c r="H577" s="69">
        <v>46118.0</v>
      </c>
      <c r="I577" s="78" t="s">
        <v>337</v>
      </c>
      <c r="J577" s="78"/>
      <c r="K577" s="81"/>
      <c r="L577" s="80"/>
      <c r="M577" s="81"/>
    </row>
    <row r="578">
      <c r="A578" s="78" t="s">
        <v>2193</v>
      </c>
      <c r="B578" s="75" t="s">
        <v>319</v>
      </c>
      <c r="C578" s="75" t="s">
        <v>321</v>
      </c>
      <c r="D578" s="78">
        <v>2025.0</v>
      </c>
      <c r="E578" s="78">
        <v>8.60369054910987E14</v>
      </c>
      <c r="F578" s="76" t="s">
        <v>326</v>
      </c>
      <c r="G578" s="68" t="s">
        <v>538</v>
      </c>
      <c r="H578" s="69">
        <v>46118.0</v>
      </c>
      <c r="I578" s="78" t="s">
        <v>337</v>
      </c>
      <c r="J578" s="78"/>
      <c r="K578" s="81"/>
      <c r="L578" s="80"/>
      <c r="M578" s="81"/>
    </row>
    <row r="579">
      <c r="A579" s="78" t="s">
        <v>2196</v>
      </c>
      <c r="B579" s="75" t="s">
        <v>319</v>
      </c>
      <c r="C579" s="75" t="s">
        <v>376</v>
      </c>
      <c r="D579" s="78">
        <v>2023.0</v>
      </c>
      <c r="E579" s="78">
        <v>8.60369054947518E14</v>
      </c>
      <c r="F579" s="76" t="s">
        <v>326</v>
      </c>
      <c r="G579" s="68" t="s">
        <v>538</v>
      </c>
      <c r="H579" s="69">
        <v>46118.0</v>
      </c>
      <c r="I579" s="78" t="s">
        <v>337</v>
      </c>
      <c r="J579" s="78"/>
      <c r="K579" s="81"/>
      <c r="L579" s="80"/>
      <c r="M579" s="81"/>
    </row>
    <row r="580">
      <c r="A580" s="65" t="s">
        <v>2198</v>
      </c>
      <c r="B580" s="65" t="s">
        <v>1006</v>
      </c>
      <c r="C580" s="65" t="s">
        <v>2179</v>
      </c>
      <c r="D580" s="65">
        <v>2026.0</v>
      </c>
      <c r="E580" s="65">
        <v>8.60369052701727E14</v>
      </c>
      <c r="F580" s="65" t="s">
        <v>326</v>
      </c>
      <c r="G580" s="192" t="s">
        <v>538</v>
      </c>
      <c r="H580" s="69">
        <v>46118.0</v>
      </c>
      <c r="I580" s="65" t="s">
        <v>337</v>
      </c>
      <c r="J580" s="71"/>
      <c r="K580" s="73"/>
      <c r="L580" s="73"/>
      <c r="M580" s="73" t="s">
        <v>1703</v>
      </c>
    </row>
    <row r="581">
      <c r="A581" s="76" t="s">
        <v>2200</v>
      </c>
      <c r="B581" s="75" t="s">
        <v>319</v>
      </c>
      <c r="C581" s="75" t="s">
        <v>376</v>
      </c>
      <c r="D581" s="75">
        <v>2021.0</v>
      </c>
      <c r="E581" s="75">
        <v>8.60369052692942E14</v>
      </c>
      <c r="F581" s="76" t="s">
        <v>326</v>
      </c>
      <c r="G581" s="68" t="s">
        <v>328</v>
      </c>
      <c r="H581" s="69">
        <v>46119.0</v>
      </c>
      <c r="I581" s="78" t="s">
        <v>337</v>
      </c>
      <c r="J581" s="78"/>
      <c r="K581" s="79"/>
      <c r="L581" s="80"/>
      <c r="M581" s="81"/>
    </row>
    <row r="582">
      <c r="A582" s="65" t="s">
        <v>2203</v>
      </c>
      <c r="B582" s="65" t="s">
        <v>319</v>
      </c>
      <c r="C582" s="65" t="s">
        <v>2204</v>
      </c>
      <c r="D582" s="65">
        <v>2025.0</v>
      </c>
      <c r="E582" s="65">
        <v>8.60369052142971E14</v>
      </c>
      <c r="F582" s="65" t="s">
        <v>326</v>
      </c>
      <c r="G582" s="192" t="s">
        <v>328</v>
      </c>
      <c r="H582" s="69">
        <v>46120.0</v>
      </c>
      <c r="I582" s="65" t="s">
        <v>337</v>
      </c>
      <c r="J582" s="71"/>
      <c r="K582" s="73"/>
      <c r="L582" s="73"/>
      <c r="M582" s="73" t="s">
        <v>338</v>
      </c>
    </row>
    <row r="583">
      <c r="A583" s="78" t="s">
        <v>2207</v>
      </c>
      <c r="B583" s="75" t="s">
        <v>319</v>
      </c>
      <c r="C583" s="75" t="s">
        <v>1898</v>
      </c>
      <c r="D583" s="78">
        <v>2019.0</v>
      </c>
      <c r="E583" s="78">
        <v>8.60369054770126E14</v>
      </c>
      <c r="F583" s="76" t="s">
        <v>326</v>
      </c>
      <c r="G583" s="68" t="s">
        <v>538</v>
      </c>
      <c r="H583" s="69">
        <v>46121.0</v>
      </c>
      <c r="I583" s="78" t="s">
        <v>337</v>
      </c>
      <c r="J583" s="78"/>
      <c r="K583" s="81"/>
      <c r="L583" s="80"/>
      <c r="M583" s="81"/>
    </row>
    <row r="584">
      <c r="A584" s="78" t="s">
        <v>2209</v>
      </c>
      <c r="B584" s="75" t="s">
        <v>319</v>
      </c>
      <c r="C584" s="75" t="s">
        <v>321</v>
      </c>
      <c r="D584" s="78">
        <v>2025.0</v>
      </c>
      <c r="E584" s="78">
        <v>8.60369054770316E14</v>
      </c>
      <c r="F584" s="76" t="s">
        <v>326</v>
      </c>
      <c r="G584" s="68" t="s">
        <v>538</v>
      </c>
      <c r="H584" s="69">
        <v>46121.0</v>
      </c>
      <c r="I584" s="78" t="s">
        <v>337</v>
      </c>
      <c r="J584" s="78"/>
      <c r="K584" s="81"/>
      <c r="L584" s="80"/>
      <c r="M584" s="81"/>
    </row>
    <row r="585">
      <c r="A585" s="78" t="s">
        <v>2211</v>
      </c>
      <c r="B585" s="75" t="s">
        <v>602</v>
      </c>
      <c r="C585" s="75" t="s">
        <v>607</v>
      </c>
      <c r="D585" s="78">
        <v>2023.0</v>
      </c>
      <c r="E585" s="78">
        <v>8.6036905478986E14</v>
      </c>
      <c r="F585" s="76" t="s">
        <v>326</v>
      </c>
      <c r="G585" s="68" t="s">
        <v>538</v>
      </c>
      <c r="H585" s="69">
        <v>46121.0</v>
      </c>
      <c r="I585" s="78" t="s">
        <v>337</v>
      </c>
      <c r="J585" s="78"/>
      <c r="K585" s="81"/>
      <c r="L585" s="80"/>
      <c r="M585" s="81"/>
    </row>
    <row r="586">
      <c r="A586" s="78" t="s">
        <v>2214</v>
      </c>
      <c r="B586" s="75" t="s">
        <v>319</v>
      </c>
      <c r="C586" s="75" t="s">
        <v>321</v>
      </c>
      <c r="D586" s="78">
        <v>2025.0</v>
      </c>
      <c r="E586" s="78">
        <v>8.60369054990856E14</v>
      </c>
      <c r="F586" s="76" t="s">
        <v>326</v>
      </c>
      <c r="G586" s="68" t="s">
        <v>538</v>
      </c>
      <c r="H586" s="69">
        <v>46121.0</v>
      </c>
      <c r="I586" s="78" t="s">
        <v>337</v>
      </c>
      <c r="J586" s="78"/>
      <c r="K586" s="81"/>
      <c r="L586" s="80"/>
      <c r="M586" s="81"/>
    </row>
    <row r="587">
      <c r="A587" s="78" t="s">
        <v>2218</v>
      </c>
      <c r="B587" s="75" t="s">
        <v>884</v>
      </c>
      <c r="C587" s="75" t="s">
        <v>1894</v>
      </c>
      <c r="D587" s="78">
        <v>2021.0</v>
      </c>
      <c r="E587" s="78">
        <v>8.60369054754187E14</v>
      </c>
      <c r="F587" s="76" t="s">
        <v>326</v>
      </c>
      <c r="G587" s="68" t="s">
        <v>538</v>
      </c>
      <c r="H587" s="69">
        <v>46121.0</v>
      </c>
      <c r="I587" s="78" t="s">
        <v>337</v>
      </c>
      <c r="J587" s="78"/>
      <c r="K587" s="81"/>
      <c r="L587" s="80"/>
      <c r="M587" s="81"/>
    </row>
    <row r="588">
      <c r="A588" s="65" t="s">
        <v>2220</v>
      </c>
      <c r="B588" s="65" t="s">
        <v>389</v>
      </c>
      <c r="C588" s="65" t="s">
        <v>1292</v>
      </c>
      <c r="D588" s="65">
        <v>2023.0</v>
      </c>
      <c r="E588" s="65">
        <v>8.60369054929409E14</v>
      </c>
      <c r="F588" s="205" t="s">
        <v>326</v>
      </c>
      <c r="G588" s="192" t="s">
        <v>664</v>
      </c>
      <c r="H588" s="69">
        <v>46121.0</v>
      </c>
      <c r="I588" s="195" t="s">
        <v>1240</v>
      </c>
      <c r="J588" s="71"/>
      <c r="K588" s="73"/>
      <c r="L588" s="73"/>
      <c r="M588" s="73"/>
    </row>
    <row r="589">
      <c r="A589" s="78" t="s">
        <v>2223</v>
      </c>
      <c r="B589" s="75" t="s">
        <v>319</v>
      </c>
      <c r="C589" s="75" t="s">
        <v>723</v>
      </c>
      <c r="D589" s="78">
        <v>2020.0</v>
      </c>
      <c r="E589" s="78">
        <v>8.60369055014243E14</v>
      </c>
      <c r="F589" s="76" t="s">
        <v>326</v>
      </c>
      <c r="G589" s="68" t="s">
        <v>538</v>
      </c>
      <c r="H589" s="69">
        <v>46121.0</v>
      </c>
      <c r="I589" s="78" t="s">
        <v>337</v>
      </c>
      <c r="J589" s="78"/>
      <c r="K589" s="81"/>
      <c r="L589" s="80"/>
      <c r="M589" s="81"/>
    </row>
    <row r="590">
      <c r="A590" s="216" t="s">
        <v>2225</v>
      </c>
      <c r="B590" s="75" t="s">
        <v>943</v>
      </c>
      <c r="C590" s="75">
        <v>966.0</v>
      </c>
      <c r="D590" s="78"/>
      <c r="E590" s="78">
        <v>8.60369054970734E14</v>
      </c>
      <c r="F590" s="76" t="s">
        <v>326</v>
      </c>
      <c r="G590" s="68" t="s">
        <v>328</v>
      </c>
      <c r="H590" s="69">
        <v>46125.0</v>
      </c>
      <c r="I590" s="78" t="s">
        <v>337</v>
      </c>
      <c r="J590" s="78" t="s">
        <v>2227</v>
      </c>
      <c r="K590" s="81"/>
      <c r="L590" s="80"/>
      <c r="M590" s="81"/>
      <c r="N590" s="83" t="s">
        <v>380</v>
      </c>
    </row>
    <row r="591">
      <c r="A591" s="216" t="s">
        <v>2229</v>
      </c>
      <c r="B591" s="75" t="s">
        <v>943</v>
      </c>
      <c r="C591" s="75">
        <v>966.0</v>
      </c>
      <c r="D591" s="78"/>
      <c r="E591" s="78">
        <v>8.60369055006884E14</v>
      </c>
      <c r="F591" s="76" t="s">
        <v>326</v>
      </c>
      <c r="G591" s="68" t="s">
        <v>328</v>
      </c>
      <c r="H591" s="69">
        <v>46125.0</v>
      </c>
      <c r="I591" s="78" t="s">
        <v>337</v>
      </c>
      <c r="J591" s="78" t="s">
        <v>2227</v>
      </c>
      <c r="K591" s="81"/>
      <c r="L591" s="80"/>
      <c r="M591" s="81"/>
      <c r="N591" s="83" t="s">
        <v>380</v>
      </c>
    </row>
    <row r="592">
      <c r="A592" s="78" t="s">
        <v>2230</v>
      </c>
      <c r="B592" s="75" t="s">
        <v>389</v>
      </c>
      <c r="C592" s="75" t="s">
        <v>1292</v>
      </c>
      <c r="D592" s="78">
        <v>2022.0</v>
      </c>
      <c r="E592" s="78">
        <v>8.60369054179443E14</v>
      </c>
      <c r="F592" s="76" t="s">
        <v>326</v>
      </c>
      <c r="G592" s="68" t="s">
        <v>328</v>
      </c>
      <c r="H592" s="69">
        <v>46125.0</v>
      </c>
      <c r="I592" s="78" t="s">
        <v>337</v>
      </c>
      <c r="J592" s="78"/>
      <c r="K592" s="81"/>
      <c r="L592" s="80"/>
      <c r="M592" s="81"/>
      <c r="N592" s="83" t="s">
        <v>380</v>
      </c>
    </row>
    <row r="593">
      <c r="A593" s="216" t="s">
        <v>2233</v>
      </c>
      <c r="B593" s="75" t="s">
        <v>943</v>
      </c>
      <c r="C593" s="75">
        <v>966.0</v>
      </c>
      <c r="D593" s="78">
        <v>2019.0</v>
      </c>
      <c r="E593" s="78">
        <v>8.6036905502646E14</v>
      </c>
      <c r="F593" s="76" t="s">
        <v>326</v>
      </c>
      <c r="G593" s="68" t="s">
        <v>328</v>
      </c>
      <c r="H593" s="69">
        <v>46125.0</v>
      </c>
      <c r="I593" s="78" t="s">
        <v>337</v>
      </c>
      <c r="J593" s="78" t="s">
        <v>2227</v>
      </c>
      <c r="K593" s="81"/>
      <c r="L593" s="80"/>
      <c r="M593" s="81"/>
      <c r="N593" s="83" t="s">
        <v>380</v>
      </c>
    </row>
    <row r="594">
      <c r="A594" s="216" t="s">
        <v>2234</v>
      </c>
      <c r="B594" s="75" t="s">
        <v>952</v>
      </c>
      <c r="C594" s="75" t="s">
        <v>2236</v>
      </c>
      <c r="D594" s="78"/>
      <c r="E594" s="78">
        <v>8.60369055001208E14</v>
      </c>
      <c r="F594" s="76" t="s">
        <v>326</v>
      </c>
      <c r="G594" s="68" t="s">
        <v>328</v>
      </c>
      <c r="H594" s="69">
        <v>46125.0</v>
      </c>
      <c r="I594" s="78" t="s">
        <v>337</v>
      </c>
      <c r="J594" s="78" t="s">
        <v>2227</v>
      </c>
      <c r="K594" s="81"/>
      <c r="L594" s="80"/>
      <c r="M594" s="81"/>
      <c r="N594" s="83" t="s">
        <v>380</v>
      </c>
    </row>
    <row r="595">
      <c r="A595" s="78" t="s">
        <v>2237</v>
      </c>
      <c r="B595" s="75" t="s">
        <v>1013</v>
      </c>
      <c r="C595" s="75" t="s">
        <v>2238</v>
      </c>
      <c r="D595" s="78">
        <v>2022.0</v>
      </c>
      <c r="E595" s="78">
        <v>8.60369054164445E14</v>
      </c>
      <c r="F595" s="76" t="s">
        <v>326</v>
      </c>
      <c r="G595" s="68" t="s">
        <v>836</v>
      </c>
      <c r="H595" s="69">
        <v>46126.0</v>
      </c>
      <c r="I595" s="78" t="s">
        <v>337</v>
      </c>
      <c r="J595" s="78"/>
      <c r="K595" s="81"/>
      <c r="L595" s="80"/>
      <c r="M595" s="81"/>
    </row>
    <row r="596">
      <c r="A596" s="78" t="s">
        <v>2239</v>
      </c>
      <c r="B596" s="75" t="s">
        <v>1016</v>
      </c>
      <c r="C596" s="75" t="s">
        <v>2240</v>
      </c>
      <c r="D596" s="78">
        <v>2022.0</v>
      </c>
      <c r="E596" s="78">
        <v>8.60369054775497E14</v>
      </c>
      <c r="F596" s="76" t="s">
        <v>326</v>
      </c>
      <c r="G596" s="68" t="s">
        <v>836</v>
      </c>
      <c r="H596" s="69">
        <v>46126.0</v>
      </c>
      <c r="I596" s="78" t="s">
        <v>337</v>
      </c>
      <c r="J596" s="78"/>
      <c r="K596" s="81"/>
      <c r="L596" s="80"/>
      <c r="M596" s="81"/>
    </row>
    <row r="597">
      <c r="A597" s="78" t="s">
        <v>2241</v>
      </c>
      <c r="B597" s="75" t="s">
        <v>319</v>
      </c>
      <c r="C597" s="75" t="s">
        <v>376</v>
      </c>
      <c r="D597" s="78">
        <v>2021.0</v>
      </c>
      <c r="E597" s="78">
        <v>8.60369055013302E14</v>
      </c>
      <c r="F597" s="76" t="s">
        <v>326</v>
      </c>
      <c r="G597" s="68" t="s">
        <v>328</v>
      </c>
      <c r="H597" s="69">
        <v>46127.0</v>
      </c>
      <c r="I597" s="78" t="s">
        <v>337</v>
      </c>
      <c r="J597" s="78"/>
      <c r="K597" s="81"/>
      <c r="L597" s="80"/>
      <c r="M597" s="81"/>
    </row>
    <row r="598">
      <c r="A598" s="78" t="s">
        <v>2242</v>
      </c>
      <c r="B598" s="75" t="s">
        <v>389</v>
      </c>
      <c r="C598" s="75" t="s">
        <v>1292</v>
      </c>
      <c r="D598" s="78">
        <v>2022.0</v>
      </c>
      <c r="E598" s="78">
        <v>8.6036905473328E14</v>
      </c>
      <c r="F598" s="76" t="s">
        <v>326</v>
      </c>
      <c r="G598" s="68" t="s">
        <v>328</v>
      </c>
      <c r="H598" s="69">
        <v>46129.0</v>
      </c>
      <c r="I598" s="78" t="s">
        <v>337</v>
      </c>
      <c r="J598" s="78"/>
      <c r="K598" s="81"/>
      <c r="L598" s="80"/>
      <c r="M598" s="81"/>
    </row>
    <row r="599">
      <c r="A599" s="65" t="s">
        <v>2243</v>
      </c>
      <c r="B599" s="65" t="s">
        <v>389</v>
      </c>
      <c r="C599" s="65" t="s">
        <v>1292</v>
      </c>
      <c r="D599" s="65">
        <v>2024.0</v>
      </c>
      <c r="E599" s="65">
        <v>8.6036905474672E14</v>
      </c>
      <c r="F599" s="205" t="s">
        <v>326</v>
      </c>
      <c r="G599" s="192" t="s">
        <v>664</v>
      </c>
      <c r="H599" s="69">
        <v>46132.0</v>
      </c>
      <c r="I599" s="195" t="s">
        <v>1240</v>
      </c>
      <c r="J599" s="71"/>
      <c r="K599" s="73"/>
      <c r="L599" s="73"/>
      <c r="M599" s="73"/>
    </row>
    <row r="600">
      <c r="A600" s="65" t="s">
        <v>2244</v>
      </c>
      <c r="B600" s="65" t="s">
        <v>389</v>
      </c>
      <c r="C600" s="65" t="s">
        <v>1292</v>
      </c>
      <c r="D600" s="65">
        <v>2024.0</v>
      </c>
      <c r="E600" s="65">
        <v>8.60369055013179E14</v>
      </c>
      <c r="F600" s="205" t="s">
        <v>326</v>
      </c>
      <c r="G600" s="192" t="s">
        <v>664</v>
      </c>
      <c r="H600" s="69">
        <v>46132.0</v>
      </c>
      <c r="I600" s="195" t="s">
        <v>1240</v>
      </c>
      <c r="J600" s="71"/>
      <c r="K600" s="73"/>
      <c r="L600" s="73"/>
      <c r="M600" s="73"/>
    </row>
    <row r="601">
      <c r="A601" s="78" t="s">
        <v>2247</v>
      </c>
      <c r="B601" s="75" t="s">
        <v>1006</v>
      </c>
      <c r="C601" s="220" t="s">
        <v>2147</v>
      </c>
      <c r="D601" s="78">
        <v>2025.0</v>
      </c>
      <c r="E601" s="78">
        <v>8.60369054770381E14</v>
      </c>
      <c r="F601" s="76" t="s">
        <v>326</v>
      </c>
      <c r="G601" s="68" t="s">
        <v>538</v>
      </c>
      <c r="H601" s="69">
        <v>46135.0</v>
      </c>
      <c r="I601" s="78" t="s">
        <v>337</v>
      </c>
      <c r="J601" s="78"/>
      <c r="K601" s="81"/>
      <c r="L601" s="80"/>
      <c r="M601" s="81"/>
    </row>
    <row r="602">
      <c r="A602" s="78" t="s">
        <v>2249</v>
      </c>
      <c r="B602" s="75" t="s">
        <v>319</v>
      </c>
      <c r="C602" s="75" t="s">
        <v>1898</v>
      </c>
      <c r="D602" s="78">
        <v>2020.0</v>
      </c>
      <c r="E602" s="78">
        <v>8.60369054933831E14</v>
      </c>
      <c r="F602" s="76" t="s">
        <v>326</v>
      </c>
      <c r="G602" s="68" t="s">
        <v>538</v>
      </c>
      <c r="H602" s="69">
        <v>46135.0</v>
      </c>
      <c r="I602" s="78" t="s">
        <v>337</v>
      </c>
      <c r="J602" s="78"/>
      <c r="K602" s="81"/>
      <c r="L602" s="80"/>
      <c r="M602" s="81"/>
    </row>
    <row r="603">
      <c r="A603" s="78" t="s">
        <v>2250</v>
      </c>
      <c r="B603" s="75" t="s">
        <v>319</v>
      </c>
      <c r="C603" s="75" t="s">
        <v>376</v>
      </c>
      <c r="D603" s="78">
        <v>2023.0</v>
      </c>
      <c r="E603" s="78">
        <v>8.60369054908098E14</v>
      </c>
      <c r="F603" s="76" t="s">
        <v>326</v>
      </c>
      <c r="G603" s="68" t="s">
        <v>538</v>
      </c>
      <c r="H603" s="69">
        <v>46135.0</v>
      </c>
      <c r="I603" s="78" t="s">
        <v>337</v>
      </c>
      <c r="J603" s="78"/>
      <c r="K603" s="81"/>
      <c r="L603" s="80"/>
      <c r="M603" s="81"/>
    </row>
    <row r="604">
      <c r="A604" s="78" t="s">
        <v>2253</v>
      </c>
      <c r="B604" s="75" t="s">
        <v>389</v>
      </c>
      <c r="C604" s="75" t="s">
        <v>1371</v>
      </c>
      <c r="D604" s="78">
        <v>2025.0</v>
      </c>
      <c r="E604" s="78">
        <v>8.60369055011397E14</v>
      </c>
      <c r="F604" s="76" t="s">
        <v>326</v>
      </c>
      <c r="G604" s="68" t="s">
        <v>538</v>
      </c>
      <c r="H604" s="69">
        <v>46135.0</v>
      </c>
      <c r="I604" s="78" t="s">
        <v>337</v>
      </c>
      <c r="J604" s="78"/>
      <c r="K604" s="81"/>
      <c r="L604" s="80"/>
      <c r="M604" s="81"/>
    </row>
    <row r="605">
      <c r="A605" s="78" t="s">
        <v>2257</v>
      </c>
      <c r="B605" s="75" t="s">
        <v>319</v>
      </c>
      <c r="C605" s="75" t="s">
        <v>376</v>
      </c>
      <c r="D605" s="78">
        <v>2021.0</v>
      </c>
      <c r="E605" s="78">
        <v>8.60369054975352E14</v>
      </c>
      <c r="F605" s="76" t="s">
        <v>326</v>
      </c>
      <c r="G605" s="68" t="s">
        <v>538</v>
      </c>
      <c r="H605" s="69">
        <v>46135.0</v>
      </c>
      <c r="I605" s="78" t="s">
        <v>337</v>
      </c>
      <c r="J605" s="78"/>
      <c r="K605" s="81"/>
      <c r="L605" s="80"/>
      <c r="M605" s="81"/>
    </row>
    <row r="606">
      <c r="A606" s="78" t="s">
        <v>2260</v>
      </c>
      <c r="B606" s="75" t="s">
        <v>319</v>
      </c>
      <c r="C606" s="75" t="s">
        <v>321</v>
      </c>
      <c r="D606" s="78">
        <v>2025.0</v>
      </c>
      <c r="E606" s="78">
        <v>8.60369054930878E14</v>
      </c>
      <c r="F606" s="76" t="s">
        <v>326</v>
      </c>
      <c r="G606" s="68" t="s">
        <v>538</v>
      </c>
      <c r="H606" s="69">
        <v>46135.0</v>
      </c>
      <c r="I606" s="78" t="s">
        <v>337</v>
      </c>
      <c r="J606" s="78"/>
      <c r="K606" s="81"/>
      <c r="L606" s="80"/>
      <c r="M606" s="81"/>
    </row>
    <row r="607">
      <c r="A607" s="78" t="s">
        <v>2263</v>
      </c>
      <c r="B607" s="75" t="s">
        <v>319</v>
      </c>
      <c r="C607" s="75" t="s">
        <v>321</v>
      </c>
      <c r="D607" s="78">
        <v>2025.0</v>
      </c>
      <c r="E607" s="78">
        <v>8.60369054933823E14</v>
      </c>
      <c r="F607" s="76" t="s">
        <v>326</v>
      </c>
      <c r="G607" s="68" t="s">
        <v>538</v>
      </c>
      <c r="H607" s="69">
        <v>46135.0</v>
      </c>
      <c r="I607" s="78" t="s">
        <v>337</v>
      </c>
      <c r="J607" s="78"/>
      <c r="K607" s="81"/>
      <c r="L607" s="80"/>
      <c r="M607" s="81"/>
    </row>
    <row r="608">
      <c r="A608" s="203" t="s">
        <v>2265</v>
      </c>
      <c r="B608" s="203" t="s">
        <v>389</v>
      </c>
      <c r="C608" s="203" t="s">
        <v>1292</v>
      </c>
      <c r="D608" s="65">
        <v>2022.0</v>
      </c>
      <c r="E608" s="65">
        <v>8.60369054187909E14</v>
      </c>
      <c r="F608" s="65" t="s">
        <v>326</v>
      </c>
      <c r="G608" s="192" t="s">
        <v>328</v>
      </c>
      <c r="H608" s="69">
        <v>46136.0</v>
      </c>
      <c r="I608" s="65" t="s">
        <v>337</v>
      </c>
      <c r="J608" s="71"/>
      <c r="K608" s="73"/>
      <c r="L608" s="73"/>
      <c r="M608" s="73" t="s">
        <v>338</v>
      </c>
    </row>
    <row r="609">
      <c r="A609" s="223" t="s">
        <v>2268</v>
      </c>
      <c r="B609" s="65" t="s">
        <v>319</v>
      </c>
      <c r="C609" s="195" t="s">
        <v>723</v>
      </c>
      <c r="D609" s="195">
        <v>2020.0</v>
      </c>
      <c r="E609" s="65">
        <v>8.60369052168323E14</v>
      </c>
      <c r="F609" s="65" t="s">
        <v>326</v>
      </c>
      <c r="G609" s="210" t="s">
        <v>404</v>
      </c>
      <c r="H609" s="69">
        <v>46142.0</v>
      </c>
      <c r="I609" s="195" t="s">
        <v>337</v>
      </c>
      <c r="J609" s="71"/>
      <c r="K609" s="71"/>
      <c r="L609" s="73"/>
      <c r="M609" s="73" t="s">
        <v>338</v>
      </c>
    </row>
    <row r="610">
      <c r="A610" s="223" t="s">
        <v>2273</v>
      </c>
      <c r="B610" s="195" t="s">
        <v>884</v>
      </c>
      <c r="C610" s="224" t="s">
        <v>1402</v>
      </c>
      <c r="D610" s="195">
        <v>2014.0</v>
      </c>
      <c r="E610" s="65">
        <v>8.6036905475997E14</v>
      </c>
      <c r="F610" s="65" t="s">
        <v>326</v>
      </c>
      <c r="G610" s="210" t="s">
        <v>404</v>
      </c>
      <c r="H610" s="69">
        <v>46142.0</v>
      </c>
      <c r="I610" s="195" t="s">
        <v>337</v>
      </c>
      <c r="J610" s="71"/>
      <c r="K610" s="73"/>
      <c r="L610" s="73"/>
      <c r="M610" s="73" t="s">
        <v>338</v>
      </c>
    </row>
    <row r="611">
      <c r="A611" s="78" t="s">
        <v>2277</v>
      </c>
      <c r="B611" s="75" t="s">
        <v>319</v>
      </c>
      <c r="C611" s="75" t="s">
        <v>376</v>
      </c>
      <c r="D611" s="78">
        <v>2021.0</v>
      </c>
      <c r="E611" s="78">
        <v>8.60369055020331E14</v>
      </c>
      <c r="F611" s="76" t="s">
        <v>326</v>
      </c>
      <c r="G611" s="68" t="s">
        <v>328</v>
      </c>
      <c r="H611" s="69">
        <v>46146.0</v>
      </c>
      <c r="I611" s="78" t="s">
        <v>337</v>
      </c>
      <c r="J611" s="78"/>
      <c r="K611" s="81"/>
      <c r="L611" s="80"/>
      <c r="M611" s="81"/>
    </row>
    <row r="612">
      <c r="A612" s="78" t="s">
        <v>2281</v>
      </c>
      <c r="B612" s="75" t="s">
        <v>319</v>
      </c>
      <c r="C612" s="75" t="s">
        <v>376</v>
      </c>
      <c r="D612" s="78">
        <v>2021.0</v>
      </c>
      <c r="E612" s="78">
        <v>8.6036905502359E14</v>
      </c>
      <c r="F612" s="76" t="s">
        <v>326</v>
      </c>
      <c r="G612" s="68" t="s">
        <v>328</v>
      </c>
      <c r="H612" s="69">
        <v>46147.0</v>
      </c>
      <c r="I612" s="78" t="s">
        <v>337</v>
      </c>
      <c r="J612" s="78"/>
      <c r="K612" s="81"/>
      <c r="L612" s="80"/>
      <c r="M612" s="81"/>
    </row>
    <row r="613">
      <c r="A613" s="75" t="s">
        <v>2283</v>
      </c>
      <c r="B613" s="225" t="s">
        <v>319</v>
      </c>
      <c r="C613" s="226" t="s">
        <v>321</v>
      </c>
      <c r="D613" s="227">
        <v>2024.0</v>
      </c>
      <c r="E613" s="75">
        <v>8.60369054165566E14</v>
      </c>
      <c r="F613" s="76" t="s">
        <v>326</v>
      </c>
      <c r="G613" s="68" t="s">
        <v>328</v>
      </c>
      <c r="H613" s="69">
        <v>45658.0</v>
      </c>
      <c r="I613" s="78" t="s">
        <v>337</v>
      </c>
      <c r="J613" s="78"/>
      <c r="K613" s="79"/>
      <c r="L613" s="80"/>
      <c r="M613" s="81"/>
    </row>
    <row r="614">
      <c r="A614" s="78" t="s">
        <v>2288</v>
      </c>
      <c r="B614" s="75" t="s">
        <v>319</v>
      </c>
      <c r="C614" s="75" t="s">
        <v>376</v>
      </c>
      <c r="D614" s="78">
        <v>2024.0</v>
      </c>
      <c r="E614" s="78">
        <v>8.6036905501802E14</v>
      </c>
      <c r="F614" s="76" t="s">
        <v>326</v>
      </c>
      <c r="G614" s="68" t="s">
        <v>715</v>
      </c>
      <c r="H614" s="69">
        <v>46151.0</v>
      </c>
      <c r="I614" s="78" t="s">
        <v>337</v>
      </c>
      <c r="J614" s="78"/>
      <c r="K614" s="81"/>
      <c r="L614" s="80"/>
      <c r="M614" s="81"/>
    </row>
    <row r="615">
      <c r="A615" s="78" t="s">
        <v>2291</v>
      </c>
      <c r="B615" s="75" t="s">
        <v>319</v>
      </c>
      <c r="C615" s="75" t="s">
        <v>376</v>
      </c>
      <c r="D615" s="78">
        <v>2024.0</v>
      </c>
      <c r="E615" s="78">
        <v>8.60369054983901E14</v>
      </c>
      <c r="F615" s="76" t="s">
        <v>326</v>
      </c>
      <c r="G615" s="68" t="s">
        <v>715</v>
      </c>
      <c r="H615" s="69">
        <v>46151.0</v>
      </c>
      <c r="I615" s="78" t="s">
        <v>337</v>
      </c>
      <c r="J615" s="78"/>
      <c r="K615" s="81"/>
      <c r="L615" s="80"/>
      <c r="M615" s="81"/>
    </row>
    <row r="616">
      <c r="A616" s="78" t="s">
        <v>2293</v>
      </c>
      <c r="B616" s="75" t="s">
        <v>884</v>
      </c>
      <c r="C616" s="75" t="s">
        <v>1310</v>
      </c>
      <c r="D616" s="78">
        <v>2022.0</v>
      </c>
      <c r="E616" s="228">
        <v>8.60369054185101E14</v>
      </c>
      <c r="F616" s="76" t="s">
        <v>326</v>
      </c>
      <c r="G616" s="68" t="s">
        <v>715</v>
      </c>
      <c r="H616" s="69">
        <v>46151.0</v>
      </c>
      <c r="I616" s="78" t="s">
        <v>337</v>
      </c>
      <c r="J616" s="78"/>
      <c r="K616" s="81"/>
      <c r="L616" s="80"/>
      <c r="M616" s="81"/>
    </row>
    <row r="617">
      <c r="A617" s="78" t="s">
        <v>2297</v>
      </c>
      <c r="B617" s="75" t="s">
        <v>389</v>
      </c>
      <c r="C617" s="65" t="s">
        <v>1292</v>
      </c>
      <c r="D617" s="78">
        <v>2025.0</v>
      </c>
      <c r="E617" s="78">
        <v>8.60369055023301E14</v>
      </c>
      <c r="F617" s="76" t="s">
        <v>326</v>
      </c>
      <c r="G617" s="68" t="s">
        <v>715</v>
      </c>
      <c r="H617" s="69">
        <v>46151.0</v>
      </c>
      <c r="I617" s="78" t="s">
        <v>337</v>
      </c>
      <c r="J617" s="78"/>
      <c r="K617" s="81"/>
      <c r="L617" s="80"/>
      <c r="M617" s="81"/>
    </row>
    <row r="618">
      <c r="A618" s="78" t="s">
        <v>2300</v>
      </c>
      <c r="B618" s="75" t="s">
        <v>884</v>
      </c>
      <c r="C618" s="75" t="s">
        <v>1310</v>
      </c>
      <c r="D618" s="78">
        <v>2022.0</v>
      </c>
      <c r="E618" s="78">
        <v>8.60369055010092E14</v>
      </c>
      <c r="F618" s="76" t="s">
        <v>326</v>
      </c>
      <c r="G618" s="68" t="s">
        <v>715</v>
      </c>
      <c r="H618" s="69">
        <v>46151.0</v>
      </c>
      <c r="I618" s="78" t="s">
        <v>337</v>
      </c>
      <c r="J618" s="78"/>
      <c r="K618" s="81"/>
      <c r="L618" s="80"/>
      <c r="M618" s="81"/>
    </row>
    <row r="619">
      <c r="A619" s="78" t="s">
        <v>2303</v>
      </c>
      <c r="B619" s="75" t="s">
        <v>884</v>
      </c>
      <c r="C619" s="75" t="s">
        <v>1310</v>
      </c>
      <c r="D619" s="78">
        <v>2022.0</v>
      </c>
      <c r="E619" s="78">
        <v>8.60369051069019E14</v>
      </c>
      <c r="F619" s="76" t="s">
        <v>326</v>
      </c>
      <c r="G619" s="68" t="s">
        <v>715</v>
      </c>
      <c r="H619" s="69">
        <v>46151.0</v>
      </c>
      <c r="I619" s="78" t="s">
        <v>337</v>
      </c>
      <c r="J619" s="78"/>
      <c r="K619" s="81"/>
      <c r="L619" s="80"/>
      <c r="M619" s="81"/>
    </row>
    <row r="620">
      <c r="A620" s="78" t="s">
        <v>2305</v>
      </c>
      <c r="B620" s="75" t="s">
        <v>884</v>
      </c>
      <c r="C620" s="75" t="s">
        <v>1310</v>
      </c>
      <c r="D620" s="78">
        <v>2022.0</v>
      </c>
      <c r="E620" s="78">
        <v>8.60369054415136E14</v>
      </c>
      <c r="F620" s="76" t="s">
        <v>326</v>
      </c>
      <c r="G620" s="68" t="s">
        <v>715</v>
      </c>
      <c r="H620" s="69">
        <v>46151.0</v>
      </c>
      <c r="I620" s="78" t="s">
        <v>337</v>
      </c>
      <c r="J620" s="78"/>
      <c r="K620" s="81"/>
      <c r="L620" s="80"/>
      <c r="M620" s="81"/>
    </row>
    <row r="621">
      <c r="A621" s="78" t="s">
        <v>2310</v>
      </c>
      <c r="B621" s="75" t="s">
        <v>884</v>
      </c>
      <c r="C621" s="75" t="s">
        <v>1402</v>
      </c>
      <c r="D621" s="78">
        <v>2019.0</v>
      </c>
      <c r="E621" s="78">
        <v>8.60369051067351E14</v>
      </c>
      <c r="F621" s="76" t="s">
        <v>326</v>
      </c>
      <c r="G621" s="68" t="s">
        <v>715</v>
      </c>
      <c r="H621" s="69">
        <v>46151.0</v>
      </c>
      <c r="I621" s="78" t="s">
        <v>337</v>
      </c>
      <c r="J621" s="78"/>
      <c r="K621" s="81"/>
      <c r="L621" s="80"/>
      <c r="M621" s="81"/>
    </row>
    <row r="622">
      <c r="A622" s="78" t="s">
        <v>2314</v>
      </c>
      <c r="B622" s="75" t="s">
        <v>389</v>
      </c>
      <c r="C622" s="65" t="s">
        <v>1292</v>
      </c>
      <c r="D622" s="78">
        <v>2024.0</v>
      </c>
      <c r="E622" s="78">
        <v>8.60369055029241E14</v>
      </c>
      <c r="F622" s="76" t="s">
        <v>326</v>
      </c>
      <c r="G622" s="68" t="s">
        <v>715</v>
      </c>
      <c r="H622" s="69">
        <v>46151.0</v>
      </c>
      <c r="I622" s="78" t="s">
        <v>337</v>
      </c>
      <c r="J622" s="78"/>
      <c r="K622" s="81"/>
      <c r="L622" s="80"/>
      <c r="M622" s="81"/>
    </row>
    <row r="623">
      <c r="A623" s="78" t="s">
        <v>2317</v>
      </c>
      <c r="B623" s="75" t="s">
        <v>389</v>
      </c>
      <c r="C623" s="65" t="s">
        <v>1292</v>
      </c>
      <c r="D623" s="78">
        <v>2025.0</v>
      </c>
      <c r="E623" s="78">
        <v>8.60369055008575E14</v>
      </c>
      <c r="F623" s="76" t="s">
        <v>326</v>
      </c>
      <c r="G623" s="68" t="s">
        <v>715</v>
      </c>
      <c r="H623" s="69">
        <v>46151.0</v>
      </c>
      <c r="I623" s="78" t="s">
        <v>337</v>
      </c>
      <c r="J623" s="78"/>
      <c r="K623" s="81"/>
      <c r="L623" s="80"/>
      <c r="M623" s="81"/>
    </row>
    <row r="624">
      <c r="A624" s="78" t="s">
        <v>2319</v>
      </c>
      <c r="B624" s="75" t="s">
        <v>389</v>
      </c>
      <c r="C624" s="65" t="s">
        <v>1292</v>
      </c>
      <c r="D624" s="78">
        <v>2025.0</v>
      </c>
      <c r="E624" s="78">
        <v>8.60369055031395E14</v>
      </c>
      <c r="F624" s="76" t="s">
        <v>326</v>
      </c>
      <c r="G624" s="68" t="s">
        <v>715</v>
      </c>
      <c r="H624" s="69">
        <v>46151.0</v>
      </c>
      <c r="I624" s="78" t="s">
        <v>337</v>
      </c>
      <c r="J624" s="78"/>
      <c r="K624" s="81"/>
      <c r="L624" s="80"/>
      <c r="M624" s="81"/>
    </row>
    <row r="625">
      <c r="A625" s="78" t="s">
        <v>2322</v>
      </c>
      <c r="B625" s="75" t="s">
        <v>319</v>
      </c>
      <c r="C625" s="75" t="s">
        <v>376</v>
      </c>
      <c r="D625" s="78">
        <v>2024.0</v>
      </c>
      <c r="E625" s="78">
        <v>8.60369055005852E14</v>
      </c>
      <c r="F625" s="76" t="s">
        <v>326</v>
      </c>
      <c r="G625" s="68" t="s">
        <v>715</v>
      </c>
      <c r="H625" s="69">
        <v>46151.0</v>
      </c>
      <c r="I625" s="78" t="s">
        <v>337</v>
      </c>
      <c r="J625" s="78"/>
      <c r="K625" s="81"/>
      <c r="L625" s="80"/>
      <c r="M625" s="81"/>
    </row>
    <row r="626">
      <c r="A626" s="78" t="s">
        <v>2325</v>
      </c>
      <c r="B626" s="75" t="s">
        <v>884</v>
      </c>
      <c r="C626" s="75" t="s">
        <v>1310</v>
      </c>
      <c r="D626" s="78">
        <v>2022.0</v>
      </c>
      <c r="E626" s="78">
        <v>8.603690550127E14</v>
      </c>
      <c r="F626" s="76" t="s">
        <v>326</v>
      </c>
      <c r="G626" s="68" t="s">
        <v>715</v>
      </c>
      <c r="H626" s="69">
        <v>46151.0</v>
      </c>
      <c r="I626" s="78" t="s">
        <v>337</v>
      </c>
      <c r="J626" s="78"/>
      <c r="K626" s="81"/>
      <c r="L626" s="80"/>
      <c r="M626" s="81"/>
    </row>
    <row r="627">
      <c r="A627" s="78" t="s">
        <v>2328</v>
      </c>
      <c r="B627" s="75" t="s">
        <v>884</v>
      </c>
      <c r="C627" s="75" t="s">
        <v>1310</v>
      </c>
      <c r="D627" s="78">
        <v>2022.0</v>
      </c>
      <c r="E627" s="78">
        <v>8.60369055028367E14</v>
      </c>
      <c r="F627" s="76" t="s">
        <v>326</v>
      </c>
      <c r="G627" s="68" t="s">
        <v>715</v>
      </c>
      <c r="H627" s="69">
        <v>46151.0</v>
      </c>
      <c r="I627" s="78" t="s">
        <v>337</v>
      </c>
      <c r="J627" s="78"/>
      <c r="K627" s="81"/>
      <c r="L627" s="80"/>
      <c r="M627" s="81"/>
    </row>
    <row r="628">
      <c r="A628" s="78" t="s">
        <v>2333</v>
      </c>
      <c r="B628" s="75" t="s">
        <v>884</v>
      </c>
      <c r="C628" s="75" t="s">
        <v>1310</v>
      </c>
      <c r="D628" s="78">
        <v>2022.0</v>
      </c>
      <c r="E628" s="78">
        <v>8.60369055011462E14</v>
      </c>
      <c r="F628" s="76" t="s">
        <v>326</v>
      </c>
      <c r="G628" s="68" t="s">
        <v>715</v>
      </c>
      <c r="H628" s="69">
        <v>46151.0</v>
      </c>
      <c r="I628" s="78" t="s">
        <v>337</v>
      </c>
      <c r="J628" s="78"/>
      <c r="K628" s="81"/>
      <c r="L628" s="80"/>
      <c r="M628" s="81"/>
    </row>
    <row r="629">
      <c r="A629" s="78" t="s">
        <v>2336</v>
      </c>
      <c r="B629" s="75" t="s">
        <v>884</v>
      </c>
      <c r="C629" s="75" t="s">
        <v>1894</v>
      </c>
      <c r="D629" s="78">
        <v>2021.0</v>
      </c>
      <c r="E629" s="78">
        <v>8.60369054943061E14</v>
      </c>
      <c r="F629" s="76" t="s">
        <v>326</v>
      </c>
      <c r="G629" s="68" t="s">
        <v>538</v>
      </c>
      <c r="H629" s="69">
        <v>46157.0</v>
      </c>
      <c r="I629" s="78" t="s">
        <v>337</v>
      </c>
      <c r="J629" s="78"/>
      <c r="K629" s="81"/>
      <c r="L629" s="80"/>
      <c r="M629" s="81"/>
    </row>
    <row r="630">
      <c r="A630" s="78" t="s">
        <v>2340</v>
      </c>
      <c r="B630" s="75" t="s">
        <v>884</v>
      </c>
      <c r="C630" s="75" t="s">
        <v>1894</v>
      </c>
      <c r="D630" s="78">
        <v>2023.0</v>
      </c>
      <c r="E630" s="78">
        <v>8.60369054993371E14</v>
      </c>
      <c r="F630" s="76" t="s">
        <v>326</v>
      </c>
      <c r="G630" s="68" t="s">
        <v>715</v>
      </c>
      <c r="H630" s="69">
        <v>46158.0</v>
      </c>
      <c r="I630" s="78" t="s">
        <v>337</v>
      </c>
      <c r="J630" s="78"/>
      <c r="K630" s="81"/>
      <c r="L630" s="80"/>
      <c r="M630" s="81"/>
    </row>
    <row r="631">
      <c r="A631" s="78" t="s">
        <v>2343</v>
      </c>
      <c r="B631" s="75" t="s">
        <v>884</v>
      </c>
      <c r="C631" s="75" t="s">
        <v>1894</v>
      </c>
      <c r="D631" s="78">
        <v>2022.0</v>
      </c>
      <c r="E631" s="78">
        <v>8.60369054184971E14</v>
      </c>
      <c r="F631" s="76" t="s">
        <v>326</v>
      </c>
      <c r="G631" s="68" t="s">
        <v>715</v>
      </c>
      <c r="H631" s="69">
        <v>46158.0</v>
      </c>
      <c r="I631" s="78" t="s">
        <v>337</v>
      </c>
      <c r="J631" s="78"/>
      <c r="K631" s="81"/>
      <c r="L631" s="80"/>
      <c r="M631" s="81"/>
    </row>
    <row r="632">
      <c r="A632" s="78" t="s">
        <v>2346</v>
      </c>
      <c r="B632" s="75" t="s">
        <v>884</v>
      </c>
      <c r="C632" s="75" t="s">
        <v>1894</v>
      </c>
      <c r="D632" s="78">
        <v>2022.0</v>
      </c>
      <c r="E632" s="78">
        <v>8.60369055011348E14</v>
      </c>
      <c r="F632" s="76" t="s">
        <v>326</v>
      </c>
      <c r="G632" s="68" t="s">
        <v>715</v>
      </c>
      <c r="H632" s="69">
        <v>46158.0</v>
      </c>
      <c r="I632" s="78" t="s">
        <v>337</v>
      </c>
      <c r="J632" s="78"/>
      <c r="K632" s="81"/>
      <c r="L632" s="80"/>
      <c r="M632" s="81"/>
    </row>
    <row r="633">
      <c r="A633" s="78" t="s">
        <v>2347</v>
      </c>
      <c r="B633" s="75" t="s">
        <v>884</v>
      </c>
      <c r="C633" s="75" t="s">
        <v>1894</v>
      </c>
      <c r="D633" s="78">
        <v>2021.0</v>
      </c>
      <c r="E633" s="78">
        <v>8.60369054938624E14</v>
      </c>
      <c r="F633" s="76" t="s">
        <v>326</v>
      </c>
      <c r="G633" s="68" t="s">
        <v>715</v>
      </c>
      <c r="H633" s="69">
        <v>46158.0</v>
      </c>
      <c r="I633" s="78" t="s">
        <v>337</v>
      </c>
      <c r="J633" s="78"/>
      <c r="K633" s="81"/>
      <c r="L633" s="80"/>
      <c r="M633" s="81"/>
    </row>
    <row r="634">
      <c r="A634" s="78" t="s">
        <v>2350</v>
      </c>
      <c r="B634" s="75" t="s">
        <v>884</v>
      </c>
      <c r="C634" s="75" t="s">
        <v>1894</v>
      </c>
      <c r="D634" s="78">
        <v>2023.0</v>
      </c>
      <c r="E634" s="78">
        <v>8.6036905492973E14</v>
      </c>
      <c r="F634" s="76" t="s">
        <v>326</v>
      </c>
      <c r="G634" s="68" t="s">
        <v>715</v>
      </c>
      <c r="H634" s="69">
        <v>46158.0</v>
      </c>
      <c r="I634" s="78" t="s">
        <v>337</v>
      </c>
      <c r="J634" s="78"/>
      <c r="K634" s="81"/>
      <c r="L634" s="80"/>
      <c r="M634" s="81"/>
    </row>
    <row r="635">
      <c r="A635" s="78" t="s">
        <v>2352</v>
      </c>
      <c r="B635" s="75" t="s">
        <v>389</v>
      </c>
      <c r="C635" s="65" t="s">
        <v>1292</v>
      </c>
      <c r="D635" s="78">
        <v>2024.0</v>
      </c>
      <c r="E635" s="78">
        <v>8.60369055002446E14</v>
      </c>
      <c r="F635" s="76" t="s">
        <v>326</v>
      </c>
      <c r="G635" s="68" t="s">
        <v>715</v>
      </c>
      <c r="H635" s="69">
        <v>46158.0</v>
      </c>
      <c r="I635" s="78" t="s">
        <v>337</v>
      </c>
      <c r="J635" s="78"/>
      <c r="K635" s="81"/>
      <c r="L635" s="80"/>
      <c r="M635" s="81"/>
    </row>
    <row r="636">
      <c r="A636" s="78" t="s">
        <v>2354</v>
      </c>
      <c r="B636" s="75" t="s">
        <v>884</v>
      </c>
      <c r="C636" s="75" t="s">
        <v>1894</v>
      </c>
      <c r="D636" s="78">
        <v>2021.0</v>
      </c>
      <c r="E636" s="78">
        <v>8.60369052168687E14</v>
      </c>
      <c r="F636" s="76" t="s">
        <v>326</v>
      </c>
      <c r="G636" s="68" t="s">
        <v>715</v>
      </c>
      <c r="H636" s="69">
        <v>46158.0</v>
      </c>
      <c r="I636" s="78" t="s">
        <v>337</v>
      </c>
      <c r="J636" s="78"/>
      <c r="K636" s="81"/>
      <c r="L636" s="80"/>
      <c r="M636" s="81"/>
    </row>
    <row r="637">
      <c r="A637" s="78" t="s">
        <v>2356</v>
      </c>
      <c r="B637" s="75" t="s">
        <v>884</v>
      </c>
      <c r="C637" s="75" t="s">
        <v>1894</v>
      </c>
      <c r="D637" s="78">
        <v>2022.0</v>
      </c>
      <c r="E637" s="78">
        <v>8.60369052449558E14</v>
      </c>
      <c r="F637" s="76" t="s">
        <v>326</v>
      </c>
      <c r="G637" s="68" t="s">
        <v>715</v>
      </c>
      <c r="H637" s="69">
        <v>46158.0</v>
      </c>
      <c r="I637" s="78" t="s">
        <v>337</v>
      </c>
      <c r="J637" s="78"/>
      <c r="K637" s="81"/>
      <c r="L637" s="80"/>
      <c r="M637" s="81"/>
    </row>
    <row r="638">
      <c r="A638" s="78" t="s">
        <v>2359</v>
      </c>
      <c r="B638" s="75" t="s">
        <v>884</v>
      </c>
      <c r="C638" s="75" t="s">
        <v>1894</v>
      </c>
      <c r="D638" s="78">
        <v>2022.0</v>
      </c>
      <c r="E638" s="78">
        <v>8.60369055023533E14</v>
      </c>
      <c r="F638" s="76" t="s">
        <v>326</v>
      </c>
      <c r="G638" s="68" t="s">
        <v>715</v>
      </c>
      <c r="H638" s="69">
        <v>46158.0</v>
      </c>
      <c r="I638" s="78" t="s">
        <v>337</v>
      </c>
      <c r="J638" s="78"/>
      <c r="K638" s="81"/>
      <c r="L638" s="80"/>
      <c r="M638" s="81"/>
    </row>
    <row r="639">
      <c r="A639" s="78" t="s">
        <v>2361</v>
      </c>
      <c r="B639" s="75" t="s">
        <v>884</v>
      </c>
      <c r="C639" s="75" t="s">
        <v>1894</v>
      </c>
      <c r="D639" s="78">
        <v>2022.0</v>
      </c>
      <c r="E639" s="78">
        <v>8.60369052141957E14</v>
      </c>
      <c r="F639" s="76" t="s">
        <v>326</v>
      </c>
      <c r="G639" s="68" t="s">
        <v>715</v>
      </c>
      <c r="H639" s="69">
        <v>46158.0</v>
      </c>
      <c r="I639" s="78" t="s">
        <v>337</v>
      </c>
      <c r="J639" s="78"/>
      <c r="K639" s="81"/>
      <c r="L639" s="80"/>
      <c r="M639" s="81"/>
    </row>
    <row r="640">
      <c r="A640" s="78" t="s">
        <v>2363</v>
      </c>
      <c r="B640" s="75" t="s">
        <v>884</v>
      </c>
      <c r="C640" s="75" t="s">
        <v>1894</v>
      </c>
      <c r="D640" s="78">
        <v>2022.0</v>
      </c>
      <c r="E640" s="78">
        <v>8.60369054916067E14</v>
      </c>
      <c r="F640" s="76" t="s">
        <v>326</v>
      </c>
      <c r="G640" s="68" t="s">
        <v>715</v>
      </c>
      <c r="H640" s="69">
        <v>46158.0</v>
      </c>
      <c r="I640" s="78" t="s">
        <v>337</v>
      </c>
      <c r="J640" s="78"/>
      <c r="K640" s="81"/>
      <c r="L640" s="80"/>
      <c r="M640" s="81"/>
    </row>
    <row r="641">
      <c r="A641" s="78" t="s">
        <v>2365</v>
      </c>
      <c r="B641" s="75" t="s">
        <v>884</v>
      </c>
      <c r="C641" s="75" t="s">
        <v>1310</v>
      </c>
      <c r="D641" s="78">
        <v>2022.0</v>
      </c>
      <c r="E641" s="78">
        <v>8.60369055018061E14</v>
      </c>
      <c r="F641" s="76" t="s">
        <v>326</v>
      </c>
      <c r="G641" s="68" t="s">
        <v>715</v>
      </c>
      <c r="H641" s="69">
        <v>46158.0</v>
      </c>
      <c r="I641" s="78" t="s">
        <v>337</v>
      </c>
      <c r="J641" s="78"/>
      <c r="K641" s="81"/>
      <c r="L641" s="80"/>
      <c r="M641" s="81"/>
    </row>
    <row r="642">
      <c r="A642" s="75" t="s">
        <v>2367</v>
      </c>
      <c r="B642" s="75" t="s">
        <v>319</v>
      </c>
      <c r="C642" s="75" t="s">
        <v>376</v>
      </c>
      <c r="D642" s="78">
        <v>2026.0</v>
      </c>
      <c r="E642" s="78">
        <v>8.60369054173586E14</v>
      </c>
      <c r="F642" s="76" t="s">
        <v>326</v>
      </c>
      <c r="G642" s="68" t="s">
        <v>328</v>
      </c>
      <c r="H642" s="69">
        <v>46160.0</v>
      </c>
      <c r="I642" s="78" t="s">
        <v>337</v>
      </c>
      <c r="J642" s="78"/>
      <c r="K642" s="79"/>
      <c r="L642" s="80"/>
      <c r="M642" s="81"/>
    </row>
    <row r="643">
      <c r="A643" s="78" t="s">
        <v>2370</v>
      </c>
      <c r="B643" s="75" t="s">
        <v>319</v>
      </c>
      <c r="C643" s="75" t="s">
        <v>2372</v>
      </c>
      <c r="D643" s="78">
        <v>2022.0</v>
      </c>
      <c r="E643" s="78">
        <v>8.60369055023814E14</v>
      </c>
      <c r="F643" s="76" t="s">
        <v>326</v>
      </c>
      <c r="G643" s="68" t="s">
        <v>328</v>
      </c>
      <c r="H643" s="69">
        <v>46160.0</v>
      </c>
      <c r="I643" s="78" t="s">
        <v>337</v>
      </c>
      <c r="J643" s="78"/>
      <c r="K643" s="81"/>
      <c r="L643" s="80"/>
      <c r="M643" s="81"/>
    </row>
    <row r="644">
      <c r="A644" s="78" t="s">
        <v>2373</v>
      </c>
      <c r="B644" s="75" t="s">
        <v>319</v>
      </c>
      <c r="C644" s="75" t="s">
        <v>723</v>
      </c>
      <c r="D644" s="78">
        <v>2022.0</v>
      </c>
      <c r="E644" s="78">
        <v>8.60369052434063E14</v>
      </c>
      <c r="F644" s="76" t="s">
        <v>326</v>
      </c>
      <c r="G644" s="68" t="s">
        <v>754</v>
      </c>
      <c r="H644" s="69">
        <v>46162.0</v>
      </c>
      <c r="I644" s="78" t="s">
        <v>1240</v>
      </c>
      <c r="J644" s="229" t="s">
        <v>2376</v>
      </c>
      <c r="K644" s="81"/>
      <c r="L644" s="80"/>
      <c r="M644" s="81"/>
    </row>
    <row r="645">
      <c r="A645" s="78" t="s">
        <v>2379</v>
      </c>
      <c r="B645" s="75" t="s">
        <v>374</v>
      </c>
      <c r="C645" s="75" t="s">
        <v>2380</v>
      </c>
      <c r="D645" s="78">
        <v>2024.0</v>
      </c>
      <c r="E645" s="78">
        <v>8.60369055023764E14</v>
      </c>
      <c r="F645" s="76" t="s">
        <v>326</v>
      </c>
      <c r="G645" s="68" t="s">
        <v>754</v>
      </c>
      <c r="H645" s="69">
        <v>46162.0</v>
      </c>
      <c r="I645" s="78" t="s">
        <v>1240</v>
      </c>
      <c r="J645" s="229" t="s">
        <v>2376</v>
      </c>
      <c r="K645" s="81"/>
      <c r="L645" s="80"/>
      <c r="M645" s="81"/>
    </row>
    <row r="646">
      <c r="A646" s="78" t="s">
        <v>2384</v>
      </c>
      <c r="B646" s="75" t="s">
        <v>884</v>
      </c>
      <c r="C646" s="75" t="s">
        <v>1894</v>
      </c>
      <c r="D646" s="78">
        <v>2021.0</v>
      </c>
      <c r="E646" s="78">
        <v>8.60369054119183E14</v>
      </c>
      <c r="F646" s="76" t="s">
        <v>326</v>
      </c>
      <c r="G646" s="68" t="s">
        <v>754</v>
      </c>
      <c r="H646" s="69">
        <v>46162.0</v>
      </c>
      <c r="I646" s="78" t="s">
        <v>1240</v>
      </c>
      <c r="J646" s="229" t="s">
        <v>2376</v>
      </c>
      <c r="K646" s="81"/>
      <c r="L646" s="80"/>
      <c r="M646" s="81"/>
    </row>
    <row r="647">
      <c r="A647" s="78" t="s">
        <v>2386</v>
      </c>
      <c r="B647" s="75" t="s">
        <v>319</v>
      </c>
      <c r="C647" s="75" t="s">
        <v>376</v>
      </c>
      <c r="D647" s="78">
        <v>2025.0</v>
      </c>
      <c r="E647" s="78">
        <v>8.60369055010068E14</v>
      </c>
      <c r="F647" s="76" t="s">
        <v>326</v>
      </c>
      <c r="G647" s="68" t="s">
        <v>754</v>
      </c>
      <c r="H647" s="69">
        <v>46162.0</v>
      </c>
      <c r="I647" s="78" t="s">
        <v>1240</v>
      </c>
      <c r="J647" s="229" t="s">
        <v>2376</v>
      </c>
      <c r="K647" s="81"/>
      <c r="L647" s="80"/>
      <c r="M647" s="81"/>
    </row>
    <row r="648">
      <c r="A648" s="78" t="s">
        <v>2390</v>
      </c>
      <c r="B648" s="75" t="s">
        <v>884</v>
      </c>
      <c r="C648" s="75" t="s">
        <v>1894</v>
      </c>
      <c r="D648" s="78">
        <v>2021.0</v>
      </c>
      <c r="E648" s="78">
        <v>8.6036905474399E14</v>
      </c>
      <c r="F648" s="76" t="s">
        <v>326</v>
      </c>
      <c r="G648" s="68" t="s">
        <v>754</v>
      </c>
      <c r="H648" s="69">
        <v>46162.0</v>
      </c>
      <c r="I648" s="78" t="s">
        <v>1240</v>
      </c>
      <c r="J648" s="229" t="s">
        <v>2376</v>
      </c>
      <c r="K648" s="81"/>
      <c r="L648" s="80"/>
      <c r="M648" s="81"/>
    </row>
    <row r="649">
      <c r="A649" s="78" t="s">
        <v>2392</v>
      </c>
      <c r="B649" s="75" t="s">
        <v>389</v>
      </c>
      <c r="C649" s="75" t="s">
        <v>2393</v>
      </c>
      <c r="D649" s="78">
        <v>2024.0</v>
      </c>
      <c r="E649" s="78">
        <v>8.60369052431085E14</v>
      </c>
      <c r="F649" s="76" t="s">
        <v>326</v>
      </c>
      <c r="G649" s="68" t="s">
        <v>754</v>
      </c>
      <c r="H649" s="69">
        <v>46162.0</v>
      </c>
      <c r="I649" s="78" t="s">
        <v>1240</v>
      </c>
      <c r="J649" s="229" t="s">
        <v>2376</v>
      </c>
      <c r="K649" s="81"/>
      <c r="L649" s="80"/>
      <c r="M649" s="81"/>
    </row>
    <row r="650">
      <c r="A650" s="78" t="s">
        <v>2397</v>
      </c>
      <c r="B650" s="75" t="s">
        <v>389</v>
      </c>
      <c r="C650" s="75" t="s">
        <v>1292</v>
      </c>
      <c r="D650" s="78">
        <v>2023.0</v>
      </c>
      <c r="E650" s="78">
        <v>8.60369055023889E14</v>
      </c>
      <c r="F650" s="76" t="s">
        <v>326</v>
      </c>
      <c r="G650" s="68" t="s">
        <v>754</v>
      </c>
      <c r="H650" s="69">
        <v>46163.0</v>
      </c>
      <c r="I650" s="78" t="s">
        <v>1240</v>
      </c>
      <c r="J650" s="229" t="s">
        <v>2376</v>
      </c>
      <c r="K650" s="81"/>
      <c r="L650" s="80"/>
      <c r="M650" s="81"/>
    </row>
    <row r="651">
      <c r="A651" s="78" t="s">
        <v>2401</v>
      </c>
      <c r="B651" s="75" t="s">
        <v>374</v>
      </c>
      <c r="C651" s="75" t="s">
        <v>469</v>
      </c>
      <c r="D651" s="78">
        <v>2022.0</v>
      </c>
      <c r="E651" s="78">
        <v>8.60369054737406E14</v>
      </c>
      <c r="F651" s="76" t="s">
        <v>326</v>
      </c>
      <c r="G651" s="68" t="s">
        <v>754</v>
      </c>
      <c r="H651" s="69">
        <v>46163.0</v>
      </c>
      <c r="I651" s="78" t="s">
        <v>1240</v>
      </c>
      <c r="J651" s="229" t="s">
        <v>2376</v>
      </c>
      <c r="K651" s="81"/>
      <c r="L651" s="80"/>
      <c r="M651" s="81"/>
    </row>
    <row r="652">
      <c r="A652" s="78" t="s">
        <v>2404</v>
      </c>
      <c r="B652" s="75" t="s">
        <v>374</v>
      </c>
      <c r="C652" s="75" t="s">
        <v>469</v>
      </c>
      <c r="D652" s="78">
        <v>2025.0</v>
      </c>
      <c r="E652" s="78">
        <v>8.60369054736309E14</v>
      </c>
      <c r="F652" s="76" t="s">
        <v>326</v>
      </c>
      <c r="G652" s="68" t="s">
        <v>519</v>
      </c>
      <c r="H652" s="69">
        <v>46163.0</v>
      </c>
      <c r="I652" s="78" t="s">
        <v>337</v>
      </c>
      <c r="J652" s="78"/>
      <c r="K652" s="81"/>
      <c r="L652" s="80"/>
      <c r="M652" s="81"/>
    </row>
    <row r="653">
      <c r="A653" s="78" t="s">
        <v>2406</v>
      </c>
      <c r="B653" s="75" t="s">
        <v>374</v>
      </c>
      <c r="C653" s="75" t="s">
        <v>469</v>
      </c>
      <c r="D653" s="78">
        <v>2025.0</v>
      </c>
      <c r="E653" s="78">
        <v>8.60369054725674E14</v>
      </c>
      <c r="F653" s="76" t="s">
        <v>326</v>
      </c>
      <c r="G653" s="68" t="s">
        <v>519</v>
      </c>
      <c r="H653" s="69">
        <v>46163.0</v>
      </c>
      <c r="I653" s="78" t="s">
        <v>337</v>
      </c>
      <c r="J653" s="78"/>
      <c r="K653" s="81"/>
      <c r="L653" s="80"/>
      <c r="M653" s="81"/>
    </row>
    <row r="654">
      <c r="A654" s="78" t="s">
        <v>2409</v>
      </c>
      <c r="B654" s="75" t="s">
        <v>374</v>
      </c>
      <c r="C654" s="75" t="s">
        <v>469</v>
      </c>
      <c r="D654" s="78">
        <v>2025.0</v>
      </c>
      <c r="E654" s="78">
        <v>8.60369054726813E14</v>
      </c>
      <c r="F654" s="76" t="s">
        <v>326</v>
      </c>
      <c r="G654" s="68" t="s">
        <v>519</v>
      </c>
      <c r="H654" s="69">
        <v>46163.0</v>
      </c>
      <c r="I654" s="78" t="s">
        <v>337</v>
      </c>
      <c r="J654" s="78"/>
      <c r="K654" s="81"/>
      <c r="L654" s="80"/>
      <c r="M654" s="81"/>
    </row>
    <row r="655">
      <c r="A655" s="78" t="s">
        <v>2411</v>
      </c>
      <c r="B655" s="75" t="s">
        <v>319</v>
      </c>
      <c r="C655" s="75" t="s">
        <v>376</v>
      </c>
      <c r="D655" s="78">
        <v>2021.0</v>
      </c>
      <c r="E655" s="78">
        <v>8.60369054970346E14</v>
      </c>
      <c r="F655" s="76" t="s">
        <v>326</v>
      </c>
      <c r="G655" s="68" t="s">
        <v>328</v>
      </c>
      <c r="H655" s="69">
        <v>46164.0</v>
      </c>
      <c r="I655" s="78" t="s">
        <v>337</v>
      </c>
      <c r="J655" s="78"/>
      <c r="K655" s="81"/>
      <c r="L655" s="80"/>
      <c r="M655" s="81"/>
    </row>
    <row r="656">
      <c r="A656" s="65" t="s">
        <v>2412</v>
      </c>
      <c r="B656" s="65" t="s">
        <v>389</v>
      </c>
      <c r="C656" s="65" t="s">
        <v>1292</v>
      </c>
      <c r="D656" s="65">
        <v>2021.0</v>
      </c>
      <c r="E656" s="65">
        <v>8.60369054726524E14</v>
      </c>
      <c r="F656" s="205" t="s">
        <v>326</v>
      </c>
      <c r="G656" s="192" t="s">
        <v>664</v>
      </c>
      <c r="H656" s="69">
        <v>46171.0</v>
      </c>
      <c r="I656" s="65" t="s">
        <v>337</v>
      </c>
      <c r="J656" s="71"/>
      <c r="K656" s="73"/>
      <c r="L656" s="73"/>
      <c r="M656" s="73"/>
    </row>
    <row r="657">
      <c r="A657" s="65" t="s">
        <v>2415</v>
      </c>
      <c r="B657" s="65" t="s">
        <v>319</v>
      </c>
      <c r="C657" s="65" t="s">
        <v>376</v>
      </c>
      <c r="D657" s="65">
        <v>2014.0</v>
      </c>
      <c r="E657" s="65">
        <v>8.6036905473738E14</v>
      </c>
      <c r="F657" s="205" t="s">
        <v>326</v>
      </c>
      <c r="G657" s="192" t="s">
        <v>664</v>
      </c>
      <c r="H657" s="69">
        <v>46171.0</v>
      </c>
      <c r="I657" s="195" t="s">
        <v>1240</v>
      </c>
      <c r="J657" s="71"/>
      <c r="K657" s="73"/>
      <c r="L657" s="73"/>
      <c r="M657" s="73"/>
    </row>
    <row r="658">
      <c r="A658" s="78" t="s">
        <v>2418</v>
      </c>
      <c r="B658" s="75" t="s">
        <v>319</v>
      </c>
      <c r="C658" s="75" t="s">
        <v>723</v>
      </c>
      <c r="D658" s="78">
        <v>2024.0</v>
      </c>
      <c r="E658" s="78">
        <v>8.60369055021875E14</v>
      </c>
      <c r="F658" s="76" t="s">
        <v>326</v>
      </c>
      <c r="G658" s="68" t="s">
        <v>328</v>
      </c>
      <c r="H658" s="69">
        <v>46171.0</v>
      </c>
      <c r="I658" s="78" t="s">
        <v>337</v>
      </c>
      <c r="J658" s="78"/>
      <c r="K658" s="81"/>
      <c r="L658" s="80"/>
      <c r="M658" s="81"/>
    </row>
    <row r="659">
      <c r="A659" s="78" t="s">
        <v>2420</v>
      </c>
      <c r="B659" s="75" t="s">
        <v>319</v>
      </c>
      <c r="C659" s="75" t="s">
        <v>723</v>
      </c>
      <c r="D659" s="78">
        <v>2024.0</v>
      </c>
      <c r="E659" s="78">
        <v>8.60369054182553E14</v>
      </c>
      <c r="F659" s="76" t="s">
        <v>326</v>
      </c>
      <c r="G659" s="68" t="s">
        <v>328</v>
      </c>
      <c r="H659" s="69">
        <v>46174.0</v>
      </c>
      <c r="I659" s="78" t="s">
        <v>337</v>
      </c>
      <c r="J659" s="78"/>
      <c r="K659" s="81"/>
      <c r="L659" s="80"/>
      <c r="M659" s="81"/>
    </row>
    <row r="660">
      <c r="A660" s="75" t="s">
        <v>2423</v>
      </c>
      <c r="B660" s="75" t="s">
        <v>319</v>
      </c>
      <c r="C660" s="75" t="s">
        <v>376</v>
      </c>
      <c r="D660" s="75">
        <v>2020.0</v>
      </c>
      <c r="E660" s="75">
        <v>8.60369052448535E14</v>
      </c>
      <c r="F660" s="76" t="s">
        <v>326</v>
      </c>
      <c r="G660" s="68" t="s">
        <v>328</v>
      </c>
      <c r="H660" s="69">
        <v>45658.0</v>
      </c>
      <c r="I660" s="78" t="s">
        <v>337</v>
      </c>
      <c r="J660" s="78"/>
      <c r="K660" s="79"/>
      <c r="L660" s="80"/>
      <c r="M660" s="81"/>
    </row>
    <row r="661">
      <c r="A661" s="78" t="s">
        <v>2424</v>
      </c>
      <c r="B661" s="75" t="s">
        <v>884</v>
      </c>
      <c r="C661" s="75" t="s">
        <v>2142</v>
      </c>
      <c r="D661" s="78">
        <v>2021.0</v>
      </c>
      <c r="E661" s="78">
        <v>8.60369054948417E14</v>
      </c>
      <c r="F661" s="76" t="s">
        <v>326</v>
      </c>
      <c r="G661" s="68" t="s">
        <v>538</v>
      </c>
      <c r="H661" s="69">
        <v>46178.0</v>
      </c>
      <c r="I661" s="78" t="s">
        <v>337</v>
      </c>
      <c r="J661" s="78"/>
      <c r="K661" s="81"/>
      <c r="L661" s="80"/>
      <c r="M661" s="81"/>
    </row>
    <row r="662">
      <c r="A662" s="75" t="s">
        <v>2427</v>
      </c>
      <c r="B662" s="75" t="s">
        <v>319</v>
      </c>
      <c r="C662" s="75" t="s">
        <v>321</v>
      </c>
      <c r="D662" s="75">
        <v>2021.0</v>
      </c>
      <c r="E662" s="75">
        <v>8.60369052447255E14</v>
      </c>
      <c r="F662" s="76" t="s">
        <v>326</v>
      </c>
      <c r="G662" s="68" t="s">
        <v>328</v>
      </c>
      <c r="H662" s="69">
        <v>45658.0</v>
      </c>
      <c r="I662" s="78" t="s">
        <v>337</v>
      </c>
      <c r="J662" s="75" t="s">
        <v>2429</v>
      </c>
      <c r="K662" s="79"/>
      <c r="L662" s="80"/>
      <c r="M662" s="81"/>
    </row>
    <row r="663">
      <c r="A663" s="75" t="s">
        <v>2431</v>
      </c>
      <c r="B663" s="75" t="s">
        <v>319</v>
      </c>
      <c r="C663" s="75" t="s">
        <v>321</v>
      </c>
      <c r="D663" s="75">
        <v>2022.0</v>
      </c>
      <c r="E663" s="75">
        <v>8.60369052695457E14</v>
      </c>
      <c r="F663" s="76" t="s">
        <v>326</v>
      </c>
      <c r="G663" s="68" t="s">
        <v>328</v>
      </c>
      <c r="H663" s="69">
        <v>45658.0</v>
      </c>
      <c r="I663" s="78" t="s">
        <v>337</v>
      </c>
      <c r="J663" s="75" t="s">
        <v>2434</v>
      </c>
      <c r="K663" s="79"/>
      <c r="L663" s="110" t="s">
        <v>2435</v>
      </c>
      <c r="M663" s="81"/>
    </row>
    <row r="664">
      <c r="A664" s="75" t="s">
        <v>2436</v>
      </c>
      <c r="B664" s="75" t="s">
        <v>1006</v>
      </c>
      <c r="C664" s="114" t="s">
        <v>1058</v>
      </c>
      <c r="D664" s="114">
        <v>2023.0</v>
      </c>
      <c r="E664" s="75">
        <v>8.60369054192537E14</v>
      </c>
      <c r="F664" s="76" t="s">
        <v>326</v>
      </c>
      <c r="G664" s="68" t="s">
        <v>230</v>
      </c>
      <c r="H664" s="69">
        <v>45658.0</v>
      </c>
      <c r="I664" s="78" t="s">
        <v>337</v>
      </c>
      <c r="J664" s="78"/>
      <c r="K664" s="79"/>
      <c r="L664" s="80"/>
      <c r="M664" s="81"/>
    </row>
    <row r="665">
      <c r="A665" s="75">
        <v>8.60369052168125E14</v>
      </c>
      <c r="B665" s="75"/>
      <c r="C665" s="75"/>
      <c r="D665" s="75"/>
      <c r="E665" s="75">
        <v>8.60369052168125E14</v>
      </c>
      <c r="F665" s="221"/>
      <c r="G665" s="68" t="s">
        <v>328</v>
      </c>
      <c r="H665" s="69">
        <v>45658.0</v>
      </c>
      <c r="I665" s="78" t="s">
        <v>2065</v>
      </c>
      <c r="J665" s="78"/>
      <c r="K665" s="79"/>
      <c r="L665" s="80"/>
      <c r="M665" s="81"/>
    </row>
    <row r="666">
      <c r="A666" s="75">
        <v>8.60369052439625E14</v>
      </c>
      <c r="B666" s="75"/>
      <c r="C666" s="75"/>
      <c r="D666" s="75"/>
      <c r="E666" s="75">
        <v>8.60369052439625E14</v>
      </c>
      <c r="F666" s="221"/>
      <c r="G666" s="68" t="s">
        <v>328</v>
      </c>
      <c r="H666" s="69">
        <v>45658.0</v>
      </c>
      <c r="I666" s="78" t="s">
        <v>2065</v>
      </c>
      <c r="J666" s="78"/>
      <c r="K666" s="79"/>
      <c r="L666" s="80"/>
      <c r="M666" s="81"/>
    </row>
    <row r="667">
      <c r="A667" s="75">
        <v>8.60369054763345E14</v>
      </c>
      <c r="B667" s="75"/>
      <c r="C667" s="75"/>
      <c r="D667" s="75"/>
      <c r="E667" s="75">
        <v>8.60369054763345E14</v>
      </c>
      <c r="F667" s="221"/>
      <c r="G667" s="68" t="s">
        <v>328</v>
      </c>
      <c r="H667" s="69">
        <v>45658.0</v>
      </c>
      <c r="I667" s="78" t="s">
        <v>2065</v>
      </c>
      <c r="J667" s="78"/>
      <c r="K667" s="79"/>
      <c r="L667" s="80"/>
      <c r="M667" s="81"/>
    </row>
    <row r="668">
      <c r="A668" s="75" t="s">
        <v>2440</v>
      </c>
      <c r="B668" s="75"/>
      <c r="C668" s="75"/>
      <c r="D668" s="75"/>
      <c r="E668" s="75">
        <v>8.62406070378795E14</v>
      </c>
      <c r="F668" s="221"/>
      <c r="G668" s="68" t="s">
        <v>328</v>
      </c>
      <c r="H668" s="69">
        <v>45658.0</v>
      </c>
      <c r="I668" s="78" t="s">
        <v>2065</v>
      </c>
      <c r="J668" s="78"/>
      <c r="K668" s="79"/>
      <c r="L668" s="80"/>
      <c r="M668" s="81"/>
    </row>
    <row r="669">
      <c r="A669" s="75" t="s">
        <v>2442</v>
      </c>
      <c r="B669" s="75"/>
      <c r="C669" s="75"/>
      <c r="D669" s="75"/>
      <c r="E669" s="75">
        <v>8.60369052439401E14</v>
      </c>
      <c r="F669" s="221"/>
      <c r="G669" s="68" t="s">
        <v>328</v>
      </c>
      <c r="H669" s="69">
        <v>45658.0</v>
      </c>
      <c r="I669" s="78" t="s">
        <v>2065</v>
      </c>
      <c r="J669" s="78"/>
      <c r="K669" s="79"/>
      <c r="L669" s="80"/>
      <c r="M669" s="81"/>
    </row>
    <row r="670">
      <c r="A670" s="75" t="s">
        <v>2446</v>
      </c>
      <c r="B670" s="75" t="s">
        <v>319</v>
      </c>
      <c r="C670" s="75" t="s">
        <v>321</v>
      </c>
      <c r="D670" s="75">
        <v>2023.0</v>
      </c>
      <c r="E670" s="75">
        <v>8.60369052426473E14</v>
      </c>
      <c r="F670" s="76" t="s">
        <v>326</v>
      </c>
      <c r="G670" s="68" t="s">
        <v>328</v>
      </c>
      <c r="H670" s="69">
        <v>45658.0</v>
      </c>
      <c r="I670" s="78" t="s">
        <v>1240</v>
      </c>
      <c r="J670" s="78"/>
      <c r="K670" s="79"/>
      <c r="L670" s="80"/>
      <c r="M670" s="81"/>
    </row>
    <row r="671">
      <c r="A671" s="75" t="s">
        <v>2447</v>
      </c>
      <c r="B671" s="75" t="s">
        <v>319</v>
      </c>
      <c r="C671" s="75" t="s">
        <v>2449</v>
      </c>
      <c r="D671" s="75">
        <v>2020.0</v>
      </c>
      <c r="E671" s="75">
        <v>8.60369054155187E14</v>
      </c>
      <c r="F671" s="76" t="s">
        <v>326</v>
      </c>
      <c r="G671" s="68" t="s">
        <v>328</v>
      </c>
      <c r="H671" s="69">
        <v>45658.0</v>
      </c>
      <c r="I671" s="78" t="s">
        <v>337</v>
      </c>
      <c r="J671" s="78"/>
      <c r="K671" s="79"/>
      <c r="L671" s="80"/>
      <c r="M671" s="81"/>
    </row>
    <row r="672">
      <c r="A672" s="75" t="s">
        <v>2451</v>
      </c>
      <c r="B672" s="75" t="s">
        <v>319</v>
      </c>
      <c r="C672" s="75" t="s">
        <v>321</v>
      </c>
      <c r="D672" s="75">
        <v>2023.0</v>
      </c>
      <c r="E672" s="75">
        <v>8.60369052192984E14</v>
      </c>
      <c r="F672" s="76" t="s">
        <v>326</v>
      </c>
      <c r="G672" s="68" t="s">
        <v>328</v>
      </c>
      <c r="H672" s="69">
        <v>45658.0</v>
      </c>
      <c r="I672" s="78" t="s">
        <v>337</v>
      </c>
      <c r="J672" s="78"/>
      <c r="K672" s="79"/>
      <c r="L672" s="80"/>
      <c r="M672" s="81"/>
    </row>
    <row r="673">
      <c r="A673" s="75" t="s">
        <v>2452</v>
      </c>
      <c r="B673" s="75" t="s">
        <v>319</v>
      </c>
      <c r="C673" s="75" t="s">
        <v>321</v>
      </c>
      <c r="D673" s="75">
        <v>2023.0</v>
      </c>
      <c r="E673" s="75">
        <v>8.6036905440639E14</v>
      </c>
      <c r="F673" s="76" t="s">
        <v>326</v>
      </c>
      <c r="G673" s="68" t="s">
        <v>328</v>
      </c>
      <c r="H673" s="69">
        <v>45658.0</v>
      </c>
      <c r="I673" s="78" t="s">
        <v>337</v>
      </c>
      <c r="J673" s="78"/>
      <c r="K673" s="79"/>
      <c r="L673" s="80"/>
      <c r="M673" s="81"/>
    </row>
    <row r="674">
      <c r="A674" s="75" t="s">
        <v>2454</v>
      </c>
      <c r="B674" s="75" t="s">
        <v>319</v>
      </c>
      <c r="C674" s="75" t="s">
        <v>321</v>
      </c>
      <c r="D674" s="75">
        <v>2023.0</v>
      </c>
      <c r="E674" s="75">
        <v>8.60369052701966E14</v>
      </c>
      <c r="F674" s="76" t="s">
        <v>326</v>
      </c>
      <c r="G674" s="68" t="s">
        <v>328</v>
      </c>
      <c r="H674" s="69">
        <v>45658.0</v>
      </c>
      <c r="I674" s="78" t="s">
        <v>337</v>
      </c>
      <c r="J674" s="78"/>
      <c r="K674" s="79"/>
      <c r="L674" s="80"/>
      <c r="M674" s="81"/>
    </row>
    <row r="675">
      <c r="A675" s="75" t="s">
        <v>2456</v>
      </c>
      <c r="B675" s="75" t="s">
        <v>319</v>
      </c>
      <c r="C675" s="75" t="s">
        <v>321</v>
      </c>
      <c r="D675" s="75">
        <v>2023.0</v>
      </c>
      <c r="E675" s="75">
        <v>8.6036905416955E14</v>
      </c>
      <c r="F675" s="76" t="s">
        <v>326</v>
      </c>
      <c r="G675" s="68" t="s">
        <v>328</v>
      </c>
      <c r="H675" s="69">
        <v>45658.0</v>
      </c>
      <c r="I675" s="78" t="s">
        <v>337</v>
      </c>
      <c r="J675" s="78"/>
      <c r="K675" s="79"/>
      <c r="L675" s="80"/>
      <c r="M675" s="81"/>
    </row>
    <row r="676">
      <c r="A676" s="75" t="s">
        <v>2457</v>
      </c>
      <c r="B676" s="75" t="s">
        <v>319</v>
      </c>
      <c r="C676" s="75" t="s">
        <v>321</v>
      </c>
      <c r="D676" s="75">
        <v>2023.0</v>
      </c>
      <c r="E676" s="75">
        <v>8.60369054159189E14</v>
      </c>
      <c r="F676" s="76" t="s">
        <v>326</v>
      </c>
      <c r="G676" s="68" t="s">
        <v>328</v>
      </c>
      <c r="H676" s="69">
        <v>45658.0</v>
      </c>
      <c r="I676" s="78" t="s">
        <v>337</v>
      </c>
      <c r="J676" s="78"/>
      <c r="K676" s="79"/>
      <c r="L676" s="80"/>
      <c r="M676" s="81"/>
    </row>
    <row r="677">
      <c r="A677" s="75" t="s">
        <v>2458</v>
      </c>
      <c r="B677" s="75" t="s">
        <v>319</v>
      </c>
      <c r="C677" s="75" t="s">
        <v>321</v>
      </c>
      <c r="D677" s="75">
        <v>2023.0</v>
      </c>
      <c r="E677" s="75">
        <v>8.60369052706841E14</v>
      </c>
      <c r="F677" s="76" t="s">
        <v>326</v>
      </c>
      <c r="G677" s="68" t="s">
        <v>328</v>
      </c>
      <c r="H677" s="69">
        <v>45658.0</v>
      </c>
      <c r="I677" s="78" t="s">
        <v>337</v>
      </c>
      <c r="J677" s="78"/>
      <c r="K677" s="79"/>
      <c r="L677" s="80"/>
      <c r="M677" s="81"/>
    </row>
    <row r="678">
      <c r="A678" s="75" t="s">
        <v>2460</v>
      </c>
      <c r="B678" s="75" t="s">
        <v>319</v>
      </c>
      <c r="C678" s="75" t="s">
        <v>321</v>
      </c>
      <c r="D678" s="75">
        <v>2023.0</v>
      </c>
      <c r="E678" s="75">
        <v>8.60369054173768E14</v>
      </c>
      <c r="F678" s="76" t="s">
        <v>326</v>
      </c>
      <c r="G678" s="68" t="s">
        <v>328</v>
      </c>
      <c r="H678" s="69">
        <v>45658.0</v>
      </c>
      <c r="I678" s="78" t="s">
        <v>337</v>
      </c>
      <c r="J678" s="78"/>
      <c r="K678" s="79"/>
      <c r="L678" s="80"/>
      <c r="M678" s="81"/>
    </row>
    <row r="679">
      <c r="A679" s="75" t="s">
        <v>2461</v>
      </c>
      <c r="B679" s="75" t="s">
        <v>319</v>
      </c>
      <c r="C679" s="75" t="s">
        <v>321</v>
      </c>
      <c r="D679" s="75">
        <v>2023.0</v>
      </c>
      <c r="E679" s="75">
        <v>8.60369054164502E14</v>
      </c>
      <c r="F679" s="76" t="s">
        <v>326</v>
      </c>
      <c r="G679" s="68" t="s">
        <v>328</v>
      </c>
      <c r="H679" s="69">
        <v>45658.0</v>
      </c>
      <c r="I679" s="78" t="s">
        <v>337</v>
      </c>
      <c r="J679" s="78"/>
      <c r="K679" s="79"/>
      <c r="L679" s="80"/>
      <c r="M679" s="81"/>
    </row>
    <row r="680">
      <c r="A680" s="75" t="s">
        <v>2463</v>
      </c>
      <c r="B680" s="75" t="s">
        <v>319</v>
      </c>
      <c r="C680" s="75" t="s">
        <v>321</v>
      </c>
      <c r="D680" s="75">
        <v>2023.0</v>
      </c>
      <c r="E680" s="75">
        <v>8.60369054172463E14</v>
      </c>
      <c r="F680" s="76" t="s">
        <v>326</v>
      </c>
      <c r="G680" s="68" t="s">
        <v>328</v>
      </c>
      <c r="H680" s="69">
        <v>45658.0</v>
      </c>
      <c r="I680" s="78" t="s">
        <v>337</v>
      </c>
      <c r="J680" s="78"/>
      <c r="K680" s="79"/>
      <c r="L680" s="80"/>
      <c r="M680" s="81"/>
    </row>
    <row r="681">
      <c r="A681" s="75" t="s">
        <v>2464</v>
      </c>
      <c r="B681" s="75" t="s">
        <v>319</v>
      </c>
      <c r="C681" s="75" t="s">
        <v>321</v>
      </c>
      <c r="D681" s="75">
        <v>2023.0</v>
      </c>
      <c r="E681" s="75">
        <v>8.6036905241079E14</v>
      </c>
      <c r="F681" s="76" t="s">
        <v>398</v>
      </c>
      <c r="G681" s="68" t="s">
        <v>328</v>
      </c>
      <c r="H681" s="69">
        <v>45658.0</v>
      </c>
      <c r="I681" s="78" t="s">
        <v>337</v>
      </c>
      <c r="J681" s="78"/>
      <c r="K681" s="79"/>
      <c r="L681" s="80"/>
      <c r="M681" s="81"/>
    </row>
    <row r="682">
      <c r="A682" s="75" t="s">
        <v>2467</v>
      </c>
      <c r="B682" s="75" t="s">
        <v>319</v>
      </c>
      <c r="C682" s="75" t="s">
        <v>321</v>
      </c>
      <c r="D682" s="75">
        <v>2023.0</v>
      </c>
      <c r="E682" s="75">
        <v>8.60369052121363E14</v>
      </c>
      <c r="F682" s="76" t="s">
        <v>326</v>
      </c>
      <c r="G682" s="68" t="s">
        <v>328</v>
      </c>
      <c r="H682" s="69">
        <v>45658.0</v>
      </c>
      <c r="I682" s="78" t="s">
        <v>337</v>
      </c>
      <c r="J682" s="78"/>
      <c r="K682" s="79"/>
      <c r="L682" s="80"/>
      <c r="M682" s="81"/>
    </row>
    <row r="683">
      <c r="A683" s="75" t="s">
        <v>2470</v>
      </c>
      <c r="B683" s="75" t="s">
        <v>319</v>
      </c>
      <c r="C683" s="75" t="s">
        <v>321</v>
      </c>
      <c r="D683" s="75">
        <v>2023.0</v>
      </c>
      <c r="E683" s="75">
        <v>8.60369054164916E14</v>
      </c>
      <c r="F683" s="76" t="s">
        <v>326</v>
      </c>
      <c r="G683" s="68" t="s">
        <v>328</v>
      </c>
      <c r="H683" s="69">
        <v>45658.0</v>
      </c>
      <c r="I683" s="78" t="s">
        <v>337</v>
      </c>
      <c r="J683" s="78"/>
      <c r="K683" s="79"/>
      <c r="L683" s="80"/>
      <c r="M683" s="81"/>
    </row>
    <row r="684">
      <c r="A684" s="75" t="s">
        <v>2471</v>
      </c>
      <c r="B684" s="75" t="s">
        <v>319</v>
      </c>
      <c r="C684" s="75" t="s">
        <v>321</v>
      </c>
      <c r="D684" s="75">
        <v>2023.0</v>
      </c>
      <c r="E684" s="75">
        <v>8.60369054170103E14</v>
      </c>
      <c r="F684" s="76" t="s">
        <v>326</v>
      </c>
      <c r="G684" s="68" t="s">
        <v>328</v>
      </c>
      <c r="H684" s="69">
        <v>45658.0</v>
      </c>
      <c r="I684" s="78" t="s">
        <v>337</v>
      </c>
      <c r="J684" s="78"/>
      <c r="K684" s="79"/>
      <c r="L684" s="80"/>
      <c r="M684" s="81"/>
    </row>
    <row r="685">
      <c r="A685" s="75" t="s">
        <v>2475</v>
      </c>
      <c r="B685" s="75" t="s">
        <v>319</v>
      </c>
      <c r="C685" s="75" t="s">
        <v>321</v>
      </c>
      <c r="D685" s="75">
        <v>2023.0</v>
      </c>
      <c r="E685" s="75">
        <v>8.60369054196009E14</v>
      </c>
      <c r="F685" s="76" t="s">
        <v>326</v>
      </c>
      <c r="G685" s="68" t="s">
        <v>328</v>
      </c>
      <c r="H685" s="69">
        <v>45658.0</v>
      </c>
      <c r="I685" s="78" t="s">
        <v>337</v>
      </c>
      <c r="J685" s="78"/>
      <c r="K685" s="79"/>
      <c r="L685" s="80"/>
      <c r="M685" s="81"/>
    </row>
    <row r="686">
      <c r="A686" s="75" t="s">
        <v>2479</v>
      </c>
      <c r="B686" s="75" t="s">
        <v>319</v>
      </c>
      <c r="C686" s="75" t="s">
        <v>321</v>
      </c>
      <c r="D686" s="75">
        <v>2023.0</v>
      </c>
      <c r="E686" s="75">
        <v>8.60369054178361E14</v>
      </c>
      <c r="F686" s="76" t="s">
        <v>326</v>
      </c>
      <c r="G686" s="68" t="s">
        <v>328</v>
      </c>
      <c r="H686" s="69">
        <v>45658.0</v>
      </c>
      <c r="I686" s="78" t="s">
        <v>337</v>
      </c>
      <c r="J686" s="78"/>
      <c r="K686" s="79"/>
      <c r="L686" s="80"/>
      <c r="M686" s="81"/>
    </row>
    <row r="687">
      <c r="A687" s="75" t="s">
        <v>2481</v>
      </c>
      <c r="B687" s="75" t="s">
        <v>319</v>
      </c>
      <c r="C687" s="75" t="s">
        <v>321</v>
      </c>
      <c r="D687" s="75">
        <v>2023.0</v>
      </c>
      <c r="E687" s="75">
        <v>8.60369052143243E14</v>
      </c>
      <c r="F687" s="76" t="s">
        <v>398</v>
      </c>
      <c r="G687" s="68" t="s">
        <v>328</v>
      </c>
      <c r="H687" s="69">
        <v>45658.0</v>
      </c>
      <c r="I687" s="78" t="s">
        <v>337</v>
      </c>
      <c r="J687" s="78"/>
      <c r="K687" s="79"/>
      <c r="L687" s="80"/>
      <c r="M687" s="81"/>
    </row>
    <row r="688">
      <c r="A688" s="75" t="s">
        <v>2483</v>
      </c>
      <c r="B688" s="75" t="s">
        <v>319</v>
      </c>
      <c r="C688" s="75" t="s">
        <v>321</v>
      </c>
      <c r="D688" s="75">
        <v>2023.0</v>
      </c>
      <c r="E688" s="75">
        <v>8.60369052143417E14</v>
      </c>
      <c r="F688" s="76" t="s">
        <v>398</v>
      </c>
      <c r="G688" s="68" t="s">
        <v>328</v>
      </c>
      <c r="H688" s="69">
        <v>45658.0</v>
      </c>
      <c r="I688" s="78" t="s">
        <v>337</v>
      </c>
      <c r="J688" s="78"/>
      <c r="K688" s="79"/>
      <c r="L688" s="80"/>
      <c r="M688" s="81"/>
    </row>
    <row r="689">
      <c r="A689" s="75" t="s">
        <v>2487</v>
      </c>
      <c r="B689" s="75" t="s">
        <v>319</v>
      </c>
      <c r="C689" s="75" t="s">
        <v>321</v>
      </c>
      <c r="D689" s="75">
        <v>2023.0</v>
      </c>
      <c r="E689" s="75">
        <v>8.60369051060653E14</v>
      </c>
      <c r="F689" s="76" t="s">
        <v>398</v>
      </c>
      <c r="G689" s="68" t="s">
        <v>328</v>
      </c>
      <c r="H689" s="69">
        <v>45658.0</v>
      </c>
      <c r="I689" s="78" t="s">
        <v>337</v>
      </c>
      <c r="J689" s="78"/>
      <c r="K689" s="79"/>
      <c r="L689" s="80"/>
      <c r="M689" s="81"/>
    </row>
    <row r="690">
      <c r="A690" s="75" t="s">
        <v>2490</v>
      </c>
      <c r="B690" s="75" t="s">
        <v>319</v>
      </c>
      <c r="C690" s="75" t="s">
        <v>321</v>
      </c>
      <c r="D690" s="75">
        <v>2023.0</v>
      </c>
      <c r="E690" s="75">
        <v>8.60369053334601E14</v>
      </c>
      <c r="F690" s="76" t="s">
        <v>326</v>
      </c>
      <c r="G690" s="68" t="s">
        <v>328</v>
      </c>
      <c r="H690" s="69">
        <v>45658.0</v>
      </c>
      <c r="I690" s="78" t="s">
        <v>337</v>
      </c>
      <c r="J690" s="78"/>
      <c r="K690" s="79"/>
      <c r="L690" s="80"/>
      <c r="M690" s="81"/>
    </row>
    <row r="691">
      <c r="A691" s="75" t="s">
        <v>2492</v>
      </c>
      <c r="B691" s="75" t="s">
        <v>319</v>
      </c>
      <c r="C691" s="75" t="s">
        <v>321</v>
      </c>
      <c r="D691" s="75">
        <v>2023.0</v>
      </c>
      <c r="E691" s="75">
        <v>8.6036905441243E14</v>
      </c>
      <c r="F691" s="76" t="s">
        <v>326</v>
      </c>
      <c r="G691" s="68" t="s">
        <v>328</v>
      </c>
      <c r="H691" s="69">
        <v>45658.0</v>
      </c>
      <c r="I691" s="78" t="s">
        <v>337</v>
      </c>
      <c r="J691" s="78"/>
      <c r="K691" s="79"/>
      <c r="L691" s="80"/>
      <c r="M691" s="81"/>
    </row>
    <row r="692">
      <c r="A692" s="75" t="s">
        <v>2495</v>
      </c>
      <c r="B692" s="75" t="s">
        <v>319</v>
      </c>
      <c r="C692" s="75" t="s">
        <v>321</v>
      </c>
      <c r="D692" s="75">
        <v>2023.0</v>
      </c>
      <c r="E692" s="75">
        <v>8.60369052433909E14</v>
      </c>
      <c r="F692" s="76" t="s">
        <v>326</v>
      </c>
      <c r="G692" s="68" t="s">
        <v>328</v>
      </c>
      <c r="H692" s="69">
        <v>45658.0</v>
      </c>
      <c r="I692" s="78" t="s">
        <v>337</v>
      </c>
      <c r="J692" s="78"/>
      <c r="K692" s="79"/>
      <c r="L692" s="80"/>
      <c r="M692" s="81"/>
    </row>
    <row r="693">
      <c r="A693" s="75" t="s">
        <v>2496</v>
      </c>
      <c r="B693" s="75" t="s">
        <v>319</v>
      </c>
      <c r="C693" s="75" t="s">
        <v>321</v>
      </c>
      <c r="D693" s="75">
        <v>2023.0</v>
      </c>
      <c r="E693" s="75">
        <v>8.60369052450267E14</v>
      </c>
      <c r="F693" s="76" t="s">
        <v>326</v>
      </c>
      <c r="G693" s="68" t="s">
        <v>328</v>
      </c>
      <c r="H693" s="69">
        <v>45658.0</v>
      </c>
      <c r="I693" s="78" t="s">
        <v>337</v>
      </c>
      <c r="J693" s="78"/>
      <c r="K693" s="79"/>
      <c r="L693" s="80"/>
      <c r="M693" s="81"/>
    </row>
    <row r="694">
      <c r="A694" s="75" t="s">
        <v>2501</v>
      </c>
      <c r="B694" s="75" t="s">
        <v>319</v>
      </c>
      <c r="C694" s="75" t="s">
        <v>321</v>
      </c>
      <c r="D694" s="75">
        <v>2023.0</v>
      </c>
      <c r="E694" s="75">
        <v>8.60369054182207E14</v>
      </c>
      <c r="F694" s="76" t="s">
        <v>326</v>
      </c>
      <c r="G694" s="68" t="s">
        <v>328</v>
      </c>
      <c r="H694" s="69">
        <v>45658.0</v>
      </c>
      <c r="I694" s="78" t="s">
        <v>337</v>
      </c>
      <c r="J694" s="78"/>
      <c r="K694" s="79"/>
      <c r="L694" s="80"/>
      <c r="M694" s="81"/>
    </row>
    <row r="695">
      <c r="A695" s="75" t="s">
        <v>2502</v>
      </c>
      <c r="B695" s="75" t="s">
        <v>319</v>
      </c>
      <c r="C695" s="75" t="s">
        <v>321</v>
      </c>
      <c r="D695" s="75">
        <v>2023.0</v>
      </c>
      <c r="E695" s="75">
        <v>8.60369054160005E14</v>
      </c>
      <c r="F695" s="76" t="s">
        <v>326</v>
      </c>
      <c r="G695" s="68" t="s">
        <v>328</v>
      </c>
      <c r="H695" s="69">
        <v>45658.0</v>
      </c>
      <c r="I695" s="78" t="s">
        <v>337</v>
      </c>
      <c r="J695" s="78"/>
      <c r="K695" s="79"/>
      <c r="L695" s="80"/>
      <c r="M695" s="81"/>
    </row>
    <row r="696">
      <c r="A696" s="75" t="s">
        <v>2503</v>
      </c>
      <c r="B696" s="75" t="s">
        <v>319</v>
      </c>
      <c r="C696" s="75" t="s">
        <v>723</v>
      </c>
      <c r="D696" s="75">
        <v>2023.0</v>
      </c>
      <c r="E696" s="75">
        <v>8.60369052449434E14</v>
      </c>
      <c r="F696" s="76" t="s">
        <v>326</v>
      </c>
      <c r="G696" s="68" t="s">
        <v>328</v>
      </c>
      <c r="H696" s="69">
        <v>45658.0</v>
      </c>
      <c r="I696" s="78" t="s">
        <v>337</v>
      </c>
      <c r="J696" s="78"/>
      <c r="K696" s="79"/>
      <c r="L696" s="80"/>
      <c r="M696" s="81"/>
    </row>
    <row r="697">
      <c r="A697" s="75" t="s">
        <v>2506</v>
      </c>
      <c r="B697" s="75" t="s">
        <v>319</v>
      </c>
      <c r="C697" s="75" t="s">
        <v>723</v>
      </c>
      <c r="D697" s="75">
        <v>2023.0</v>
      </c>
      <c r="E697" s="75">
        <v>8.60369054169808E14</v>
      </c>
      <c r="F697" s="76" t="s">
        <v>326</v>
      </c>
      <c r="G697" s="68" t="s">
        <v>328</v>
      </c>
      <c r="H697" s="69">
        <v>45658.0</v>
      </c>
      <c r="I697" s="78" t="s">
        <v>337</v>
      </c>
      <c r="J697" s="78"/>
      <c r="K697" s="79"/>
      <c r="L697" s="80"/>
      <c r="M697" s="81"/>
    </row>
    <row r="698">
      <c r="A698" s="75" t="s">
        <v>2508</v>
      </c>
      <c r="B698" s="75" t="s">
        <v>319</v>
      </c>
      <c r="C698" s="75" t="s">
        <v>723</v>
      </c>
      <c r="D698" s="75">
        <v>2023.0</v>
      </c>
      <c r="E698" s="75">
        <v>8.60369054162837E14</v>
      </c>
      <c r="F698" s="76" t="s">
        <v>326</v>
      </c>
      <c r="G698" s="68" t="s">
        <v>328</v>
      </c>
      <c r="H698" s="69">
        <v>45658.0</v>
      </c>
      <c r="I698" s="78" t="s">
        <v>337</v>
      </c>
      <c r="J698" s="78"/>
      <c r="K698" s="79"/>
      <c r="L698" s="80"/>
      <c r="M698" s="81"/>
    </row>
    <row r="699">
      <c r="A699" s="75" t="s">
        <v>2510</v>
      </c>
      <c r="B699" s="75" t="s">
        <v>319</v>
      </c>
      <c r="C699" s="75" t="s">
        <v>723</v>
      </c>
      <c r="D699" s="75">
        <v>2023.0</v>
      </c>
      <c r="E699" s="75">
        <v>8.60369054153224E14</v>
      </c>
      <c r="F699" s="76" t="s">
        <v>326</v>
      </c>
      <c r="G699" s="68" t="s">
        <v>328</v>
      </c>
      <c r="H699" s="69">
        <v>45658.0</v>
      </c>
      <c r="I699" s="78" t="s">
        <v>337</v>
      </c>
      <c r="J699" s="78"/>
      <c r="K699" s="79"/>
      <c r="L699" s="80"/>
      <c r="M699" s="81"/>
    </row>
    <row r="700">
      <c r="A700" s="75" t="s">
        <v>2513</v>
      </c>
      <c r="B700" s="75" t="s">
        <v>319</v>
      </c>
      <c r="C700" s="75" t="s">
        <v>723</v>
      </c>
      <c r="D700" s="75">
        <v>2023.0</v>
      </c>
      <c r="E700" s="75">
        <v>8.60369054178064E14</v>
      </c>
      <c r="F700" s="76" t="s">
        <v>326</v>
      </c>
      <c r="G700" s="68" t="s">
        <v>328</v>
      </c>
      <c r="H700" s="69">
        <v>45658.0</v>
      </c>
      <c r="I700" s="78" t="s">
        <v>337</v>
      </c>
      <c r="J700" s="78"/>
      <c r="K700" s="79"/>
      <c r="L700" s="80"/>
      <c r="M700" s="81"/>
    </row>
    <row r="701">
      <c r="A701" s="75" t="s">
        <v>2517</v>
      </c>
      <c r="B701" s="75" t="s">
        <v>319</v>
      </c>
      <c r="C701" s="75" t="s">
        <v>723</v>
      </c>
      <c r="D701" s="75">
        <v>2023.0</v>
      </c>
      <c r="E701" s="75">
        <v>8.60369054416241E14</v>
      </c>
      <c r="F701" s="76" t="s">
        <v>326</v>
      </c>
      <c r="G701" s="68" t="s">
        <v>328</v>
      </c>
      <c r="H701" s="69">
        <v>45658.0</v>
      </c>
      <c r="I701" s="78" t="s">
        <v>337</v>
      </c>
      <c r="J701" s="78"/>
      <c r="K701" s="79"/>
      <c r="L701" s="80"/>
      <c r="M701" s="81"/>
    </row>
    <row r="702">
      <c r="A702" s="75" t="s">
        <v>2520</v>
      </c>
      <c r="B702" s="75" t="s">
        <v>319</v>
      </c>
      <c r="C702" s="75" t="s">
        <v>723</v>
      </c>
      <c r="D702" s="75">
        <v>2023.0</v>
      </c>
      <c r="E702" s="75">
        <v>8.60369054171846E14</v>
      </c>
      <c r="F702" s="76" t="s">
        <v>326</v>
      </c>
      <c r="G702" s="68" t="s">
        <v>328</v>
      </c>
      <c r="H702" s="69">
        <v>45658.0</v>
      </c>
      <c r="I702" s="78" t="s">
        <v>337</v>
      </c>
      <c r="J702" s="78"/>
      <c r="K702" s="79"/>
      <c r="L702" s="80"/>
      <c r="M702" s="81"/>
    </row>
    <row r="703">
      <c r="A703" s="75" t="s">
        <v>2523</v>
      </c>
      <c r="B703" s="75" t="s">
        <v>319</v>
      </c>
      <c r="C703" s="75" t="s">
        <v>723</v>
      </c>
      <c r="D703" s="75">
        <v>2023.0</v>
      </c>
      <c r="E703" s="75">
        <v>8.60369052695572E14</v>
      </c>
      <c r="F703" s="76" t="s">
        <v>326</v>
      </c>
      <c r="G703" s="68" t="s">
        <v>328</v>
      </c>
      <c r="H703" s="69">
        <v>45658.0</v>
      </c>
      <c r="I703" s="78" t="s">
        <v>337</v>
      </c>
      <c r="J703" s="78"/>
      <c r="K703" s="79"/>
      <c r="L703" s="80"/>
      <c r="M703" s="81"/>
    </row>
    <row r="704">
      <c r="A704" s="75" t="s">
        <v>2526</v>
      </c>
      <c r="B704" s="75" t="s">
        <v>319</v>
      </c>
      <c r="C704" s="75" t="s">
        <v>723</v>
      </c>
      <c r="D704" s="75">
        <v>2023.0</v>
      </c>
      <c r="E704" s="75">
        <v>8.60369052703319E14</v>
      </c>
      <c r="F704" s="76" t="s">
        <v>326</v>
      </c>
      <c r="G704" s="68" t="s">
        <v>328</v>
      </c>
      <c r="H704" s="69">
        <v>45658.0</v>
      </c>
      <c r="I704" s="78" t="s">
        <v>337</v>
      </c>
      <c r="J704" s="78"/>
      <c r="K704" s="79"/>
      <c r="L704" s="80"/>
      <c r="M704" s="81"/>
    </row>
    <row r="705">
      <c r="A705" s="75" t="s">
        <v>2529</v>
      </c>
      <c r="B705" s="75" t="s">
        <v>319</v>
      </c>
      <c r="C705" s="75" t="s">
        <v>723</v>
      </c>
      <c r="D705" s="75">
        <v>2023.0</v>
      </c>
      <c r="E705" s="75">
        <v>8.60369054177595E14</v>
      </c>
      <c r="F705" s="76" t="s">
        <v>326</v>
      </c>
      <c r="G705" s="68" t="s">
        <v>328</v>
      </c>
      <c r="H705" s="69">
        <v>45658.0</v>
      </c>
      <c r="I705" s="78" t="s">
        <v>337</v>
      </c>
      <c r="J705" s="78"/>
      <c r="K705" s="79"/>
      <c r="L705" s="80"/>
      <c r="M705" s="81"/>
    </row>
    <row r="706">
      <c r="A706" s="75" t="s">
        <v>2533</v>
      </c>
      <c r="B706" s="75" t="s">
        <v>319</v>
      </c>
      <c r="C706" s="75" t="s">
        <v>723</v>
      </c>
      <c r="D706" s="75">
        <v>2023.0</v>
      </c>
      <c r="E706" s="75">
        <v>8.60369052408463E14</v>
      </c>
      <c r="F706" s="76" t="s">
        <v>398</v>
      </c>
      <c r="G706" s="68" t="s">
        <v>328</v>
      </c>
      <c r="H706" s="69">
        <v>45658.0</v>
      </c>
      <c r="I706" s="78" t="s">
        <v>337</v>
      </c>
      <c r="J706" s="78"/>
      <c r="K706" s="79"/>
      <c r="L706" s="80"/>
      <c r="M706" s="81"/>
    </row>
    <row r="707">
      <c r="A707" s="75" t="s">
        <v>2535</v>
      </c>
      <c r="B707" s="75" t="s">
        <v>319</v>
      </c>
      <c r="C707" s="75" t="s">
        <v>723</v>
      </c>
      <c r="D707" s="75">
        <v>2023.0</v>
      </c>
      <c r="E707" s="75">
        <v>8.60369051056099E14</v>
      </c>
      <c r="F707" s="76" t="s">
        <v>398</v>
      </c>
      <c r="G707" s="68" t="s">
        <v>328</v>
      </c>
      <c r="H707" s="69">
        <v>45658.0</v>
      </c>
      <c r="I707" s="78" t="s">
        <v>337</v>
      </c>
      <c r="J707" s="78"/>
      <c r="K707" s="79"/>
      <c r="L707" s="80"/>
      <c r="M707" s="81"/>
    </row>
    <row r="708">
      <c r="A708" s="75" t="s">
        <v>2537</v>
      </c>
      <c r="B708" s="75" t="s">
        <v>319</v>
      </c>
      <c r="C708" s="75" t="s">
        <v>723</v>
      </c>
      <c r="D708" s="75">
        <v>2023.0</v>
      </c>
      <c r="E708" s="75">
        <v>8.60369054159288E14</v>
      </c>
      <c r="F708" s="76" t="s">
        <v>326</v>
      </c>
      <c r="G708" s="68" t="s">
        <v>328</v>
      </c>
      <c r="H708" s="69">
        <v>45658.0</v>
      </c>
      <c r="I708" s="78" t="s">
        <v>337</v>
      </c>
      <c r="J708" s="78"/>
      <c r="K708" s="79"/>
      <c r="L708" s="80"/>
      <c r="M708" s="81"/>
    </row>
    <row r="709">
      <c r="A709" s="75" t="s">
        <v>2540</v>
      </c>
      <c r="B709" s="75" t="s">
        <v>319</v>
      </c>
      <c r="C709" s="75" t="s">
        <v>321</v>
      </c>
      <c r="D709" s="75">
        <v>2023.0</v>
      </c>
      <c r="E709" s="75">
        <v>8.60369054763576E14</v>
      </c>
      <c r="F709" s="76" t="s">
        <v>326</v>
      </c>
      <c r="G709" s="68" t="s">
        <v>328</v>
      </c>
      <c r="H709" s="69">
        <v>45658.0</v>
      </c>
      <c r="I709" s="78" t="s">
        <v>337</v>
      </c>
      <c r="J709" s="78"/>
      <c r="K709" s="79"/>
      <c r="L709" s="80"/>
      <c r="M709" s="81"/>
    </row>
    <row r="710">
      <c r="A710" s="75" t="s">
        <v>2543</v>
      </c>
      <c r="B710" s="75" t="s">
        <v>319</v>
      </c>
      <c r="C710" s="75" t="s">
        <v>321</v>
      </c>
      <c r="D710" s="75">
        <v>2023.0</v>
      </c>
      <c r="E710" s="75">
        <v>8.603690544153E14</v>
      </c>
      <c r="F710" s="76" t="s">
        <v>326</v>
      </c>
      <c r="G710" s="68" t="s">
        <v>328</v>
      </c>
      <c r="H710" s="69">
        <v>45658.0</v>
      </c>
      <c r="I710" s="78" t="s">
        <v>337</v>
      </c>
      <c r="J710" s="78"/>
      <c r="K710" s="79"/>
      <c r="L710" s="80"/>
      <c r="M710" s="81"/>
    </row>
    <row r="711">
      <c r="A711" s="75" t="s">
        <v>2544</v>
      </c>
      <c r="B711" s="75" t="s">
        <v>319</v>
      </c>
      <c r="C711" s="75" t="s">
        <v>321</v>
      </c>
      <c r="D711" s="75">
        <v>2023.0</v>
      </c>
      <c r="E711" s="75">
        <v>8.60369054198526E14</v>
      </c>
      <c r="F711" s="76" t="s">
        <v>326</v>
      </c>
      <c r="G711" s="68" t="s">
        <v>328</v>
      </c>
      <c r="H711" s="69">
        <v>45658.0</v>
      </c>
      <c r="I711" s="78" t="s">
        <v>337</v>
      </c>
      <c r="J711" s="78"/>
      <c r="K711" s="79"/>
      <c r="L711" s="80"/>
      <c r="M711" s="81"/>
    </row>
    <row r="712">
      <c r="A712" s="75" t="s">
        <v>2547</v>
      </c>
      <c r="B712" s="75" t="s">
        <v>319</v>
      </c>
      <c r="C712" s="75" t="s">
        <v>321</v>
      </c>
      <c r="D712" s="75">
        <v>2023.0</v>
      </c>
      <c r="E712" s="75">
        <v>8.60369054193535E14</v>
      </c>
      <c r="F712" s="76" t="s">
        <v>326</v>
      </c>
      <c r="G712" s="68" t="s">
        <v>328</v>
      </c>
      <c r="H712" s="69">
        <v>45658.0</v>
      </c>
      <c r="I712" s="78" t="s">
        <v>337</v>
      </c>
      <c r="J712" s="78"/>
      <c r="K712" s="79"/>
      <c r="L712" s="80"/>
      <c r="M712" s="81"/>
    </row>
    <row r="713">
      <c r="A713" s="75" t="s">
        <v>2548</v>
      </c>
      <c r="B713" s="75" t="s">
        <v>319</v>
      </c>
      <c r="C713" s="75" t="s">
        <v>723</v>
      </c>
      <c r="D713" s="75">
        <v>2023.0</v>
      </c>
      <c r="E713" s="75">
        <v>8.60369054154891E14</v>
      </c>
      <c r="F713" s="76" t="s">
        <v>326</v>
      </c>
      <c r="G713" s="68" t="s">
        <v>328</v>
      </c>
      <c r="H713" s="69">
        <v>45658.0</v>
      </c>
      <c r="I713" s="78" t="s">
        <v>337</v>
      </c>
      <c r="J713" s="78"/>
      <c r="K713" s="79"/>
      <c r="L713" s="80"/>
      <c r="M713" s="81"/>
    </row>
    <row r="714">
      <c r="A714" s="75" t="s">
        <v>2551</v>
      </c>
      <c r="B714" s="75" t="s">
        <v>319</v>
      </c>
      <c r="C714" s="75" t="s">
        <v>723</v>
      </c>
      <c r="D714" s="75">
        <v>2023.0</v>
      </c>
      <c r="E714" s="75">
        <v>8.60369054159585E14</v>
      </c>
      <c r="F714" s="76" t="s">
        <v>326</v>
      </c>
      <c r="G714" s="68" t="s">
        <v>328</v>
      </c>
      <c r="H714" s="69">
        <v>45658.0</v>
      </c>
      <c r="I714" s="78" t="s">
        <v>337</v>
      </c>
      <c r="J714" s="78"/>
      <c r="K714" s="79"/>
      <c r="L714" s="80"/>
      <c r="M714" s="81"/>
    </row>
    <row r="715">
      <c r="A715" s="75" t="s">
        <v>2554</v>
      </c>
      <c r="B715" s="75" t="s">
        <v>319</v>
      </c>
      <c r="C715" s="75" t="s">
        <v>723</v>
      </c>
      <c r="D715" s="75">
        <v>2023.0</v>
      </c>
      <c r="E715" s="75">
        <v>8.60369052145073E14</v>
      </c>
      <c r="F715" s="76" t="s">
        <v>398</v>
      </c>
      <c r="G715" s="68" t="s">
        <v>328</v>
      </c>
      <c r="H715" s="69">
        <v>45658.0</v>
      </c>
      <c r="I715" s="78" t="s">
        <v>337</v>
      </c>
      <c r="J715" s="78"/>
      <c r="K715" s="79"/>
      <c r="L715" s="80"/>
      <c r="M715" s="81"/>
    </row>
    <row r="716">
      <c r="A716" s="75" t="s">
        <v>2556</v>
      </c>
      <c r="B716" s="75" t="s">
        <v>319</v>
      </c>
      <c r="C716" s="75" t="s">
        <v>723</v>
      </c>
      <c r="D716" s="75">
        <v>2023.0</v>
      </c>
      <c r="E716" s="75">
        <v>8.6036905214368E14</v>
      </c>
      <c r="F716" s="76" t="s">
        <v>398</v>
      </c>
      <c r="G716" s="68" t="s">
        <v>328</v>
      </c>
      <c r="H716" s="69">
        <v>45658.0</v>
      </c>
      <c r="I716" s="78" t="s">
        <v>337</v>
      </c>
      <c r="J716" s="78"/>
      <c r="K716" s="79"/>
      <c r="L716" s="80"/>
      <c r="M716" s="81"/>
    </row>
    <row r="717">
      <c r="A717" s="75" t="s">
        <v>2559</v>
      </c>
      <c r="B717" s="75" t="s">
        <v>319</v>
      </c>
      <c r="C717" s="75" t="s">
        <v>723</v>
      </c>
      <c r="D717" s="75">
        <v>2023.0</v>
      </c>
      <c r="E717" s="75">
        <v>8.60369054178965E14</v>
      </c>
      <c r="F717" s="76" t="s">
        <v>326</v>
      </c>
      <c r="G717" s="68" t="s">
        <v>328</v>
      </c>
      <c r="H717" s="69">
        <v>45658.0</v>
      </c>
      <c r="I717" s="78" t="s">
        <v>337</v>
      </c>
      <c r="J717" s="78"/>
      <c r="K717" s="79"/>
      <c r="L717" s="80"/>
      <c r="M717" s="81"/>
    </row>
    <row r="718">
      <c r="A718" s="75" t="s">
        <v>2561</v>
      </c>
      <c r="B718" s="75" t="s">
        <v>319</v>
      </c>
      <c r="C718" s="75" t="s">
        <v>321</v>
      </c>
      <c r="D718" s="75">
        <v>2023.0</v>
      </c>
      <c r="E718" s="75">
        <v>8.6036905416125E14</v>
      </c>
      <c r="F718" s="76" t="s">
        <v>326</v>
      </c>
      <c r="G718" s="68" t="s">
        <v>328</v>
      </c>
      <c r="H718" s="69">
        <v>45658.0</v>
      </c>
      <c r="I718" s="78" t="s">
        <v>337</v>
      </c>
      <c r="J718" s="78"/>
      <c r="K718" s="79"/>
      <c r="L718" s="80"/>
      <c r="M718" s="81"/>
    </row>
    <row r="719">
      <c r="A719" s="75" t="s">
        <v>2563</v>
      </c>
      <c r="B719" s="75" t="s">
        <v>319</v>
      </c>
      <c r="C719" s="65" t="s">
        <v>321</v>
      </c>
      <c r="D719" s="75">
        <v>2023.0</v>
      </c>
      <c r="E719" s="75">
        <v>8.60369054184328E14</v>
      </c>
      <c r="F719" s="76" t="s">
        <v>326</v>
      </c>
      <c r="G719" s="68" t="s">
        <v>328</v>
      </c>
      <c r="H719" s="69">
        <v>45658.0</v>
      </c>
      <c r="I719" s="78" t="s">
        <v>337</v>
      </c>
      <c r="J719" s="78"/>
      <c r="K719" s="79"/>
      <c r="L719" s="80"/>
      <c r="M719" s="81"/>
    </row>
    <row r="720">
      <c r="A720" s="75" t="s">
        <v>2567</v>
      </c>
      <c r="B720" s="75" t="s">
        <v>389</v>
      </c>
      <c r="C720" s="65" t="s">
        <v>1292</v>
      </c>
      <c r="D720" s="75">
        <v>2023.0</v>
      </c>
      <c r="E720" s="75">
        <v>8.60369052170972E14</v>
      </c>
      <c r="F720" s="76" t="s">
        <v>398</v>
      </c>
      <c r="G720" s="68" t="s">
        <v>328</v>
      </c>
      <c r="H720" s="69">
        <v>45658.0</v>
      </c>
      <c r="I720" s="78" t="s">
        <v>337</v>
      </c>
      <c r="J720" s="78"/>
      <c r="K720" s="79"/>
      <c r="L720" s="80"/>
      <c r="M720" s="81"/>
    </row>
    <row r="721">
      <c r="A721" s="75" t="s">
        <v>2570</v>
      </c>
      <c r="B721" s="75" t="s">
        <v>389</v>
      </c>
      <c r="C721" s="65" t="s">
        <v>1292</v>
      </c>
      <c r="D721" s="75">
        <v>2023.0</v>
      </c>
      <c r="E721" s="75">
        <v>8.60369052166475E14</v>
      </c>
      <c r="F721" s="76" t="s">
        <v>398</v>
      </c>
      <c r="G721" s="68" t="s">
        <v>328</v>
      </c>
      <c r="H721" s="69">
        <v>45658.0</v>
      </c>
      <c r="I721" s="78" t="s">
        <v>337</v>
      </c>
      <c r="J721" s="78"/>
      <c r="K721" s="79"/>
      <c r="L721" s="80"/>
      <c r="M721" s="81"/>
    </row>
    <row r="722">
      <c r="A722" s="75" t="s">
        <v>2573</v>
      </c>
      <c r="B722" s="75" t="s">
        <v>389</v>
      </c>
      <c r="C722" s="65" t="s">
        <v>1292</v>
      </c>
      <c r="D722" s="75">
        <v>2023.0</v>
      </c>
      <c r="E722" s="75">
        <v>8.60369052117783E14</v>
      </c>
      <c r="F722" s="76" t="s">
        <v>398</v>
      </c>
      <c r="G722" s="68" t="s">
        <v>328</v>
      </c>
      <c r="H722" s="69">
        <v>45658.0</v>
      </c>
      <c r="I722" s="78" t="s">
        <v>337</v>
      </c>
      <c r="J722" s="78"/>
      <c r="K722" s="79"/>
      <c r="L722" s="80"/>
      <c r="M722" s="81"/>
    </row>
    <row r="723">
      <c r="A723" s="75" t="s">
        <v>2576</v>
      </c>
      <c r="B723" s="75" t="s">
        <v>389</v>
      </c>
      <c r="C723" s="195" t="s">
        <v>1292</v>
      </c>
      <c r="D723" s="75">
        <v>2023.0</v>
      </c>
      <c r="E723" s="75">
        <v>8.60369052117239E14</v>
      </c>
      <c r="F723" s="76" t="s">
        <v>398</v>
      </c>
      <c r="G723" s="68" t="s">
        <v>328</v>
      </c>
      <c r="H723" s="69">
        <v>45658.0</v>
      </c>
      <c r="I723" s="78" t="s">
        <v>337</v>
      </c>
      <c r="J723" s="78"/>
      <c r="K723" s="79"/>
      <c r="L723" s="80"/>
      <c r="M723" s="81"/>
    </row>
    <row r="724">
      <c r="A724" s="75" t="s">
        <v>2577</v>
      </c>
      <c r="B724" s="75" t="s">
        <v>389</v>
      </c>
      <c r="C724" s="195" t="s">
        <v>1292</v>
      </c>
      <c r="D724" s="75">
        <v>2023.0</v>
      </c>
      <c r="E724" s="75">
        <v>8.60369052416706E14</v>
      </c>
      <c r="F724" s="76" t="s">
        <v>398</v>
      </c>
      <c r="G724" s="68" t="s">
        <v>328</v>
      </c>
      <c r="H724" s="69">
        <v>45658.0</v>
      </c>
      <c r="I724" s="78" t="s">
        <v>337</v>
      </c>
      <c r="J724" s="78"/>
      <c r="K724" s="79"/>
      <c r="L724" s="80"/>
      <c r="M724" s="81"/>
    </row>
    <row r="725">
      <c r="A725" s="75" t="s">
        <v>2580</v>
      </c>
      <c r="B725" s="75" t="s">
        <v>319</v>
      </c>
      <c r="C725" s="75" t="s">
        <v>723</v>
      </c>
      <c r="D725" s="75">
        <v>2023.0</v>
      </c>
      <c r="E725" s="75">
        <v>8.60369054179047E14</v>
      </c>
      <c r="F725" s="76" t="s">
        <v>326</v>
      </c>
      <c r="G725" s="68" t="s">
        <v>328</v>
      </c>
      <c r="H725" s="69">
        <v>45658.0</v>
      </c>
      <c r="I725" s="78" t="s">
        <v>337</v>
      </c>
      <c r="J725" s="78"/>
      <c r="K725" s="79"/>
      <c r="L725" s="80"/>
      <c r="M725" s="81"/>
    </row>
    <row r="726">
      <c r="A726" s="75" t="s">
        <v>2582</v>
      </c>
      <c r="B726" s="75" t="s">
        <v>319</v>
      </c>
      <c r="C726" s="75" t="s">
        <v>321</v>
      </c>
      <c r="D726" s="75">
        <v>2023.0</v>
      </c>
      <c r="E726" s="75">
        <v>8.60369052427802E14</v>
      </c>
      <c r="F726" s="76" t="s">
        <v>326</v>
      </c>
      <c r="G726" s="68" t="s">
        <v>328</v>
      </c>
      <c r="H726" s="69">
        <v>45658.0</v>
      </c>
      <c r="I726" s="78" t="s">
        <v>337</v>
      </c>
      <c r="J726" s="78"/>
      <c r="K726" s="79"/>
      <c r="L726" s="80"/>
      <c r="M726" s="81"/>
    </row>
    <row r="727">
      <c r="A727" s="75" t="s">
        <v>2586</v>
      </c>
      <c r="B727" s="75" t="s">
        <v>319</v>
      </c>
      <c r="C727" s="75" t="s">
        <v>321</v>
      </c>
      <c r="D727" s="75">
        <v>2023.0</v>
      </c>
      <c r="E727" s="75">
        <v>8.6036905415569E14</v>
      </c>
      <c r="F727" s="76" t="s">
        <v>326</v>
      </c>
      <c r="G727" s="68" t="s">
        <v>328</v>
      </c>
      <c r="H727" s="69">
        <v>45658.0</v>
      </c>
      <c r="I727" s="78" t="s">
        <v>337</v>
      </c>
      <c r="J727" s="78"/>
      <c r="K727" s="79"/>
      <c r="L727" s="80"/>
      <c r="M727" s="81"/>
    </row>
    <row r="728">
      <c r="A728" s="75" t="s">
        <v>2587</v>
      </c>
      <c r="B728" s="75" t="s">
        <v>319</v>
      </c>
      <c r="C728" s="75" t="s">
        <v>321</v>
      </c>
      <c r="D728" s="75">
        <v>2023.0</v>
      </c>
      <c r="E728" s="75">
        <v>8.60369052697222E14</v>
      </c>
      <c r="F728" s="76" t="s">
        <v>326</v>
      </c>
      <c r="G728" s="68" t="s">
        <v>328</v>
      </c>
      <c r="H728" s="69">
        <v>45658.0</v>
      </c>
      <c r="I728" s="78" t="s">
        <v>337</v>
      </c>
      <c r="J728" s="78"/>
      <c r="K728" s="79"/>
      <c r="L728" s="80"/>
      <c r="M728" s="81"/>
    </row>
    <row r="729">
      <c r="A729" s="75" t="s">
        <v>2590</v>
      </c>
      <c r="B729" s="75" t="s">
        <v>319</v>
      </c>
      <c r="C729" s="75" t="s">
        <v>321</v>
      </c>
      <c r="D729" s="75">
        <v>2021.0</v>
      </c>
      <c r="E729" s="75">
        <v>8.60369052445507E14</v>
      </c>
      <c r="F729" s="76" t="s">
        <v>326</v>
      </c>
      <c r="G729" s="68" t="s">
        <v>328</v>
      </c>
      <c r="H729" s="69">
        <v>45658.0</v>
      </c>
      <c r="I729" s="78" t="s">
        <v>337</v>
      </c>
      <c r="J729" s="78"/>
      <c r="K729" s="79"/>
      <c r="L729" s="80"/>
      <c r="M729" s="81"/>
    </row>
    <row r="730">
      <c r="A730" s="75" t="s">
        <v>2593</v>
      </c>
      <c r="B730" s="75" t="s">
        <v>319</v>
      </c>
      <c r="C730" s="75" t="s">
        <v>321</v>
      </c>
      <c r="D730" s="75">
        <v>2023.0</v>
      </c>
      <c r="E730" s="75">
        <v>8.60369052193081E14</v>
      </c>
      <c r="F730" s="76" t="s">
        <v>326</v>
      </c>
      <c r="G730" s="68" t="s">
        <v>328</v>
      </c>
      <c r="H730" s="69">
        <v>45658.0</v>
      </c>
      <c r="I730" s="78" t="s">
        <v>337</v>
      </c>
      <c r="J730" s="78"/>
      <c r="K730" s="79"/>
      <c r="L730" s="80"/>
      <c r="M730" s="81"/>
    </row>
    <row r="731">
      <c r="A731" s="75" t="s">
        <v>2595</v>
      </c>
      <c r="B731" s="75" t="s">
        <v>319</v>
      </c>
      <c r="C731" s="75" t="s">
        <v>723</v>
      </c>
      <c r="D731" s="75">
        <v>2023.0</v>
      </c>
      <c r="E731" s="75">
        <v>8.60369052425608E14</v>
      </c>
      <c r="F731" s="76" t="s">
        <v>326</v>
      </c>
      <c r="G731" s="68" t="s">
        <v>328</v>
      </c>
      <c r="H731" s="69">
        <v>45658.0</v>
      </c>
      <c r="I731" s="78" t="s">
        <v>337</v>
      </c>
      <c r="J731" s="78"/>
      <c r="K731" s="79"/>
      <c r="L731" s="80"/>
      <c r="M731" s="81"/>
    </row>
    <row r="732">
      <c r="A732" s="75" t="s">
        <v>2596</v>
      </c>
      <c r="B732" s="75" t="s">
        <v>319</v>
      </c>
      <c r="C732" s="75" t="s">
        <v>321</v>
      </c>
      <c r="D732" s="75">
        <v>2023.0</v>
      </c>
      <c r="E732" s="75">
        <v>8.60369052707427E14</v>
      </c>
      <c r="F732" s="76" t="s">
        <v>326</v>
      </c>
      <c r="G732" s="68" t="s">
        <v>328</v>
      </c>
      <c r="H732" s="69">
        <v>45658.0</v>
      </c>
      <c r="I732" s="78" t="s">
        <v>337</v>
      </c>
      <c r="J732" s="78"/>
      <c r="K732" s="79"/>
      <c r="L732" s="80"/>
      <c r="M732" s="81"/>
    </row>
    <row r="733">
      <c r="A733" s="75" t="s">
        <v>2599</v>
      </c>
      <c r="B733" s="75" t="s">
        <v>319</v>
      </c>
      <c r="C733" s="75" t="s">
        <v>321</v>
      </c>
      <c r="D733" s="75">
        <v>2023.0</v>
      </c>
      <c r="E733" s="75">
        <v>8.60369052426531E14</v>
      </c>
      <c r="F733" s="76" t="s">
        <v>326</v>
      </c>
      <c r="G733" s="68" t="s">
        <v>328</v>
      </c>
      <c r="H733" s="69">
        <v>45658.0</v>
      </c>
      <c r="I733" s="78" t="s">
        <v>337</v>
      </c>
      <c r="J733" s="78"/>
      <c r="K733" s="79"/>
      <c r="L733" s="80"/>
      <c r="M733" s="81"/>
    </row>
    <row r="734">
      <c r="A734" s="75" t="s">
        <v>2602</v>
      </c>
      <c r="B734" s="75" t="s">
        <v>319</v>
      </c>
      <c r="C734" s="75" t="s">
        <v>321</v>
      </c>
      <c r="D734" s="75">
        <v>2023.0</v>
      </c>
      <c r="E734" s="75">
        <v>8.60369054160252E14</v>
      </c>
      <c r="F734" s="76" t="s">
        <v>326</v>
      </c>
      <c r="G734" s="68" t="s">
        <v>328</v>
      </c>
      <c r="H734" s="69">
        <v>45658.0</v>
      </c>
      <c r="I734" s="78" t="s">
        <v>337</v>
      </c>
      <c r="J734" s="78"/>
      <c r="K734" s="79"/>
      <c r="L734" s="80"/>
      <c r="M734" s="81"/>
    </row>
    <row r="735">
      <c r="A735" s="75" t="s">
        <v>2605</v>
      </c>
      <c r="B735" s="75" t="s">
        <v>319</v>
      </c>
      <c r="C735" s="75" t="s">
        <v>321</v>
      </c>
      <c r="D735" s="75">
        <v>2023.0</v>
      </c>
      <c r="E735" s="75">
        <v>8.60369054152929E14</v>
      </c>
      <c r="F735" s="76" t="s">
        <v>326</v>
      </c>
      <c r="G735" s="68" t="s">
        <v>328</v>
      </c>
      <c r="H735" s="69">
        <v>45658.0</v>
      </c>
      <c r="I735" s="78" t="s">
        <v>337</v>
      </c>
      <c r="J735" s="78"/>
      <c r="K735" s="79"/>
      <c r="L735" s="80"/>
      <c r="M735" s="81"/>
    </row>
    <row r="736">
      <c r="A736" s="75" t="s">
        <v>2607</v>
      </c>
      <c r="B736" s="75" t="s">
        <v>319</v>
      </c>
      <c r="C736" s="75" t="s">
        <v>321</v>
      </c>
      <c r="D736" s="75">
        <v>2023.0</v>
      </c>
      <c r="E736" s="75">
        <v>8.60369052690466E14</v>
      </c>
      <c r="F736" s="76" t="s">
        <v>326</v>
      </c>
      <c r="G736" s="68" t="s">
        <v>328</v>
      </c>
      <c r="H736" s="69">
        <v>45658.0</v>
      </c>
      <c r="I736" s="78" t="s">
        <v>337</v>
      </c>
      <c r="J736" s="78"/>
      <c r="K736" s="79"/>
      <c r="L736" s="80"/>
      <c r="M736" s="81"/>
    </row>
    <row r="737">
      <c r="A737" s="75" t="s">
        <v>2610</v>
      </c>
      <c r="B737" s="75" t="s">
        <v>319</v>
      </c>
      <c r="C737" s="75" t="s">
        <v>321</v>
      </c>
      <c r="D737" s="75">
        <v>2023.0</v>
      </c>
      <c r="E737" s="75">
        <v>8.60369054740079E14</v>
      </c>
      <c r="F737" s="76" t="s">
        <v>326</v>
      </c>
      <c r="G737" s="68" t="s">
        <v>328</v>
      </c>
      <c r="H737" s="69">
        <v>45658.0</v>
      </c>
      <c r="I737" s="78" t="s">
        <v>337</v>
      </c>
      <c r="J737" s="78"/>
      <c r="K737" s="79"/>
      <c r="L737" s="80"/>
      <c r="M737" s="81"/>
    </row>
    <row r="738">
      <c r="A738" s="75" t="s">
        <v>2613</v>
      </c>
      <c r="B738" s="75" t="s">
        <v>319</v>
      </c>
      <c r="C738" s="75" t="s">
        <v>321</v>
      </c>
      <c r="D738" s="75">
        <v>2023.0</v>
      </c>
      <c r="E738" s="75">
        <v>8.60369052433735E14</v>
      </c>
      <c r="F738" s="76" t="s">
        <v>326</v>
      </c>
      <c r="G738" s="68" t="s">
        <v>328</v>
      </c>
      <c r="H738" s="69">
        <v>45658.0</v>
      </c>
      <c r="I738" s="78" t="s">
        <v>337</v>
      </c>
      <c r="J738" s="78"/>
      <c r="K738" s="79"/>
      <c r="L738" s="80"/>
      <c r="M738" s="81"/>
    </row>
    <row r="739">
      <c r="A739" s="75" t="s">
        <v>2615</v>
      </c>
      <c r="B739" s="75" t="s">
        <v>319</v>
      </c>
      <c r="C739" s="75" t="s">
        <v>321</v>
      </c>
      <c r="D739" s="75">
        <v>2023.0</v>
      </c>
      <c r="E739" s="75">
        <v>8.60369052433867E14</v>
      </c>
      <c r="F739" s="76" t="s">
        <v>326</v>
      </c>
      <c r="G739" s="68" t="s">
        <v>328</v>
      </c>
      <c r="H739" s="69">
        <v>45658.0</v>
      </c>
      <c r="I739" s="78" t="s">
        <v>337</v>
      </c>
      <c r="J739" s="78"/>
      <c r="K739" s="79"/>
      <c r="L739" s="80"/>
      <c r="M739" s="81"/>
    </row>
    <row r="740">
      <c r="A740" s="75" t="s">
        <v>2616</v>
      </c>
      <c r="B740" s="75" t="s">
        <v>319</v>
      </c>
      <c r="C740" s="75" t="s">
        <v>321</v>
      </c>
      <c r="D740" s="75">
        <v>2023.0</v>
      </c>
      <c r="E740" s="75">
        <v>8.60369054166002E14</v>
      </c>
      <c r="F740" s="76" t="s">
        <v>326</v>
      </c>
      <c r="G740" s="68" t="s">
        <v>328</v>
      </c>
      <c r="H740" s="69">
        <v>45658.0</v>
      </c>
      <c r="I740" s="78" t="s">
        <v>337</v>
      </c>
      <c r="J740" s="78"/>
      <c r="K740" s="79"/>
      <c r="L740" s="80"/>
      <c r="M740" s="81"/>
    </row>
    <row r="741">
      <c r="A741" s="75" t="s">
        <v>2617</v>
      </c>
      <c r="B741" s="75" t="s">
        <v>319</v>
      </c>
      <c r="C741" s="75" t="s">
        <v>321</v>
      </c>
      <c r="D741" s="75">
        <v>2023.0</v>
      </c>
      <c r="E741" s="75">
        <v>8.60369053334825E14</v>
      </c>
      <c r="F741" s="76" t="s">
        <v>326</v>
      </c>
      <c r="G741" s="68" t="s">
        <v>328</v>
      </c>
      <c r="H741" s="69">
        <v>45658.0</v>
      </c>
      <c r="I741" s="78" t="s">
        <v>337</v>
      </c>
      <c r="J741" s="78"/>
      <c r="K741" s="79"/>
      <c r="L741" s="80"/>
      <c r="M741" s="81"/>
    </row>
    <row r="742">
      <c r="A742" s="75" t="s">
        <v>2619</v>
      </c>
      <c r="B742" s="75" t="s">
        <v>319</v>
      </c>
      <c r="C742" s="75" t="s">
        <v>321</v>
      </c>
      <c r="D742" s="75">
        <v>2023.0</v>
      </c>
      <c r="E742" s="75">
        <v>8.60369054740996E14</v>
      </c>
      <c r="F742" s="76" t="s">
        <v>326</v>
      </c>
      <c r="G742" s="68" t="s">
        <v>328</v>
      </c>
      <c r="H742" s="69">
        <v>45658.0</v>
      </c>
      <c r="I742" s="78" t="s">
        <v>337</v>
      </c>
      <c r="J742" s="78"/>
      <c r="K742" s="79"/>
      <c r="L742" s="80"/>
      <c r="M742" s="81"/>
    </row>
    <row r="743">
      <c r="A743" s="75" t="s">
        <v>2622</v>
      </c>
      <c r="B743" s="75" t="s">
        <v>319</v>
      </c>
      <c r="C743" s="75" t="s">
        <v>321</v>
      </c>
      <c r="D743" s="75">
        <v>2023.0</v>
      </c>
      <c r="E743" s="75">
        <v>8.60369054174451E14</v>
      </c>
      <c r="F743" s="76" t="s">
        <v>326</v>
      </c>
      <c r="G743" s="68" t="s">
        <v>328</v>
      </c>
      <c r="H743" s="69">
        <v>45658.0</v>
      </c>
      <c r="I743" s="78" t="s">
        <v>337</v>
      </c>
      <c r="J743" s="78"/>
      <c r="K743" s="79"/>
      <c r="L743" s="80"/>
      <c r="M743" s="81"/>
    </row>
    <row r="744">
      <c r="A744" s="75" t="s">
        <v>2623</v>
      </c>
      <c r="B744" s="75" t="s">
        <v>319</v>
      </c>
      <c r="C744" s="75" t="s">
        <v>321</v>
      </c>
      <c r="D744" s="75">
        <v>2023.0</v>
      </c>
      <c r="E744" s="75">
        <v>8.60369052434188E14</v>
      </c>
      <c r="F744" s="76" t="s">
        <v>326</v>
      </c>
      <c r="G744" s="68" t="s">
        <v>328</v>
      </c>
      <c r="H744" s="69">
        <v>45658.0</v>
      </c>
      <c r="I744" s="78" t="s">
        <v>337</v>
      </c>
      <c r="J744" s="78"/>
      <c r="K744" s="79"/>
      <c r="L744" s="80"/>
      <c r="M744" s="81"/>
    </row>
    <row r="745">
      <c r="A745" s="75" t="s">
        <v>2625</v>
      </c>
      <c r="B745" s="75" t="s">
        <v>319</v>
      </c>
      <c r="C745" s="75" t="s">
        <v>321</v>
      </c>
      <c r="D745" s="75">
        <v>2023.0</v>
      </c>
      <c r="E745" s="75">
        <v>8.60369052406814E14</v>
      </c>
      <c r="F745" s="76" t="s">
        <v>398</v>
      </c>
      <c r="G745" s="68" t="s">
        <v>328</v>
      </c>
      <c r="H745" s="69">
        <v>45658.0</v>
      </c>
      <c r="I745" s="78" t="s">
        <v>337</v>
      </c>
      <c r="J745" s="78"/>
      <c r="K745" s="79"/>
      <c r="L745" s="80"/>
      <c r="M745" s="81"/>
    </row>
    <row r="746">
      <c r="A746" s="75" t="s">
        <v>2628</v>
      </c>
      <c r="B746" s="75" t="s">
        <v>319</v>
      </c>
      <c r="C746" s="75" t="s">
        <v>321</v>
      </c>
      <c r="D746" s="75">
        <v>2023.0</v>
      </c>
      <c r="E746" s="75">
        <v>8.60369054156912E14</v>
      </c>
      <c r="F746" s="76" t="s">
        <v>326</v>
      </c>
      <c r="G746" s="68" t="s">
        <v>328</v>
      </c>
      <c r="H746" s="69">
        <v>45658.0</v>
      </c>
      <c r="I746" s="78" t="s">
        <v>337</v>
      </c>
      <c r="J746" s="78"/>
      <c r="K746" s="79"/>
      <c r="L746" s="80"/>
      <c r="M746" s="81"/>
    </row>
    <row r="747">
      <c r="A747" s="75" t="s">
        <v>2630</v>
      </c>
      <c r="B747" s="75" t="s">
        <v>319</v>
      </c>
      <c r="C747" s="75" t="s">
        <v>321</v>
      </c>
      <c r="D747" s="75">
        <v>2023.0</v>
      </c>
      <c r="E747" s="75">
        <v>8.60369054160955E14</v>
      </c>
      <c r="F747" s="76" t="s">
        <v>326</v>
      </c>
      <c r="G747" s="68" t="s">
        <v>328</v>
      </c>
      <c r="H747" s="69">
        <v>45658.0</v>
      </c>
      <c r="I747" s="78" t="s">
        <v>337</v>
      </c>
      <c r="J747" s="78"/>
      <c r="K747" s="79"/>
      <c r="L747" s="80"/>
      <c r="M747" s="81"/>
    </row>
    <row r="748">
      <c r="A748" s="75" t="s">
        <v>2634</v>
      </c>
      <c r="B748" s="75" t="s">
        <v>389</v>
      </c>
      <c r="C748" s="195" t="s">
        <v>1292</v>
      </c>
      <c r="D748" s="75">
        <v>2023.0</v>
      </c>
      <c r="E748" s="75">
        <v>8.60369052117577E14</v>
      </c>
      <c r="F748" s="76" t="s">
        <v>398</v>
      </c>
      <c r="G748" s="68" t="s">
        <v>328</v>
      </c>
      <c r="H748" s="69">
        <v>45658.0</v>
      </c>
      <c r="I748" s="78" t="s">
        <v>337</v>
      </c>
      <c r="J748" s="78"/>
      <c r="K748" s="80"/>
      <c r="L748" s="80"/>
      <c r="M748" s="81"/>
    </row>
    <row r="749">
      <c r="A749" s="75" t="s">
        <v>2636</v>
      </c>
      <c r="B749" s="75" t="s">
        <v>389</v>
      </c>
      <c r="C749" s="195" t="s">
        <v>1292</v>
      </c>
      <c r="D749" s="75">
        <v>2023.0</v>
      </c>
      <c r="E749" s="75">
        <v>8.6036905242352E14</v>
      </c>
      <c r="F749" s="76" t="s">
        <v>398</v>
      </c>
      <c r="G749" s="68" t="s">
        <v>328</v>
      </c>
      <c r="H749" s="69">
        <v>45658.0</v>
      </c>
      <c r="I749" s="78" t="s">
        <v>337</v>
      </c>
      <c r="J749" s="78"/>
      <c r="K749" s="79"/>
      <c r="L749" s="80"/>
      <c r="M749" s="81"/>
    </row>
    <row r="750">
      <c r="A750" s="75" t="s">
        <v>2640</v>
      </c>
      <c r="B750" s="75" t="s">
        <v>389</v>
      </c>
      <c r="C750" s="195" t="s">
        <v>1292</v>
      </c>
      <c r="D750" s="75">
        <v>2023.0</v>
      </c>
      <c r="E750" s="75">
        <v>8.60369052157391E14</v>
      </c>
      <c r="F750" s="76" t="s">
        <v>398</v>
      </c>
      <c r="G750" s="68" t="s">
        <v>328</v>
      </c>
      <c r="H750" s="69">
        <v>45658.0</v>
      </c>
      <c r="I750" s="78" t="s">
        <v>337</v>
      </c>
      <c r="J750" s="78"/>
      <c r="K750" s="79"/>
      <c r="L750" s="80"/>
      <c r="M750" s="81"/>
    </row>
    <row r="751">
      <c r="A751" s="75" t="s">
        <v>2641</v>
      </c>
      <c r="B751" s="75" t="s">
        <v>389</v>
      </c>
      <c r="C751" s="195" t="s">
        <v>1292</v>
      </c>
      <c r="D751" s="75">
        <v>2023.0</v>
      </c>
      <c r="E751" s="75">
        <v>8.6036905214269E14</v>
      </c>
      <c r="F751" s="76" t="s">
        <v>398</v>
      </c>
      <c r="G751" s="68" t="s">
        <v>328</v>
      </c>
      <c r="H751" s="69">
        <v>45658.0</v>
      </c>
      <c r="I751" s="78" t="s">
        <v>337</v>
      </c>
      <c r="J751" s="78"/>
      <c r="K751" s="79"/>
      <c r="L751" s="80"/>
      <c r="M751" s="81"/>
    </row>
    <row r="752">
      <c r="A752" s="75" t="s">
        <v>2645</v>
      </c>
      <c r="B752" s="75" t="s">
        <v>319</v>
      </c>
      <c r="C752" s="75" t="s">
        <v>723</v>
      </c>
      <c r="D752" s="75">
        <v>2023.0</v>
      </c>
      <c r="E752" s="75">
        <v>8.60369052434014E14</v>
      </c>
      <c r="F752" s="76" t="s">
        <v>326</v>
      </c>
      <c r="G752" s="68" t="s">
        <v>328</v>
      </c>
      <c r="H752" s="69">
        <v>45658.0</v>
      </c>
      <c r="I752" s="78" t="s">
        <v>337</v>
      </c>
      <c r="J752" s="78"/>
      <c r="K752" s="79"/>
      <c r="L752" s="80"/>
      <c r="M752" s="81"/>
    </row>
    <row r="753">
      <c r="A753" s="75" t="s">
        <v>2647</v>
      </c>
      <c r="B753" s="75" t="s">
        <v>319</v>
      </c>
      <c r="C753" s="75" t="s">
        <v>723</v>
      </c>
      <c r="D753" s="75">
        <v>2023.0</v>
      </c>
      <c r="E753" s="75">
        <v>8.60369052467824E14</v>
      </c>
      <c r="F753" s="76" t="s">
        <v>398</v>
      </c>
      <c r="G753" s="68" t="s">
        <v>328</v>
      </c>
      <c r="H753" s="69">
        <v>45658.0</v>
      </c>
      <c r="I753" s="78" t="s">
        <v>337</v>
      </c>
      <c r="J753" s="78"/>
      <c r="K753" s="79"/>
      <c r="L753" s="80"/>
      <c r="M753" s="81"/>
    </row>
    <row r="754">
      <c r="A754" s="75" t="s">
        <v>2649</v>
      </c>
      <c r="B754" s="75" t="s">
        <v>319</v>
      </c>
      <c r="C754" s="75" t="s">
        <v>723</v>
      </c>
      <c r="D754" s="75">
        <v>2023.0</v>
      </c>
      <c r="E754" s="75">
        <v>8.60369054159551E14</v>
      </c>
      <c r="F754" s="76" t="s">
        <v>326</v>
      </c>
      <c r="G754" s="68" t="s">
        <v>328</v>
      </c>
      <c r="H754" s="69">
        <v>45658.0</v>
      </c>
      <c r="I754" s="78" t="s">
        <v>337</v>
      </c>
      <c r="J754" s="78"/>
      <c r="K754" s="79"/>
      <c r="L754" s="80"/>
      <c r="M754" s="81"/>
    </row>
    <row r="755">
      <c r="A755" s="75" t="s">
        <v>2654</v>
      </c>
      <c r="B755" s="75" t="s">
        <v>319</v>
      </c>
      <c r="C755" s="75" t="s">
        <v>723</v>
      </c>
      <c r="D755" s="75">
        <v>2023.0</v>
      </c>
      <c r="E755" s="75">
        <v>8.60369052695143E14</v>
      </c>
      <c r="F755" s="76" t="s">
        <v>326</v>
      </c>
      <c r="G755" s="68" t="s">
        <v>328</v>
      </c>
      <c r="H755" s="69">
        <v>45658.0</v>
      </c>
      <c r="I755" s="78" t="s">
        <v>337</v>
      </c>
      <c r="J755" s="78"/>
      <c r="K755" s="79"/>
      <c r="L755" s="80"/>
      <c r="M755" s="81"/>
    </row>
    <row r="756">
      <c r="A756" s="75" t="s">
        <v>2656</v>
      </c>
      <c r="B756" s="75" t="s">
        <v>319</v>
      </c>
      <c r="C756" s="75" t="s">
        <v>723</v>
      </c>
      <c r="D756" s="75">
        <v>2023.0</v>
      </c>
      <c r="E756" s="75">
        <v>8.60369054198971E14</v>
      </c>
      <c r="F756" s="76" t="s">
        <v>326</v>
      </c>
      <c r="G756" s="68" t="s">
        <v>328</v>
      </c>
      <c r="H756" s="69">
        <v>45658.0</v>
      </c>
      <c r="I756" s="78" t="s">
        <v>337</v>
      </c>
      <c r="J756" s="78"/>
      <c r="K756" s="79"/>
      <c r="L756" s="80"/>
      <c r="M756" s="81"/>
    </row>
    <row r="757">
      <c r="A757" s="75" t="s">
        <v>2660</v>
      </c>
      <c r="B757" s="75" t="s">
        <v>319</v>
      </c>
      <c r="C757" s="75" t="s">
        <v>723</v>
      </c>
      <c r="D757" s="75">
        <v>2023.0</v>
      </c>
      <c r="E757" s="75">
        <v>8.60369054165608E14</v>
      </c>
      <c r="F757" s="76" t="s">
        <v>326</v>
      </c>
      <c r="G757" s="68" t="s">
        <v>328</v>
      </c>
      <c r="H757" s="69">
        <v>45658.0</v>
      </c>
      <c r="I757" s="78" t="s">
        <v>337</v>
      </c>
      <c r="J757" s="78"/>
      <c r="K757" s="79"/>
      <c r="L757" s="80"/>
      <c r="M757" s="81"/>
    </row>
    <row r="758">
      <c r="A758" s="75" t="s">
        <v>2663</v>
      </c>
      <c r="B758" s="75" t="s">
        <v>319</v>
      </c>
      <c r="C758" s="75" t="s">
        <v>723</v>
      </c>
      <c r="D758" s="75">
        <v>2023.0</v>
      </c>
      <c r="E758" s="75">
        <v>8.60369052696497E14</v>
      </c>
      <c r="F758" s="76" t="s">
        <v>326</v>
      </c>
      <c r="G758" s="68" t="s">
        <v>328</v>
      </c>
      <c r="H758" s="69">
        <v>45658.0</v>
      </c>
      <c r="I758" s="78" t="s">
        <v>337</v>
      </c>
      <c r="J758" s="78"/>
      <c r="K758" s="79"/>
      <c r="L758" s="80"/>
      <c r="M758" s="81"/>
    </row>
    <row r="759">
      <c r="A759" s="75" t="s">
        <v>2664</v>
      </c>
      <c r="B759" s="75" t="s">
        <v>319</v>
      </c>
      <c r="C759" s="75" t="s">
        <v>723</v>
      </c>
      <c r="D759" s="75">
        <v>2023.0</v>
      </c>
      <c r="E759" s="75">
        <v>8.6036905417667E14</v>
      </c>
      <c r="F759" s="76" t="s">
        <v>326</v>
      </c>
      <c r="G759" s="68" t="s">
        <v>328</v>
      </c>
      <c r="H759" s="69">
        <v>45658.0</v>
      </c>
      <c r="I759" s="78" t="s">
        <v>337</v>
      </c>
      <c r="J759" s="78"/>
      <c r="K759" s="79"/>
      <c r="L759" s="80"/>
      <c r="M759" s="81"/>
    </row>
    <row r="760">
      <c r="A760" s="75" t="s">
        <v>2668</v>
      </c>
      <c r="B760" s="75" t="s">
        <v>319</v>
      </c>
      <c r="C760" s="75" t="s">
        <v>723</v>
      </c>
      <c r="D760" s="75">
        <v>2023.0</v>
      </c>
      <c r="E760" s="75">
        <v>8.60369054183247E14</v>
      </c>
      <c r="F760" s="76" t="s">
        <v>326</v>
      </c>
      <c r="G760" s="68" t="s">
        <v>328</v>
      </c>
      <c r="H760" s="69">
        <v>45658.0</v>
      </c>
      <c r="I760" s="78" t="s">
        <v>337</v>
      </c>
      <c r="J760" s="78"/>
      <c r="K760" s="79"/>
      <c r="L760" s="80"/>
      <c r="M760" s="81"/>
    </row>
    <row r="761">
      <c r="A761" s="75" t="s">
        <v>2670</v>
      </c>
      <c r="B761" s="75" t="s">
        <v>319</v>
      </c>
      <c r="C761" s="75" t="s">
        <v>723</v>
      </c>
      <c r="D761" s="75">
        <v>2023.0</v>
      </c>
      <c r="E761" s="75">
        <v>8.60369052695374E14</v>
      </c>
      <c r="F761" s="76" t="s">
        <v>326</v>
      </c>
      <c r="G761" s="68" t="s">
        <v>328</v>
      </c>
      <c r="H761" s="69">
        <v>45658.0</v>
      </c>
      <c r="I761" s="78" t="s">
        <v>337</v>
      </c>
      <c r="J761" s="78"/>
      <c r="K761" s="79"/>
      <c r="L761" s="80"/>
      <c r="M761" s="81"/>
    </row>
    <row r="762">
      <c r="A762" s="75" t="s">
        <v>2672</v>
      </c>
      <c r="B762" s="75" t="s">
        <v>319</v>
      </c>
      <c r="C762" s="75" t="s">
        <v>321</v>
      </c>
      <c r="D762" s="75">
        <v>2023.0</v>
      </c>
      <c r="E762" s="75">
        <v>8.60369054173677E14</v>
      </c>
      <c r="F762" s="76" t="s">
        <v>326</v>
      </c>
      <c r="G762" s="68" t="s">
        <v>328</v>
      </c>
      <c r="H762" s="69">
        <v>45658.0</v>
      </c>
      <c r="I762" s="78" t="s">
        <v>337</v>
      </c>
      <c r="J762" s="78"/>
      <c r="K762" s="79"/>
      <c r="L762" s="80"/>
      <c r="M762" s="81"/>
    </row>
    <row r="763">
      <c r="A763" s="75" t="s">
        <v>2675</v>
      </c>
      <c r="B763" s="75" t="s">
        <v>319</v>
      </c>
      <c r="C763" s="75" t="s">
        <v>321</v>
      </c>
      <c r="D763" s="75">
        <v>2023.0</v>
      </c>
      <c r="E763" s="75">
        <v>8.60369054162407E14</v>
      </c>
      <c r="F763" s="76" t="s">
        <v>326</v>
      </c>
      <c r="G763" s="68" t="s">
        <v>328</v>
      </c>
      <c r="H763" s="69">
        <v>45658.0</v>
      </c>
      <c r="I763" s="78" t="s">
        <v>337</v>
      </c>
      <c r="J763" s="78"/>
      <c r="K763" s="79"/>
      <c r="L763" s="80"/>
      <c r="M763" s="81"/>
    </row>
    <row r="764">
      <c r="A764" s="75" t="s">
        <v>2679</v>
      </c>
      <c r="B764" s="75" t="s">
        <v>319</v>
      </c>
      <c r="C764" s="75" t="s">
        <v>376</v>
      </c>
      <c r="D764" s="75">
        <v>2026.0</v>
      </c>
      <c r="E764" s="75">
        <v>8.60369054169915E14</v>
      </c>
      <c r="F764" s="76" t="s">
        <v>326</v>
      </c>
      <c r="G764" s="68" t="s">
        <v>328</v>
      </c>
      <c r="H764" s="69">
        <v>45658.0</v>
      </c>
      <c r="I764" s="78" t="s">
        <v>337</v>
      </c>
      <c r="J764" s="78"/>
      <c r="K764" s="79"/>
      <c r="L764" s="80"/>
      <c r="M764" s="81"/>
    </row>
    <row r="765">
      <c r="A765" s="75" t="s">
        <v>2681</v>
      </c>
      <c r="B765" s="75" t="s">
        <v>319</v>
      </c>
      <c r="C765" s="75" t="s">
        <v>376</v>
      </c>
      <c r="D765" s="75">
        <v>2018.0</v>
      </c>
      <c r="E765" s="75">
        <v>8.6036905270203E14</v>
      </c>
      <c r="F765" s="76" t="s">
        <v>326</v>
      </c>
      <c r="G765" s="68" t="s">
        <v>328</v>
      </c>
      <c r="H765" s="69">
        <v>45658.0</v>
      </c>
      <c r="I765" s="78" t="s">
        <v>337</v>
      </c>
      <c r="J765" s="78"/>
      <c r="K765" s="79"/>
      <c r="L765" s="80"/>
      <c r="M765" s="81"/>
    </row>
    <row r="766">
      <c r="A766" s="75" t="s">
        <v>2684</v>
      </c>
      <c r="B766" s="75" t="s">
        <v>319</v>
      </c>
      <c r="C766" s="75" t="s">
        <v>376</v>
      </c>
      <c r="D766" s="75">
        <v>2018.0</v>
      </c>
      <c r="E766" s="75">
        <v>8.6036905212152E14</v>
      </c>
      <c r="F766" s="76" t="s">
        <v>326</v>
      </c>
      <c r="G766" s="68" t="s">
        <v>328</v>
      </c>
      <c r="H766" s="69">
        <v>45658.0</v>
      </c>
      <c r="I766" s="78" t="s">
        <v>337</v>
      </c>
      <c r="J766" s="78"/>
      <c r="K766" s="79"/>
      <c r="L766" s="80"/>
      <c r="M766" s="81"/>
    </row>
    <row r="767">
      <c r="A767" s="75" t="s">
        <v>2686</v>
      </c>
      <c r="B767" s="75" t="s">
        <v>319</v>
      </c>
      <c r="C767" s="75" t="s">
        <v>376</v>
      </c>
      <c r="D767" s="75">
        <v>2018.0</v>
      </c>
      <c r="E767" s="75">
        <v>8.60369052708979E14</v>
      </c>
      <c r="F767" s="76" t="s">
        <v>326</v>
      </c>
      <c r="G767" s="68" t="s">
        <v>328</v>
      </c>
      <c r="H767" s="69">
        <v>45658.0</v>
      </c>
      <c r="I767" s="78" t="s">
        <v>337</v>
      </c>
      <c r="J767" s="78"/>
      <c r="K767" s="79"/>
      <c r="L767" s="80"/>
      <c r="M767" s="81"/>
    </row>
    <row r="768">
      <c r="A768" s="75" t="s">
        <v>2689</v>
      </c>
      <c r="B768" s="75" t="s">
        <v>319</v>
      </c>
      <c r="C768" s="75" t="s">
        <v>376</v>
      </c>
      <c r="D768" s="75">
        <v>2018.0</v>
      </c>
      <c r="E768" s="75">
        <v>8.60369052444518E14</v>
      </c>
      <c r="F768" s="76" t="s">
        <v>326</v>
      </c>
      <c r="G768" s="68" t="s">
        <v>328</v>
      </c>
      <c r="H768" s="69">
        <v>45658.0</v>
      </c>
      <c r="I768" s="78" t="s">
        <v>337</v>
      </c>
      <c r="J768" s="78"/>
      <c r="K768" s="79"/>
      <c r="L768" s="80"/>
      <c r="M768" s="81"/>
    </row>
    <row r="769">
      <c r="A769" s="75" t="s">
        <v>2691</v>
      </c>
      <c r="B769" s="75" t="s">
        <v>319</v>
      </c>
      <c r="C769" s="75" t="s">
        <v>1725</v>
      </c>
      <c r="D769" s="75">
        <v>2026.0</v>
      </c>
      <c r="E769" s="75">
        <v>8.60369054173537E14</v>
      </c>
      <c r="F769" s="76" t="s">
        <v>326</v>
      </c>
      <c r="G769" s="68" t="s">
        <v>328</v>
      </c>
      <c r="H769" s="69">
        <v>45658.0</v>
      </c>
      <c r="I769" s="78" t="s">
        <v>337</v>
      </c>
      <c r="J769" s="78"/>
      <c r="K769" s="79"/>
      <c r="L769" s="80"/>
      <c r="M769" s="81"/>
    </row>
    <row r="770">
      <c r="A770" s="75" t="s">
        <v>2693</v>
      </c>
      <c r="B770" s="75" t="s">
        <v>319</v>
      </c>
      <c r="C770" s="75" t="s">
        <v>376</v>
      </c>
      <c r="D770" s="75">
        <v>2019.0</v>
      </c>
      <c r="E770" s="75">
        <v>8.63251073897261E14</v>
      </c>
      <c r="F770" s="76" t="s">
        <v>326</v>
      </c>
      <c r="G770" s="68" t="s">
        <v>328</v>
      </c>
      <c r="H770" s="69">
        <v>45658.0</v>
      </c>
      <c r="I770" s="78" t="s">
        <v>337</v>
      </c>
      <c r="J770" s="78"/>
      <c r="K770" s="79"/>
      <c r="L770" s="80"/>
      <c r="M770" s="81"/>
    </row>
    <row r="771">
      <c r="A771" s="75">
        <v>8.60369052447214E14</v>
      </c>
      <c r="B771" s="75"/>
      <c r="C771" s="75"/>
      <c r="D771" s="75"/>
      <c r="E771" s="75">
        <v>8.60369052447214E14</v>
      </c>
      <c r="F771" s="76" t="s">
        <v>326</v>
      </c>
      <c r="G771" s="68" t="s">
        <v>328</v>
      </c>
      <c r="H771" s="69">
        <v>45658.0</v>
      </c>
      <c r="I771" s="78" t="s">
        <v>2065</v>
      </c>
      <c r="J771" s="78"/>
      <c r="K771" s="79"/>
      <c r="L771" s="80"/>
      <c r="M771" s="81"/>
    </row>
    <row r="772">
      <c r="A772" s="75" t="s">
        <v>2696</v>
      </c>
      <c r="B772" s="75" t="s">
        <v>319</v>
      </c>
      <c r="C772" s="75" t="s">
        <v>376</v>
      </c>
      <c r="D772" s="75">
        <v>2021.0</v>
      </c>
      <c r="E772" s="75">
        <v>8.60369054154552E14</v>
      </c>
      <c r="F772" s="76" t="s">
        <v>326</v>
      </c>
      <c r="G772" s="68" t="s">
        <v>328</v>
      </c>
      <c r="H772" s="69">
        <v>45658.0</v>
      </c>
      <c r="I772" s="78" t="s">
        <v>337</v>
      </c>
      <c r="J772" s="78"/>
      <c r="K772" s="79"/>
      <c r="L772" s="80"/>
      <c r="M772" s="81"/>
    </row>
    <row r="773">
      <c r="A773" s="75" t="s">
        <v>2698</v>
      </c>
      <c r="B773" s="75" t="s">
        <v>319</v>
      </c>
      <c r="C773" s="75" t="s">
        <v>321</v>
      </c>
      <c r="D773" s="75">
        <v>2019.0</v>
      </c>
      <c r="E773" s="75">
        <v>8.60369052448329E14</v>
      </c>
      <c r="F773" s="76" t="s">
        <v>326</v>
      </c>
      <c r="G773" s="68" t="s">
        <v>328</v>
      </c>
      <c r="H773" s="69">
        <v>45658.0</v>
      </c>
      <c r="I773" s="78" t="s">
        <v>337</v>
      </c>
      <c r="J773" s="78"/>
      <c r="K773" s="79"/>
      <c r="L773" s="80"/>
      <c r="M773" s="81"/>
    </row>
    <row r="774">
      <c r="A774" s="75">
        <v>8.6036905417554E14</v>
      </c>
      <c r="B774" s="75" t="s">
        <v>319</v>
      </c>
      <c r="C774" s="75" t="s">
        <v>376</v>
      </c>
      <c r="D774" s="75">
        <v>2019.0</v>
      </c>
      <c r="E774" s="75">
        <v>8.6036905417554E14</v>
      </c>
      <c r="F774" s="76" t="s">
        <v>326</v>
      </c>
      <c r="G774" s="68" t="s">
        <v>328</v>
      </c>
      <c r="H774" s="69">
        <v>45658.0</v>
      </c>
      <c r="I774" s="78" t="s">
        <v>337</v>
      </c>
      <c r="J774" s="78"/>
      <c r="K774" s="79"/>
      <c r="L774" s="80"/>
      <c r="M774" s="81"/>
    </row>
    <row r="775">
      <c r="A775" s="75" t="s">
        <v>2703</v>
      </c>
      <c r="B775" s="75" t="s">
        <v>319</v>
      </c>
      <c r="C775" s="75" t="s">
        <v>376</v>
      </c>
      <c r="D775" s="75">
        <v>2019.0</v>
      </c>
      <c r="E775" s="75">
        <v>8.60369052706288E14</v>
      </c>
      <c r="F775" s="76" t="s">
        <v>326</v>
      </c>
      <c r="G775" s="68" t="s">
        <v>328</v>
      </c>
      <c r="H775" s="69">
        <v>45658.0</v>
      </c>
      <c r="I775" s="78" t="s">
        <v>1240</v>
      </c>
      <c r="J775" s="78"/>
      <c r="K775" s="79"/>
      <c r="L775" s="80"/>
      <c r="M775" s="81"/>
    </row>
    <row r="776">
      <c r="A776" s="75" t="s">
        <v>2706</v>
      </c>
      <c r="B776" s="75" t="s">
        <v>319</v>
      </c>
      <c r="C776" s="75" t="s">
        <v>376</v>
      </c>
      <c r="D776" s="75">
        <v>2026.0</v>
      </c>
      <c r="E776" s="75">
        <v>8.60369054187529E14</v>
      </c>
      <c r="F776" s="76" t="s">
        <v>326</v>
      </c>
      <c r="G776" s="68" t="s">
        <v>328</v>
      </c>
      <c r="H776" s="69">
        <v>45658.0</v>
      </c>
      <c r="I776" s="78" t="s">
        <v>337</v>
      </c>
      <c r="J776" s="78"/>
      <c r="K776" s="79"/>
      <c r="L776" s="80"/>
      <c r="M776" s="81"/>
    </row>
    <row r="777">
      <c r="A777" s="75" t="s">
        <v>2708</v>
      </c>
      <c r="B777" s="75" t="s">
        <v>319</v>
      </c>
      <c r="C777" s="75" t="s">
        <v>376</v>
      </c>
      <c r="D777" s="75">
        <v>2019.0</v>
      </c>
      <c r="E777" s="75">
        <v>8.60369052701081E14</v>
      </c>
      <c r="F777" s="76" t="s">
        <v>326</v>
      </c>
      <c r="G777" s="68" t="s">
        <v>328</v>
      </c>
      <c r="H777" s="69">
        <v>45658.0</v>
      </c>
      <c r="I777" s="78" t="s">
        <v>337</v>
      </c>
      <c r="J777" s="78"/>
      <c r="K777" s="79"/>
      <c r="L777" s="80"/>
      <c r="M777" s="81"/>
    </row>
    <row r="778">
      <c r="A778" s="76">
        <v>8.60369052703244E14</v>
      </c>
      <c r="B778" s="75" t="s">
        <v>319</v>
      </c>
      <c r="C778" s="75" t="s">
        <v>376</v>
      </c>
      <c r="D778" s="75">
        <v>2019.0</v>
      </c>
      <c r="E778" s="75">
        <v>8.60369052703244E14</v>
      </c>
      <c r="F778" s="76" t="s">
        <v>326</v>
      </c>
      <c r="G778" s="68" t="s">
        <v>328</v>
      </c>
      <c r="H778" s="69">
        <v>45658.0</v>
      </c>
      <c r="I778" s="78" t="s">
        <v>337</v>
      </c>
      <c r="J778" s="78"/>
      <c r="K778" s="79"/>
      <c r="L778" s="80"/>
      <c r="M778" s="81"/>
    </row>
    <row r="779">
      <c r="A779" s="75" t="s">
        <v>2712</v>
      </c>
      <c r="B779" s="75" t="s">
        <v>319</v>
      </c>
      <c r="C779" s="75" t="s">
        <v>376</v>
      </c>
      <c r="D779" s="75">
        <v>2019.0</v>
      </c>
      <c r="E779" s="75">
        <v>8.60369052706874E14</v>
      </c>
      <c r="F779" s="76" t="s">
        <v>326</v>
      </c>
      <c r="G779" s="68" t="s">
        <v>328</v>
      </c>
      <c r="H779" s="69">
        <v>45658.0</v>
      </c>
      <c r="I779" s="78" t="s">
        <v>1240</v>
      </c>
      <c r="J779" s="78"/>
      <c r="K779" s="79"/>
      <c r="L779" s="80"/>
      <c r="M779" s="81"/>
    </row>
    <row r="780">
      <c r="A780" s="75" t="s">
        <v>2714</v>
      </c>
      <c r="B780" s="75" t="s">
        <v>319</v>
      </c>
      <c r="C780" s="75" t="s">
        <v>376</v>
      </c>
      <c r="D780" s="75">
        <v>2019.0</v>
      </c>
      <c r="E780" s="75">
        <v>8.60369054160989E14</v>
      </c>
      <c r="F780" s="76" t="s">
        <v>326</v>
      </c>
      <c r="G780" s="68" t="s">
        <v>328</v>
      </c>
      <c r="H780" s="69">
        <v>45658.0</v>
      </c>
      <c r="I780" s="78" t="s">
        <v>337</v>
      </c>
      <c r="J780" s="78"/>
      <c r="K780" s="79"/>
      <c r="L780" s="80"/>
      <c r="M780" s="81"/>
    </row>
    <row r="781">
      <c r="A781" s="75" t="s">
        <v>2717</v>
      </c>
      <c r="B781" s="75" t="s">
        <v>319</v>
      </c>
      <c r="C781" s="75" t="s">
        <v>376</v>
      </c>
      <c r="D781" s="75">
        <v>2019.0</v>
      </c>
      <c r="E781" s="75">
        <v>8.60369052703442E14</v>
      </c>
      <c r="F781" s="76" t="s">
        <v>326</v>
      </c>
      <c r="G781" s="68" t="s">
        <v>328</v>
      </c>
      <c r="H781" s="69">
        <v>45658.0</v>
      </c>
      <c r="I781" s="78" t="s">
        <v>1240</v>
      </c>
      <c r="J781" s="78"/>
      <c r="K781" s="79"/>
      <c r="L781" s="80"/>
      <c r="M781" s="81"/>
    </row>
    <row r="782">
      <c r="A782" s="65">
        <v>8.6036905243399E14</v>
      </c>
      <c r="B782" s="65" t="s">
        <v>319</v>
      </c>
      <c r="C782" s="65" t="s">
        <v>376</v>
      </c>
      <c r="D782" s="65">
        <v>2020.0</v>
      </c>
      <c r="E782" s="65">
        <v>8.6036905243399E14</v>
      </c>
      <c r="F782" s="65" t="s">
        <v>398</v>
      </c>
      <c r="G782" s="192" t="s">
        <v>328</v>
      </c>
      <c r="H782" s="69">
        <v>45658.0</v>
      </c>
      <c r="I782" s="195" t="s">
        <v>1240</v>
      </c>
      <c r="J782" s="65" t="s">
        <v>2720</v>
      </c>
      <c r="K782" s="73"/>
      <c r="L782" s="73"/>
      <c r="M782" s="73"/>
    </row>
    <row r="783">
      <c r="A783" s="75" t="s">
        <v>2722</v>
      </c>
      <c r="B783" s="75" t="s">
        <v>319</v>
      </c>
      <c r="C783" s="75" t="s">
        <v>1898</v>
      </c>
      <c r="D783" s="75">
        <v>2019.0</v>
      </c>
      <c r="E783" s="75">
        <v>8.60369052701933E14</v>
      </c>
      <c r="F783" s="76" t="s">
        <v>326</v>
      </c>
      <c r="G783" s="68" t="s">
        <v>328</v>
      </c>
      <c r="H783" s="69">
        <v>45658.0</v>
      </c>
      <c r="I783" s="78" t="s">
        <v>2065</v>
      </c>
      <c r="J783" s="78"/>
      <c r="K783" s="79"/>
      <c r="L783" s="80"/>
      <c r="M783" s="81"/>
    </row>
    <row r="784">
      <c r="A784" s="75" t="s">
        <v>2725</v>
      </c>
      <c r="B784" s="75" t="s">
        <v>319</v>
      </c>
      <c r="C784" s="75" t="s">
        <v>376</v>
      </c>
      <c r="D784" s="75">
        <v>2020.0</v>
      </c>
      <c r="E784" s="75">
        <v>8.60369054179013E14</v>
      </c>
      <c r="F784" s="76" t="s">
        <v>326</v>
      </c>
      <c r="G784" s="68" t="s">
        <v>328</v>
      </c>
      <c r="H784" s="69">
        <v>45658.0</v>
      </c>
      <c r="I784" s="78" t="s">
        <v>337</v>
      </c>
      <c r="J784" s="78"/>
      <c r="K784" s="79"/>
      <c r="L784" s="80"/>
      <c r="M784" s="81"/>
    </row>
    <row r="785">
      <c r="A785" s="75" t="s">
        <v>2727</v>
      </c>
      <c r="B785" s="75" t="s">
        <v>319</v>
      </c>
      <c r="C785" s="75" t="s">
        <v>376</v>
      </c>
      <c r="D785" s="75">
        <v>2020.0</v>
      </c>
      <c r="E785" s="75">
        <v>8.60369052695648E14</v>
      </c>
      <c r="F785" s="76" t="s">
        <v>326</v>
      </c>
      <c r="G785" s="68" t="s">
        <v>328</v>
      </c>
      <c r="H785" s="69">
        <v>45658.0</v>
      </c>
      <c r="I785" s="78" t="s">
        <v>337</v>
      </c>
      <c r="J785" s="78"/>
      <c r="K785" s="79"/>
      <c r="L785" s="80"/>
      <c r="M785" s="81"/>
    </row>
    <row r="786">
      <c r="A786" s="75" t="s">
        <v>2730</v>
      </c>
      <c r="B786" s="75" t="s">
        <v>319</v>
      </c>
      <c r="C786" s="75" t="s">
        <v>376</v>
      </c>
      <c r="D786" s="75">
        <v>2020.0</v>
      </c>
      <c r="E786" s="75">
        <v>8.6036905418167E14</v>
      </c>
      <c r="F786" s="76" t="s">
        <v>326</v>
      </c>
      <c r="G786" s="68" t="s">
        <v>328</v>
      </c>
      <c r="H786" s="69">
        <v>45658.0</v>
      </c>
      <c r="I786" s="78" t="s">
        <v>337</v>
      </c>
      <c r="J786" s="78"/>
      <c r="K786" s="79"/>
      <c r="L786" s="80"/>
      <c r="M786" s="81"/>
    </row>
    <row r="787">
      <c r="A787" s="75" t="s">
        <v>2732</v>
      </c>
      <c r="B787" s="75" t="s">
        <v>319</v>
      </c>
      <c r="C787" s="75" t="s">
        <v>376</v>
      </c>
      <c r="D787" s="75">
        <v>2020.0</v>
      </c>
      <c r="E787" s="75">
        <v>8.603690521938E14</v>
      </c>
      <c r="F787" s="76" t="s">
        <v>326</v>
      </c>
      <c r="G787" s="68" t="s">
        <v>328</v>
      </c>
      <c r="H787" s="69">
        <v>45658.0</v>
      </c>
      <c r="I787" s="78" t="s">
        <v>337</v>
      </c>
      <c r="J787" s="78"/>
      <c r="K787" s="79"/>
      <c r="L787" s="80"/>
      <c r="M787" s="81"/>
    </row>
    <row r="788">
      <c r="A788" s="75" t="s">
        <v>2735</v>
      </c>
      <c r="B788" s="75" t="s">
        <v>319</v>
      </c>
      <c r="C788" s="75" t="s">
        <v>376</v>
      </c>
      <c r="D788" s="75">
        <v>2020.0</v>
      </c>
      <c r="E788" s="75">
        <v>8.60369052434089E14</v>
      </c>
      <c r="F788" s="76" t="s">
        <v>326</v>
      </c>
      <c r="G788" s="68" t="s">
        <v>328</v>
      </c>
      <c r="H788" s="69">
        <v>45658.0</v>
      </c>
      <c r="I788" s="78" t="s">
        <v>1240</v>
      </c>
      <c r="J788" s="78"/>
      <c r="K788" s="79"/>
      <c r="L788" s="80"/>
      <c r="M788" s="81"/>
    </row>
    <row r="789">
      <c r="A789" s="75" t="s">
        <v>2737</v>
      </c>
      <c r="B789" s="75" t="s">
        <v>319</v>
      </c>
      <c r="C789" s="75" t="s">
        <v>376</v>
      </c>
      <c r="D789" s="75">
        <v>2020.0</v>
      </c>
      <c r="E789" s="75">
        <v>8.60369052695242E14</v>
      </c>
      <c r="F789" s="76" t="s">
        <v>326</v>
      </c>
      <c r="G789" s="68" t="s">
        <v>328</v>
      </c>
      <c r="H789" s="69">
        <v>45658.0</v>
      </c>
      <c r="I789" s="78" t="s">
        <v>1240</v>
      </c>
      <c r="J789" s="78"/>
      <c r="K789" s="79"/>
      <c r="L789" s="80"/>
      <c r="M789" s="81"/>
    </row>
    <row r="790">
      <c r="A790" s="75" t="s">
        <v>2740</v>
      </c>
      <c r="B790" s="75" t="s">
        <v>319</v>
      </c>
      <c r="C790" s="75" t="s">
        <v>376</v>
      </c>
      <c r="D790" s="75">
        <v>2020.0</v>
      </c>
      <c r="E790" s="75">
        <v>8.60369052695671E14</v>
      </c>
      <c r="F790" s="76" t="s">
        <v>326</v>
      </c>
      <c r="G790" s="68" t="s">
        <v>328</v>
      </c>
      <c r="H790" s="69">
        <v>45658.0</v>
      </c>
      <c r="I790" s="78" t="s">
        <v>337</v>
      </c>
      <c r="J790" s="78"/>
      <c r="K790" s="79"/>
      <c r="L790" s="80"/>
      <c r="M790" s="81"/>
    </row>
    <row r="791">
      <c r="A791" s="75" t="s">
        <v>2743</v>
      </c>
      <c r="B791" s="75" t="s">
        <v>319</v>
      </c>
      <c r="C791" s="75" t="s">
        <v>376</v>
      </c>
      <c r="D791" s="75">
        <v>2020.0</v>
      </c>
      <c r="E791" s="75">
        <v>8.60369052696331E14</v>
      </c>
      <c r="F791" s="76" t="s">
        <v>326</v>
      </c>
      <c r="G791" s="68" t="s">
        <v>328</v>
      </c>
      <c r="H791" s="69">
        <v>45658.0</v>
      </c>
      <c r="I791" s="78" t="s">
        <v>337</v>
      </c>
      <c r="J791" s="78"/>
      <c r="K791" s="79"/>
      <c r="L791" s="80"/>
      <c r="M791" s="81"/>
    </row>
    <row r="792">
      <c r="A792" s="75" t="s">
        <v>2744</v>
      </c>
      <c r="B792" s="75" t="s">
        <v>319</v>
      </c>
      <c r="C792" s="75" t="s">
        <v>376</v>
      </c>
      <c r="D792" s="75">
        <v>2020.0</v>
      </c>
      <c r="E792" s="75">
        <v>8.60369052445267E14</v>
      </c>
      <c r="F792" s="76" t="s">
        <v>326</v>
      </c>
      <c r="G792" s="68" t="s">
        <v>328</v>
      </c>
      <c r="H792" s="69">
        <v>45658.0</v>
      </c>
      <c r="I792" s="78" t="s">
        <v>1240</v>
      </c>
      <c r="J792" s="78"/>
      <c r="K792" s="79"/>
      <c r="L792" s="80"/>
      <c r="M792" s="81"/>
    </row>
    <row r="793">
      <c r="A793" s="75" t="s">
        <v>2747</v>
      </c>
      <c r="B793" s="75" t="s">
        <v>319</v>
      </c>
      <c r="C793" s="75" t="s">
        <v>376</v>
      </c>
      <c r="D793" s="75">
        <v>2020.0</v>
      </c>
      <c r="E793" s="75">
        <v>8.60369054162902E14</v>
      </c>
      <c r="F793" s="76" t="s">
        <v>326</v>
      </c>
      <c r="G793" s="68" t="s">
        <v>328</v>
      </c>
      <c r="H793" s="69">
        <v>45658.0</v>
      </c>
      <c r="I793" s="78" t="s">
        <v>1240</v>
      </c>
      <c r="J793" s="78"/>
      <c r="K793" s="79"/>
      <c r="L793" s="80"/>
      <c r="M793" s="81"/>
    </row>
    <row r="794">
      <c r="A794" s="75" t="s">
        <v>2750</v>
      </c>
      <c r="B794" s="75" t="s">
        <v>319</v>
      </c>
      <c r="C794" s="75" t="s">
        <v>376</v>
      </c>
      <c r="D794" s="75">
        <v>2020.0</v>
      </c>
      <c r="E794" s="75">
        <v>8.60369052168208E14</v>
      </c>
      <c r="F794" s="76" t="s">
        <v>398</v>
      </c>
      <c r="G794" s="68" t="s">
        <v>328</v>
      </c>
      <c r="H794" s="69">
        <v>45658.0</v>
      </c>
      <c r="I794" s="78" t="s">
        <v>337</v>
      </c>
      <c r="J794" s="78"/>
      <c r="K794" s="79"/>
      <c r="L794" s="80"/>
      <c r="M794" s="81"/>
    </row>
    <row r="795">
      <c r="A795" s="75" t="s">
        <v>2752</v>
      </c>
      <c r="B795" s="75" t="s">
        <v>319</v>
      </c>
      <c r="C795" s="75" t="s">
        <v>376</v>
      </c>
      <c r="D795" s="75">
        <v>2020.0</v>
      </c>
      <c r="E795" s="75">
        <v>8.60369052425582E14</v>
      </c>
      <c r="F795" s="76" t="s">
        <v>326</v>
      </c>
      <c r="G795" s="68" t="s">
        <v>328</v>
      </c>
      <c r="H795" s="69">
        <v>45658.0</v>
      </c>
      <c r="I795" s="78" t="s">
        <v>1240</v>
      </c>
      <c r="J795" s="78"/>
      <c r="K795" s="79"/>
      <c r="L795" s="80"/>
      <c r="M795" s="81"/>
    </row>
    <row r="796">
      <c r="A796" s="75" t="s">
        <v>2754</v>
      </c>
      <c r="B796" s="75" t="s">
        <v>319</v>
      </c>
      <c r="C796" s="75" t="s">
        <v>376</v>
      </c>
      <c r="D796" s="75">
        <v>2020.0</v>
      </c>
      <c r="E796" s="75">
        <v>8.60369052193982E14</v>
      </c>
      <c r="F796" s="76" t="s">
        <v>326</v>
      </c>
      <c r="G796" s="68" t="s">
        <v>328</v>
      </c>
      <c r="H796" s="69">
        <v>45658.0</v>
      </c>
      <c r="I796" s="78" t="s">
        <v>337</v>
      </c>
      <c r="J796" s="78"/>
      <c r="K796" s="79"/>
      <c r="L796" s="80"/>
      <c r="M796" s="81"/>
    </row>
    <row r="797">
      <c r="A797" s="75" t="s">
        <v>2758</v>
      </c>
      <c r="B797" s="75" t="s">
        <v>319</v>
      </c>
      <c r="C797" s="75" t="s">
        <v>376</v>
      </c>
      <c r="D797" s="75">
        <v>2020.0</v>
      </c>
      <c r="E797" s="75">
        <v>8.60369052701974E14</v>
      </c>
      <c r="F797" s="76" t="s">
        <v>326</v>
      </c>
      <c r="G797" s="68" t="s">
        <v>328</v>
      </c>
      <c r="H797" s="69">
        <v>45658.0</v>
      </c>
      <c r="I797" s="78" t="s">
        <v>337</v>
      </c>
      <c r="J797" s="78"/>
      <c r="K797" s="79"/>
      <c r="L797" s="80"/>
      <c r="M797" s="81"/>
    </row>
    <row r="798">
      <c r="A798" s="75" t="s">
        <v>2760</v>
      </c>
      <c r="B798" s="75" t="s">
        <v>319</v>
      </c>
      <c r="C798" s="75" t="s">
        <v>376</v>
      </c>
      <c r="D798" s="75">
        <v>2020.0</v>
      </c>
      <c r="E798" s="75">
        <v>8.60369052437462E14</v>
      </c>
      <c r="F798" s="76" t="s">
        <v>326</v>
      </c>
      <c r="G798" s="68" t="s">
        <v>328</v>
      </c>
      <c r="H798" s="69">
        <v>45658.0</v>
      </c>
      <c r="I798" s="78" t="s">
        <v>337</v>
      </c>
      <c r="J798" s="78"/>
      <c r="K798" s="79"/>
      <c r="L798" s="80"/>
      <c r="M798" s="81"/>
    </row>
    <row r="799">
      <c r="A799" s="75" t="s">
        <v>2762</v>
      </c>
      <c r="B799" s="75" t="s">
        <v>319</v>
      </c>
      <c r="C799" s="75" t="s">
        <v>376</v>
      </c>
      <c r="D799" s="75">
        <v>2020.0</v>
      </c>
      <c r="E799" s="75">
        <v>8.60369052446935E14</v>
      </c>
      <c r="F799" s="76" t="s">
        <v>326</v>
      </c>
      <c r="G799" s="68" t="s">
        <v>328</v>
      </c>
      <c r="H799" s="69">
        <v>45658.0</v>
      </c>
      <c r="I799" s="78" t="s">
        <v>337</v>
      </c>
      <c r="J799" s="78"/>
      <c r="K799" s="79"/>
      <c r="L799" s="80"/>
      <c r="M799" s="81"/>
    </row>
    <row r="800">
      <c r="A800" s="75" t="s">
        <v>2766</v>
      </c>
      <c r="B800" s="75" t="s">
        <v>319</v>
      </c>
      <c r="C800" s="75" t="s">
        <v>723</v>
      </c>
      <c r="D800" s="75">
        <v>2022.0</v>
      </c>
      <c r="E800" s="75">
        <v>8.60369054175581E14</v>
      </c>
      <c r="F800" s="76" t="s">
        <v>326</v>
      </c>
      <c r="G800" s="68" t="s">
        <v>328</v>
      </c>
      <c r="H800" s="69">
        <v>45658.0</v>
      </c>
      <c r="I800" s="78" t="s">
        <v>337</v>
      </c>
      <c r="J800" s="78"/>
      <c r="K800" s="79"/>
      <c r="L800" s="80"/>
      <c r="M800" s="81"/>
    </row>
    <row r="801">
      <c r="A801" s="75" t="s">
        <v>2768</v>
      </c>
      <c r="B801" s="75" t="s">
        <v>319</v>
      </c>
      <c r="C801" s="75" t="s">
        <v>376</v>
      </c>
      <c r="D801" s="75">
        <v>2020.0</v>
      </c>
      <c r="E801" s="75">
        <v>8.60369052707419E14</v>
      </c>
      <c r="F801" s="76" t="s">
        <v>326</v>
      </c>
      <c r="G801" s="68" t="s">
        <v>328</v>
      </c>
      <c r="H801" s="69">
        <v>45658.0</v>
      </c>
      <c r="I801" s="78" t="s">
        <v>337</v>
      </c>
      <c r="J801" s="78"/>
      <c r="K801" s="79"/>
      <c r="L801" s="80"/>
      <c r="M801" s="81"/>
    </row>
    <row r="802">
      <c r="A802" s="75" t="s">
        <v>2771</v>
      </c>
      <c r="B802" s="75" t="s">
        <v>319</v>
      </c>
      <c r="C802" s="75" t="s">
        <v>376</v>
      </c>
      <c r="D802" s="75">
        <v>2020.0</v>
      </c>
      <c r="E802" s="75">
        <v>8.60369052420286E14</v>
      </c>
      <c r="F802" s="76" t="s">
        <v>326</v>
      </c>
      <c r="G802" s="68" t="s">
        <v>328</v>
      </c>
      <c r="H802" s="69">
        <v>45658.0</v>
      </c>
      <c r="I802" s="78" t="s">
        <v>337</v>
      </c>
      <c r="J802" s="78"/>
      <c r="K802" s="79"/>
      <c r="L802" s="80"/>
      <c r="M802" s="81"/>
    </row>
    <row r="803">
      <c r="A803" s="75" t="s">
        <v>2773</v>
      </c>
      <c r="B803" s="75" t="s">
        <v>319</v>
      </c>
      <c r="C803" s="75" t="s">
        <v>376</v>
      </c>
      <c r="D803" s="75">
        <v>2020.0</v>
      </c>
      <c r="E803" s="75">
        <v>8.60369052154331E14</v>
      </c>
      <c r="F803" s="76" t="s">
        <v>398</v>
      </c>
      <c r="G803" s="68" t="s">
        <v>328</v>
      </c>
      <c r="H803" s="69">
        <v>45658.0</v>
      </c>
      <c r="I803" s="78" t="s">
        <v>337</v>
      </c>
      <c r="J803" s="78"/>
      <c r="K803" s="79"/>
      <c r="L803" s="80"/>
      <c r="M803" s="81"/>
    </row>
    <row r="804">
      <c r="A804" s="75" t="s">
        <v>2776</v>
      </c>
      <c r="B804" s="75" t="s">
        <v>319</v>
      </c>
      <c r="C804" s="75" t="s">
        <v>376</v>
      </c>
      <c r="D804" s="75">
        <v>2020.0</v>
      </c>
      <c r="E804" s="75">
        <v>8.60369052696265E14</v>
      </c>
      <c r="F804" s="76" t="s">
        <v>326</v>
      </c>
      <c r="G804" s="68" t="s">
        <v>328</v>
      </c>
      <c r="H804" s="69">
        <v>45658.0</v>
      </c>
      <c r="I804" s="78" t="s">
        <v>337</v>
      </c>
      <c r="J804" s="78"/>
      <c r="K804" s="79"/>
      <c r="L804" s="80"/>
      <c r="M804" s="81"/>
    </row>
    <row r="805">
      <c r="A805" s="75" t="s">
        <v>2778</v>
      </c>
      <c r="B805" s="75" t="s">
        <v>319</v>
      </c>
      <c r="C805" s="75" t="s">
        <v>376</v>
      </c>
      <c r="D805" s="75">
        <v>2020.0</v>
      </c>
      <c r="E805" s="75">
        <v>8.60369054164312E14</v>
      </c>
      <c r="F805" s="76" t="s">
        <v>326</v>
      </c>
      <c r="G805" s="68" t="s">
        <v>328</v>
      </c>
      <c r="H805" s="69">
        <v>45658.0</v>
      </c>
      <c r="I805" s="78" t="s">
        <v>337</v>
      </c>
      <c r="J805" s="78"/>
      <c r="K805" s="79"/>
      <c r="L805" s="80"/>
      <c r="M805" s="81"/>
    </row>
    <row r="806">
      <c r="A806" s="75" t="s">
        <v>2781</v>
      </c>
      <c r="B806" s="75" t="s">
        <v>319</v>
      </c>
      <c r="C806" s="75" t="s">
        <v>376</v>
      </c>
      <c r="D806" s="75">
        <v>2020.0</v>
      </c>
      <c r="E806" s="75">
        <v>8.60369052157342E14</v>
      </c>
      <c r="F806" s="76" t="s">
        <v>398</v>
      </c>
      <c r="G806" s="68" t="s">
        <v>328</v>
      </c>
      <c r="H806" s="69">
        <v>45658.0</v>
      </c>
      <c r="I806" s="78" t="s">
        <v>337</v>
      </c>
      <c r="J806" s="78"/>
      <c r="K806" s="79"/>
      <c r="L806" s="80"/>
      <c r="M806" s="81"/>
    </row>
    <row r="807">
      <c r="A807" s="75" t="s">
        <v>2784</v>
      </c>
      <c r="B807" s="75" t="s">
        <v>319</v>
      </c>
      <c r="C807" s="75" t="s">
        <v>376</v>
      </c>
      <c r="D807" s="75">
        <v>2020.0</v>
      </c>
      <c r="E807" s="75">
        <v>8.60369054187446E14</v>
      </c>
      <c r="F807" s="76" t="s">
        <v>326</v>
      </c>
      <c r="G807" s="68" t="s">
        <v>328</v>
      </c>
      <c r="H807" s="69">
        <v>45658.0</v>
      </c>
      <c r="I807" s="78" t="s">
        <v>337</v>
      </c>
      <c r="J807" s="78"/>
      <c r="K807" s="79"/>
      <c r="L807" s="80"/>
      <c r="M807" s="81"/>
    </row>
    <row r="808">
      <c r="A808" s="75" t="s">
        <v>2786</v>
      </c>
      <c r="B808" s="75" t="s">
        <v>319</v>
      </c>
      <c r="C808" s="75" t="s">
        <v>376</v>
      </c>
      <c r="D808" s="75">
        <v>2020.0</v>
      </c>
      <c r="E808" s="75">
        <v>8.60369052440045E14</v>
      </c>
      <c r="F808" s="76" t="s">
        <v>326</v>
      </c>
      <c r="G808" s="68" t="s">
        <v>328</v>
      </c>
      <c r="H808" s="69">
        <v>45658.0</v>
      </c>
      <c r="I808" s="78" t="s">
        <v>337</v>
      </c>
      <c r="J808" s="78"/>
      <c r="K808" s="79"/>
      <c r="L808" s="80"/>
      <c r="M808" s="81"/>
    </row>
    <row r="809">
      <c r="A809" s="75" t="s">
        <v>2788</v>
      </c>
      <c r="B809" s="75" t="s">
        <v>319</v>
      </c>
      <c r="C809" s="75" t="s">
        <v>376</v>
      </c>
      <c r="D809" s="75">
        <v>2020.0</v>
      </c>
      <c r="E809" s="75">
        <v>8.60369054153091E14</v>
      </c>
      <c r="F809" s="76" t="s">
        <v>326</v>
      </c>
      <c r="G809" s="68" t="s">
        <v>328</v>
      </c>
      <c r="H809" s="69">
        <v>45658.0</v>
      </c>
      <c r="I809" s="78" t="s">
        <v>337</v>
      </c>
      <c r="J809" s="78"/>
      <c r="K809" s="79"/>
      <c r="L809" s="80"/>
      <c r="M809" s="81"/>
    </row>
    <row r="810">
      <c r="A810" s="75" t="s">
        <v>2789</v>
      </c>
      <c r="B810" s="75" t="s">
        <v>319</v>
      </c>
      <c r="C810" s="75" t="s">
        <v>376</v>
      </c>
      <c r="D810" s="75">
        <v>2020.0</v>
      </c>
      <c r="E810" s="75">
        <v>8.60369052449632E14</v>
      </c>
      <c r="F810" s="76" t="s">
        <v>326</v>
      </c>
      <c r="G810" s="68" t="s">
        <v>328</v>
      </c>
      <c r="H810" s="69">
        <v>45658.0</v>
      </c>
      <c r="I810" s="78" t="s">
        <v>1240</v>
      </c>
      <c r="J810" s="78"/>
      <c r="K810" s="79"/>
      <c r="L810" s="80"/>
      <c r="M810" s="81"/>
    </row>
    <row r="811">
      <c r="A811" s="75" t="s">
        <v>2792</v>
      </c>
      <c r="B811" s="75" t="s">
        <v>319</v>
      </c>
      <c r="C811" s="75" t="s">
        <v>376</v>
      </c>
      <c r="D811" s="75">
        <v>2020.0</v>
      </c>
      <c r="E811" s="75">
        <v>8.6036905270712E14</v>
      </c>
      <c r="F811" s="76" t="s">
        <v>326</v>
      </c>
      <c r="G811" s="68" t="s">
        <v>328</v>
      </c>
      <c r="H811" s="69">
        <v>45658.0</v>
      </c>
      <c r="I811" s="78" t="s">
        <v>337</v>
      </c>
      <c r="J811" s="78"/>
      <c r="K811" s="79"/>
      <c r="L811" s="80"/>
      <c r="M811" s="81"/>
    </row>
    <row r="812">
      <c r="A812" s="75" t="s">
        <v>2794</v>
      </c>
      <c r="B812" s="75" t="s">
        <v>319</v>
      </c>
      <c r="C812" s="75" t="s">
        <v>376</v>
      </c>
      <c r="D812" s="75">
        <v>2020.0</v>
      </c>
      <c r="E812" s="75">
        <v>8.60369052696125E14</v>
      </c>
      <c r="F812" s="76" t="s">
        <v>326</v>
      </c>
      <c r="G812" s="68" t="s">
        <v>328</v>
      </c>
      <c r="H812" s="69">
        <v>45658.0</v>
      </c>
      <c r="I812" s="78" t="s">
        <v>337</v>
      </c>
      <c r="J812" s="78"/>
      <c r="K812" s="79"/>
      <c r="L812" s="80"/>
      <c r="M812" s="81"/>
    </row>
    <row r="813">
      <c r="A813" s="75" t="s">
        <v>2798</v>
      </c>
      <c r="B813" s="75" t="s">
        <v>319</v>
      </c>
      <c r="C813" s="75" t="s">
        <v>376</v>
      </c>
      <c r="D813" s="75">
        <v>2020.0</v>
      </c>
      <c r="E813" s="75">
        <v>8.60369054171218E14</v>
      </c>
      <c r="F813" s="76" t="s">
        <v>326</v>
      </c>
      <c r="G813" s="68" t="s">
        <v>328</v>
      </c>
      <c r="H813" s="69">
        <v>45658.0</v>
      </c>
      <c r="I813" s="78" t="s">
        <v>2065</v>
      </c>
      <c r="J813" s="78"/>
      <c r="K813" s="79"/>
      <c r="L813" s="80"/>
      <c r="M813" s="81"/>
    </row>
    <row r="814">
      <c r="A814" s="75" t="s">
        <v>2800</v>
      </c>
      <c r="B814" s="75" t="s">
        <v>319</v>
      </c>
      <c r="C814" s="75" t="s">
        <v>376</v>
      </c>
      <c r="D814" s="75">
        <v>2020.0</v>
      </c>
      <c r="E814" s="75">
        <v>8.60369052427208E14</v>
      </c>
      <c r="F814" s="76" t="s">
        <v>326</v>
      </c>
      <c r="G814" s="68" t="s">
        <v>328</v>
      </c>
      <c r="H814" s="69">
        <v>45658.0</v>
      </c>
      <c r="I814" s="78" t="s">
        <v>1240</v>
      </c>
      <c r="J814" s="78"/>
      <c r="K814" s="79"/>
      <c r="L814" s="110" t="s">
        <v>2804</v>
      </c>
      <c r="M814" s="81"/>
    </row>
    <row r="815">
      <c r="A815" s="76">
        <v>8.60369054152762E14</v>
      </c>
      <c r="B815" s="75" t="s">
        <v>319</v>
      </c>
      <c r="C815" s="75" t="s">
        <v>376</v>
      </c>
      <c r="D815" s="75">
        <v>2020.0</v>
      </c>
      <c r="E815" s="75">
        <v>8.60369054152762E14</v>
      </c>
      <c r="F815" s="76" t="s">
        <v>326</v>
      </c>
      <c r="G815" s="68" t="s">
        <v>328</v>
      </c>
      <c r="H815" s="69">
        <v>45658.0</v>
      </c>
      <c r="I815" s="78" t="s">
        <v>337</v>
      </c>
      <c r="J815" s="78"/>
      <c r="K815" s="79"/>
      <c r="L815" s="80"/>
      <c r="M815" s="81"/>
    </row>
    <row r="816">
      <c r="A816" s="75" t="s">
        <v>2807</v>
      </c>
      <c r="B816" s="75" t="s">
        <v>319</v>
      </c>
      <c r="C816" s="75" t="s">
        <v>376</v>
      </c>
      <c r="D816" s="75">
        <v>2020.0</v>
      </c>
      <c r="E816" s="75">
        <v>8.60369052695929E14</v>
      </c>
      <c r="F816" s="76" t="s">
        <v>326</v>
      </c>
      <c r="G816" s="68" t="s">
        <v>328</v>
      </c>
      <c r="H816" s="69">
        <v>45658.0</v>
      </c>
      <c r="I816" s="78" t="s">
        <v>337</v>
      </c>
      <c r="J816" s="78"/>
      <c r="K816" s="79"/>
      <c r="L816" s="80"/>
      <c r="M816" s="81"/>
    </row>
    <row r="817">
      <c r="A817" s="75" t="s">
        <v>2810</v>
      </c>
      <c r="B817" s="75" t="s">
        <v>319</v>
      </c>
      <c r="C817" s="75" t="s">
        <v>376</v>
      </c>
      <c r="D817" s="75">
        <v>2020.0</v>
      </c>
      <c r="E817" s="75">
        <v>8.60369054168974E14</v>
      </c>
      <c r="F817" s="76" t="s">
        <v>326</v>
      </c>
      <c r="G817" s="68" t="s">
        <v>328</v>
      </c>
      <c r="H817" s="69">
        <v>45658.0</v>
      </c>
      <c r="I817" s="78" t="s">
        <v>337</v>
      </c>
      <c r="J817" s="78"/>
      <c r="K817" s="79"/>
      <c r="L817" s="80"/>
      <c r="M817" s="81"/>
    </row>
    <row r="818">
      <c r="A818" s="75" t="s">
        <v>2812</v>
      </c>
      <c r="B818" s="75" t="s">
        <v>319</v>
      </c>
      <c r="C818" s="75" t="s">
        <v>376</v>
      </c>
      <c r="D818" s="75">
        <v>2020.0</v>
      </c>
      <c r="E818" s="75">
        <v>8.60369052166681E14</v>
      </c>
      <c r="F818" s="76" t="s">
        <v>398</v>
      </c>
      <c r="G818" s="68" t="s">
        <v>328</v>
      </c>
      <c r="H818" s="69">
        <v>45658.0</v>
      </c>
      <c r="I818" s="78" t="s">
        <v>337</v>
      </c>
      <c r="J818" s="78"/>
      <c r="K818" s="79"/>
      <c r="L818" s="80"/>
      <c r="M818" s="81"/>
    </row>
    <row r="819">
      <c r="A819" s="75" t="s">
        <v>2816</v>
      </c>
      <c r="B819" s="75" t="s">
        <v>319</v>
      </c>
      <c r="C819" s="75" t="s">
        <v>376</v>
      </c>
      <c r="D819" s="75">
        <v>2020.0</v>
      </c>
      <c r="E819" s="75">
        <v>8.60369054158413E14</v>
      </c>
      <c r="F819" s="76" t="s">
        <v>326</v>
      </c>
      <c r="G819" s="68" t="s">
        <v>328</v>
      </c>
      <c r="H819" s="69">
        <v>45658.0</v>
      </c>
      <c r="I819" s="78" t="s">
        <v>337</v>
      </c>
      <c r="J819" s="78"/>
      <c r="K819" s="79"/>
      <c r="L819" s="80"/>
      <c r="M819" s="81"/>
    </row>
    <row r="820">
      <c r="A820" s="75" t="s">
        <v>2818</v>
      </c>
      <c r="B820" s="75" t="s">
        <v>319</v>
      </c>
      <c r="C820" s="75" t="s">
        <v>376</v>
      </c>
      <c r="D820" s="75">
        <v>2020.0</v>
      </c>
      <c r="E820" s="75">
        <v>8.60369052703905E14</v>
      </c>
      <c r="F820" s="76" t="s">
        <v>326</v>
      </c>
      <c r="G820" s="68" t="s">
        <v>328</v>
      </c>
      <c r="H820" s="69">
        <v>45658.0</v>
      </c>
      <c r="I820" s="78" t="s">
        <v>337</v>
      </c>
      <c r="J820" s="78"/>
      <c r="K820" s="79"/>
      <c r="L820" s="80"/>
      <c r="M820" s="81"/>
    </row>
    <row r="821">
      <c r="A821" s="75" t="s">
        <v>2823</v>
      </c>
      <c r="B821" s="75" t="s">
        <v>319</v>
      </c>
      <c r="C821" s="75" t="s">
        <v>376</v>
      </c>
      <c r="D821" s="75">
        <v>2020.0</v>
      </c>
      <c r="E821" s="75">
        <v>8.60369052701412E14</v>
      </c>
      <c r="F821" s="76" t="s">
        <v>326</v>
      </c>
      <c r="G821" s="68" t="s">
        <v>328</v>
      </c>
      <c r="H821" s="69">
        <v>45658.0</v>
      </c>
      <c r="I821" s="78" t="s">
        <v>337</v>
      </c>
      <c r="J821" s="78"/>
      <c r="K821" s="79"/>
      <c r="L821" s="80"/>
      <c r="M821" s="81"/>
    </row>
    <row r="822">
      <c r="A822" s="75" t="s">
        <v>2825</v>
      </c>
      <c r="B822" s="75" t="s">
        <v>319</v>
      </c>
      <c r="C822" s="75" t="s">
        <v>376</v>
      </c>
      <c r="D822" s="75">
        <v>2020.0</v>
      </c>
      <c r="E822" s="75">
        <v>8.60369052696422E14</v>
      </c>
      <c r="F822" s="76" t="s">
        <v>326</v>
      </c>
      <c r="G822" s="68" t="s">
        <v>328</v>
      </c>
      <c r="H822" s="69">
        <v>45658.0</v>
      </c>
      <c r="I822" s="78" t="s">
        <v>337</v>
      </c>
      <c r="J822" s="78"/>
      <c r="K822" s="79"/>
      <c r="L822" s="80"/>
      <c r="M822" s="81"/>
    </row>
    <row r="823">
      <c r="A823" s="65" t="s">
        <v>2828</v>
      </c>
      <c r="B823" s="65" t="s">
        <v>389</v>
      </c>
      <c r="C823" s="65" t="s">
        <v>1292</v>
      </c>
      <c r="D823" s="65">
        <v>2024.0</v>
      </c>
      <c r="E823" s="65">
        <v>8.60369054764525E14</v>
      </c>
      <c r="F823" s="205" t="s">
        <v>326</v>
      </c>
      <c r="G823" s="192" t="s">
        <v>664</v>
      </c>
      <c r="H823" s="69">
        <v>46121.0</v>
      </c>
      <c r="I823" s="195" t="s">
        <v>1240</v>
      </c>
      <c r="J823" s="71"/>
      <c r="K823" s="73"/>
      <c r="L823" s="73"/>
      <c r="M823" s="73"/>
    </row>
    <row r="824">
      <c r="A824" s="75" t="s">
        <v>2832</v>
      </c>
      <c r="B824" s="75" t="s">
        <v>319</v>
      </c>
      <c r="C824" s="75" t="s">
        <v>376</v>
      </c>
      <c r="D824" s="75">
        <v>2020.0</v>
      </c>
      <c r="E824" s="75">
        <v>8.60369052430814E14</v>
      </c>
      <c r="F824" s="76" t="s">
        <v>326</v>
      </c>
      <c r="G824" s="68" t="s">
        <v>328</v>
      </c>
      <c r="H824" s="69">
        <v>45658.0</v>
      </c>
      <c r="I824" s="78" t="s">
        <v>1240</v>
      </c>
      <c r="J824" s="78"/>
      <c r="K824" s="79"/>
      <c r="L824" s="80"/>
      <c r="M824" s="81"/>
    </row>
    <row r="825">
      <c r="A825" s="75" t="s">
        <v>2836</v>
      </c>
      <c r="B825" s="75" t="s">
        <v>319</v>
      </c>
      <c r="C825" s="75" t="s">
        <v>376</v>
      </c>
      <c r="D825" s="75">
        <v>2020.0</v>
      </c>
      <c r="E825" s="75">
        <v>8.60369054157829E14</v>
      </c>
      <c r="F825" s="76" t="s">
        <v>326</v>
      </c>
      <c r="G825" s="68" t="s">
        <v>328</v>
      </c>
      <c r="H825" s="69">
        <v>45658.0</v>
      </c>
      <c r="I825" s="78" t="s">
        <v>337</v>
      </c>
      <c r="J825" s="78"/>
      <c r="K825" s="79"/>
      <c r="L825" s="80"/>
      <c r="M825" s="81"/>
    </row>
    <row r="826">
      <c r="A826" s="75" t="s">
        <v>2839</v>
      </c>
      <c r="B826" s="75" t="s">
        <v>319</v>
      </c>
      <c r="C826" s="75" t="s">
        <v>376</v>
      </c>
      <c r="D826" s="78">
        <v>2020.0</v>
      </c>
      <c r="E826" s="75">
        <v>8.60369052193784E14</v>
      </c>
      <c r="F826" s="76" t="s">
        <v>326</v>
      </c>
      <c r="G826" s="68" t="s">
        <v>328</v>
      </c>
      <c r="H826" s="69">
        <v>45658.0</v>
      </c>
      <c r="I826" s="78" t="s">
        <v>337</v>
      </c>
      <c r="J826" s="78"/>
      <c r="K826" s="79"/>
      <c r="L826" s="80"/>
      <c r="M826" s="81"/>
    </row>
    <row r="827">
      <c r="A827" s="75" t="s">
        <v>2842</v>
      </c>
      <c r="B827" s="75" t="s">
        <v>319</v>
      </c>
      <c r="C827" s="75" t="s">
        <v>376</v>
      </c>
      <c r="D827" s="78">
        <v>2020.0</v>
      </c>
      <c r="E827" s="75">
        <v>8.6036905417035E14</v>
      </c>
      <c r="F827" s="76" t="s">
        <v>326</v>
      </c>
      <c r="G827" s="68" t="s">
        <v>328</v>
      </c>
      <c r="H827" s="69">
        <v>45658.0</v>
      </c>
      <c r="I827" s="78" t="s">
        <v>337</v>
      </c>
      <c r="J827" s="78"/>
      <c r="K827" s="79"/>
      <c r="L827" s="80"/>
      <c r="M827" s="81"/>
    </row>
    <row r="828">
      <c r="A828" s="75" t="s">
        <v>2845</v>
      </c>
      <c r="B828" s="75" t="s">
        <v>319</v>
      </c>
      <c r="C828" s="75" t="s">
        <v>376</v>
      </c>
      <c r="D828" s="78">
        <v>2020.0</v>
      </c>
      <c r="E828" s="75">
        <v>8.60369054163371E14</v>
      </c>
      <c r="F828" s="76" t="s">
        <v>326</v>
      </c>
      <c r="G828" s="68" t="s">
        <v>328</v>
      </c>
      <c r="H828" s="69">
        <v>45658.0</v>
      </c>
      <c r="I828" s="78" t="s">
        <v>337</v>
      </c>
      <c r="J828" s="78"/>
      <c r="K828" s="79"/>
      <c r="L828" s="80"/>
      <c r="M828" s="81"/>
    </row>
    <row r="829">
      <c r="A829" s="75" t="s">
        <v>2848</v>
      </c>
      <c r="B829" s="75" t="s">
        <v>319</v>
      </c>
      <c r="C829" s="75" t="s">
        <v>376</v>
      </c>
      <c r="D829" s="78">
        <v>2020.0</v>
      </c>
      <c r="E829" s="75">
        <v>8.60369052699632E14</v>
      </c>
      <c r="F829" s="76" t="s">
        <v>326</v>
      </c>
      <c r="G829" s="68" t="s">
        <v>328</v>
      </c>
      <c r="H829" s="69">
        <v>45658.0</v>
      </c>
      <c r="I829" s="78" t="s">
        <v>337</v>
      </c>
      <c r="J829" s="78"/>
      <c r="K829" s="79"/>
      <c r="L829" s="80"/>
      <c r="M829" s="81"/>
    </row>
    <row r="830">
      <c r="A830" s="75" t="s">
        <v>2850</v>
      </c>
      <c r="B830" s="75" t="s">
        <v>319</v>
      </c>
      <c r="C830" s="75" t="s">
        <v>376</v>
      </c>
      <c r="D830" s="78">
        <v>2020.0</v>
      </c>
      <c r="E830" s="75">
        <v>8.60369052435805E14</v>
      </c>
      <c r="F830" s="76" t="s">
        <v>326</v>
      </c>
      <c r="G830" s="68" t="s">
        <v>328</v>
      </c>
      <c r="H830" s="69">
        <v>45658.0</v>
      </c>
      <c r="I830" s="78" t="s">
        <v>337</v>
      </c>
      <c r="J830" s="78"/>
      <c r="K830" s="79"/>
      <c r="L830" s="80"/>
      <c r="M830" s="81"/>
    </row>
    <row r="831">
      <c r="A831" s="75" t="s">
        <v>2852</v>
      </c>
      <c r="B831" s="75" t="s">
        <v>319</v>
      </c>
      <c r="C831" s="75" t="s">
        <v>376</v>
      </c>
      <c r="D831" s="78">
        <v>2020.0</v>
      </c>
      <c r="E831" s="75">
        <v>8.60369052692025E14</v>
      </c>
      <c r="F831" s="76" t="s">
        <v>326</v>
      </c>
      <c r="G831" s="68" t="s">
        <v>328</v>
      </c>
      <c r="H831" s="69">
        <v>45658.0</v>
      </c>
      <c r="I831" s="78" t="s">
        <v>337</v>
      </c>
      <c r="J831" s="78"/>
      <c r="K831" s="79"/>
      <c r="L831" s="80"/>
      <c r="M831" s="81"/>
    </row>
    <row r="832">
      <c r="A832" s="75" t="s">
        <v>2856</v>
      </c>
      <c r="B832" s="75" t="s">
        <v>319</v>
      </c>
      <c r="C832" s="75" t="s">
        <v>376</v>
      </c>
      <c r="D832" s="78">
        <v>2020.0</v>
      </c>
      <c r="E832" s="75">
        <v>8.60369052175732E14</v>
      </c>
      <c r="F832" s="76" t="s">
        <v>398</v>
      </c>
      <c r="G832" s="68" t="s">
        <v>328</v>
      </c>
      <c r="H832" s="69">
        <v>45658.0</v>
      </c>
      <c r="I832" s="78" t="s">
        <v>337</v>
      </c>
      <c r="J832" s="78"/>
      <c r="K832" s="79"/>
      <c r="L832" s="80"/>
      <c r="M832" s="81"/>
    </row>
    <row r="833">
      <c r="A833" s="75" t="s">
        <v>2860</v>
      </c>
      <c r="B833" s="75" t="s">
        <v>319</v>
      </c>
      <c r="C833" s="75" t="s">
        <v>376</v>
      </c>
      <c r="D833" s="78">
        <v>2020.0</v>
      </c>
      <c r="E833" s="75">
        <v>8.60369054164098E14</v>
      </c>
      <c r="F833" s="76" t="s">
        <v>326</v>
      </c>
      <c r="G833" s="68" t="s">
        <v>328</v>
      </c>
      <c r="H833" s="69">
        <v>45658.0</v>
      </c>
      <c r="I833" s="78" t="s">
        <v>337</v>
      </c>
      <c r="J833" s="78"/>
      <c r="K833" s="79"/>
      <c r="L833" s="80"/>
      <c r="M833" s="81"/>
    </row>
    <row r="834">
      <c r="A834" s="75" t="s">
        <v>2863</v>
      </c>
      <c r="B834" s="75" t="s">
        <v>319</v>
      </c>
      <c r="C834" s="75" t="s">
        <v>376</v>
      </c>
      <c r="D834" s="78">
        <v>2020.0</v>
      </c>
      <c r="E834" s="75">
        <v>8.60369052430731E14</v>
      </c>
      <c r="F834" s="76" t="s">
        <v>326</v>
      </c>
      <c r="G834" s="68" t="s">
        <v>328</v>
      </c>
      <c r="H834" s="69">
        <v>45658.0</v>
      </c>
      <c r="I834" s="78" t="s">
        <v>337</v>
      </c>
      <c r="J834" s="78"/>
      <c r="K834" s="79"/>
      <c r="L834" s="80"/>
      <c r="M834" s="81"/>
    </row>
    <row r="835">
      <c r="A835" s="75" t="s">
        <v>2866</v>
      </c>
      <c r="B835" s="75" t="s">
        <v>319</v>
      </c>
      <c r="C835" s="75" t="s">
        <v>376</v>
      </c>
      <c r="D835" s="78">
        <v>2020.0</v>
      </c>
      <c r="E835" s="75">
        <v>8.6036905269011E14</v>
      </c>
      <c r="F835" s="76" t="s">
        <v>326</v>
      </c>
      <c r="G835" s="68" t="s">
        <v>328</v>
      </c>
      <c r="H835" s="69">
        <v>45658.0</v>
      </c>
      <c r="I835" s="78" t="s">
        <v>337</v>
      </c>
      <c r="J835" s="78"/>
      <c r="K835" s="79"/>
      <c r="L835" s="80"/>
      <c r="M835" s="81"/>
    </row>
    <row r="836">
      <c r="A836" s="75" t="s">
        <v>2870</v>
      </c>
      <c r="B836" s="75" t="s">
        <v>319</v>
      </c>
      <c r="C836" s="75" t="s">
        <v>376</v>
      </c>
      <c r="D836" s="78">
        <v>2020.0</v>
      </c>
      <c r="E836" s="75">
        <v>8.60369052703178E14</v>
      </c>
      <c r="F836" s="76" t="s">
        <v>326</v>
      </c>
      <c r="G836" s="68" t="s">
        <v>328</v>
      </c>
      <c r="H836" s="69">
        <v>45658.0</v>
      </c>
      <c r="I836" s="78" t="s">
        <v>337</v>
      </c>
      <c r="J836" s="78"/>
      <c r="K836" s="79"/>
      <c r="L836" s="80"/>
      <c r="M836" s="81"/>
    </row>
    <row r="837">
      <c r="A837" s="75" t="s">
        <v>2872</v>
      </c>
      <c r="B837" s="75" t="s">
        <v>319</v>
      </c>
      <c r="C837" s="75" t="s">
        <v>376</v>
      </c>
      <c r="D837" s="78">
        <v>2020.0</v>
      </c>
      <c r="E837" s="75">
        <v>8.60369054184161E14</v>
      </c>
      <c r="F837" s="76" t="s">
        <v>326</v>
      </c>
      <c r="G837" s="68" t="s">
        <v>328</v>
      </c>
      <c r="H837" s="69">
        <v>45658.0</v>
      </c>
      <c r="I837" s="78" t="s">
        <v>337</v>
      </c>
      <c r="J837" s="78"/>
      <c r="K837" s="79"/>
      <c r="L837" s="80"/>
      <c r="M837" s="81"/>
    </row>
    <row r="838">
      <c r="A838" s="75" t="s">
        <v>2875</v>
      </c>
      <c r="B838" s="75" t="s">
        <v>319</v>
      </c>
      <c r="C838" s="75" t="s">
        <v>376</v>
      </c>
      <c r="D838" s="78">
        <v>2020.0</v>
      </c>
      <c r="E838" s="75">
        <v>8.60369054184153E14</v>
      </c>
      <c r="F838" s="76" t="s">
        <v>326</v>
      </c>
      <c r="G838" s="68" t="s">
        <v>328</v>
      </c>
      <c r="H838" s="69">
        <v>45658.0</v>
      </c>
      <c r="I838" s="78" t="s">
        <v>1240</v>
      </c>
      <c r="J838" s="78"/>
      <c r="K838" s="79"/>
      <c r="L838" s="80"/>
      <c r="M838" s="81"/>
    </row>
    <row r="839">
      <c r="A839" s="75" t="s">
        <v>2878</v>
      </c>
      <c r="B839" s="75" t="s">
        <v>319</v>
      </c>
      <c r="C839" s="75" t="s">
        <v>376</v>
      </c>
      <c r="D839" s="78">
        <v>2020.0</v>
      </c>
      <c r="E839" s="75">
        <v>8.60369052695986E14</v>
      </c>
      <c r="F839" s="76" t="s">
        <v>326</v>
      </c>
      <c r="G839" s="68" t="s">
        <v>328</v>
      </c>
      <c r="H839" s="69">
        <v>45658.0</v>
      </c>
      <c r="I839" s="78" t="s">
        <v>337</v>
      </c>
      <c r="J839" s="78"/>
      <c r="K839" s="79"/>
      <c r="L839" s="80"/>
      <c r="M839" s="81"/>
    </row>
    <row r="840">
      <c r="A840" s="75" t="s">
        <v>2880</v>
      </c>
      <c r="B840" s="75" t="s">
        <v>319</v>
      </c>
      <c r="C840" s="75" t="s">
        <v>376</v>
      </c>
      <c r="D840" s="78">
        <v>2020.0</v>
      </c>
      <c r="E840" s="75">
        <v>8.60369052706668E14</v>
      </c>
      <c r="F840" s="76" t="s">
        <v>326</v>
      </c>
      <c r="G840" s="68" t="s">
        <v>328</v>
      </c>
      <c r="H840" s="69">
        <v>45658.0</v>
      </c>
      <c r="I840" s="78" t="s">
        <v>337</v>
      </c>
      <c r="J840" s="78"/>
      <c r="K840" s="79"/>
      <c r="L840" s="80"/>
      <c r="M840" s="81"/>
    </row>
    <row r="841">
      <c r="A841" s="75" t="s">
        <v>2884</v>
      </c>
      <c r="B841" s="75" t="s">
        <v>319</v>
      </c>
      <c r="C841" s="75" t="s">
        <v>376</v>
      </c>
      <c r="D841" s="78">
        <v>2020.0</v>
      </c>
      <c r="E841" s="75">
        <v>8.60369052692116E14</v>
      </c>
      <c r="F841" s="76" t="s">
        <v>326</v>
      </c>
      <c r="G841" s="68" t="s">
        <v>328</v>
      </c>
      <c r="H841" s="69">
        <v>45658.0</v>
      </c>
      <c r="I841" s="78" t="s">
        <v>1240</v>
      </c>
      <c r="J841" s="78"/>
      <c r="K841" s="79"/>
      <c r="L841" s="80"/>
      <c r="M841" s="81"/>
    </row>
    <row r="842">
      <c r="A842" s="75" t="s">
        <v>2886</v>
      </c>
      <c r="B842" s="75" t="s">
        <v>319</v>
      </c>
      <c r="C842" s="75" t="s">
        <v>376</v>
      </c>
      <c r="D842" s="78">
        <v>2020.0</v>
      </c>
      <c r="E842" s="75">
        <v>8.60369052449533E14</v>
      </c>
      <c r="F842" s="76" t="s">
        <v>326</v>
      </c>
      <c r="G842" s="68" t="s">
        <v>328</v>
      </c>
      <c r="H842" s="69">
        <v>45658.0</v>
      </c>
      <c r="I842" s="78" t="s">
        <v>337</v>
      </c>
      <c r="J842" s="78"/>
      <c r="K842" s="79"/>
      <c r="L842" s="80"/>
      <c r="M842" s="81"/>
    </row>
    <row r="843">
      <c r="A843" s="75" t="s">
        <v>2890</v>
      </c>
      <c r="B843" s="75" t="s">
        <v>319</v>
      </c>
      <c r="C843" s="75" t="s">
        <v>376</v>
      </c>
      <c r="D843" s="78">
        <v>2020.0</v>
      </c>
      <c r="E843" s="75">
        <v>8.60369052445655E14</v>
      </c>
      <c r="F843" s="76" t="s">
        <v>326</v>
      </c>
      <c r="G843" s="68" t="s">
        <v>328</v>
      </c>
      <c r="H843" s="69">
        <v>45658.0</v>
      </c>
      <c r="I843" s="78" t="s">
        <v>1240</v>
      </c>
      <c r="J843" s="78"/>
      <c r="K843" s="79"/>
      <c r="L843" s="80"/>
      <c r="M843" s="81"/>
    </row>
    <row r="844">
      <c r="A844" s="75" t="s">
        <v>2893</v>
      </c>
      <c r="B844" s="75" t="s">
        <v>319</v>
      </c>
      <c r="C844" s="75" t="s">
        <v>376</v>
      </c>
      <c r="D844" s="78">
        <v>2020.0</v>
      </c>
      <c r="E844" s="75">
        <v>8.6036905270892E14</v>
      </c>
      <c r="F844" s="76" t="s">
        <v>326</v>
      </c>
      <c r="G844" s="68" t="s">
        <v>328</v>
      </c>
      <c r="H844" s="69">
        <v>45658.0</v>
      </c>
      <c r="I844" s="78" t="s">
        <v>337</v>
      </c>
      <c r="J844" s="78"/>
      <c r="K844" s="79"/>
      <c r="L844" s="80"/>
      <c r="M844" s="81"/>
    </row>
    <row r="845">
      <c r="A845" s="75" t="s">
        <v>2896</v>
      </c>
      <c r="B845" s="75" t="s">
        <v>319</v>
      </c>
      <c r="C845" s="75" t="s">
        <v>376</v>
      </c>
      <c r="D845" s="78">
        <v>2020.0</v>
      </c>
      <c r="E845" s="75">
        <v>8.60369052701297E14</v>
      </c>
      <c r="F845" s="76" t="s">
        <v>326</v>
      </c>
      <c r="G845" s="68" t="s">
        <v>328</v>
      </c>
      <c r="H845" s="69">
        <v>45658.0</v>
      </c>
      <c r="I845" s="78" t="s">
        <v>337</v>
      </c>
      <c r="J845" s="78"/>
      <c r="K845" s="79"/>
      <c r="L845" s="80"/>
      <c r="M845" s="81"/>
    </row>
    <row r="846">
      <c r="A846" s="75" t="s">
        <v>2898</v>
      </c>
      <c r="B846" s="75" t="s">
        <v>319</v>
      </c>
      <c r="C846" s="75" t="s">
        <v>376</v>
      </c>
      <c r="D846" s="78">
        <v>2020.0</v>
      </c>
      <c r="E846" s="75">
        <v>8.60369052703434E14</v>
      </c>
      <c r="F846" s="76" t="s">
        <v>326</v>
      </c>
      <c r="G846" s="68" t="s">
        <v>328</v>
      </c>
      <c r="H846" s="69">
        <v>45658.0</v>
      </c>
      <c r="I846" s="78" t="s">
        <v>337</v>
      </c>
      <c r="J846" s="78"/>
      <c r="K846" s="79"/>
      <c r="L846" s="80"/>
      <c r="M846" s="81"/>
    </row>
    <row r="847">
      <c r="A847" s="75" t="s">
        <v>2901</v>
      </c>
      <c r="B847" s="75" t="s">
        <v>319</v>
      </c>
      <c r="C847" s="75" t="s">
        <v>376</v>
      </c>
      <c r="D847" s="78">
        <v>2020.0</v>
      </c>
      <c r="E847" s="75">
        <v>8.60369052699616E14</v>
      </c>
      <c r="F847" s="76" t="s">
        <v>326</v>
      </c>
      <c r="G847" s="68" t="s">
        <v>328</v>
      </c>
      <c r="H847" s="69">
        <v>45658.0</v>
      </c>
      <c r="I847" s="78" t="s">
        <v>337</v>
      </c>
      <c r="J847" s="78"/>
      <c r="K847" s="79"/>
      <c r="L847" s="80"/>
      <c r="M847" s="81"/>
    </row>
    <row r="848">
      <c r="A848" s="75">
        <v>8.60369052696836E14</v>
      </c>
      <c r="B848" s="75" t="s">
        <v>319</v>
      </c>
      <c r="C848" s="75" t="s">
        <v>376</v>
      </c>
      <c r="D848" s="78">
        <v>2020.0</v>
      </c>
      <c r="E848" s="75">
        <v>8.60369052696836E14</v>
      </c>
      <c r="F848" s="76" t="s">
        <v>326</v>
      </c>
      <c r="G848" s="68" t="s">
        <v>328</v>
      </c>
      <c r="H848" s="69">
        <v>45658.0</v>
      </c>
      <c r="I848" s="78" t="s">
        <v>1240</v>
      </c>
      <c r="J848" s="78"/>
      <c r="K848" s="79"/>
      <c r="L848" s="80"/>
      <c r="M848" s="81"/>
    </row>
    <row r="849">
      <c r="A849" s="75" t="s">
        <v>2906</v>
      </c>
      <c r="B849" s="75" t="s">
        <v>319</v>
      </c>
      <c r="C849" s="75" t="s">
        <v>376</v>
      </c>
      <c r="D849" s="78">
        <v>2020.0</v>
      </c>
      <c r="E849" s="75">
        <v>8.60369054187511E14</v>
      </c>
      <c r="F849" s="76" t="s">
        <v>326</v>
      </c>
      <c r="G849" s="68" t="s">
        <v>328</v>
      </c>
      <c r="H849" s="69">
        <v>45658.0</v>
      </c>
      <c r="I849" s="78" t="s">
        <v>337</v>
      </c>
      <c r="J849" s="78"/>
      <c r="K849" s="79"/>
      <c r="L849" s="80"/>
      <c r="M849" s="81"/>
    </row>
    <row r="850">
      <c r="A850" s="75" t="s">
        <v>2909</v>
      </c>
      <c r="B850" s="75" t="s">
        <v>319</v>
      </c>
      <c r="C850" s="75" t="s">
        <v>376</v>
      </c>
      <c r="D850" s="78">
        <v>2020.0</v>
      </c>
      <c r="E850" s="75">
        <v>8.60369054160336E14</v>
      </c>
      <c r="F850" s="76" t="s">
        <v>326</v>
      </c>
      <c r="G850" s="68" t="s">
        <v>328</v>
      </c>
      <c r="H850" s="69">
        <v>45658.0</v>
      </c>
      <c r="I850" s="78" t="s">
        <v>337</v>
      </c>
      <c r="J850" s="78"/>
      <c r="K850" s="79"/>
      <c r="L850" s="80"/>
      <c r="M850" s="81"/>
    </row>
    <row r="851">
      <c r="A851" s="75" t="s">
        <v>2912</v>
      </c>
      <c r="B851" s="75" t="s">
        <v>319</v>
      </c>
      <c r="C851" s="75" t="s">
        <v>376</v>
      </c>
      <c r="D851" s="78">
        <v>2020.0</v>
      </c>
      <c r="E851" s="75">
        <v>8.60369052437504E14</v>
      </c>
      <c r="F851" s="76" t="s">
        <v>326</v>
      </c>
      <c r="G851" s="68" t="s">
        <v>328</v>
      </c>
      <c r="H851" s="69">
        <v>45658.0</v>
      </c>
      <c r="I851" s="78" t="s">
        <v>337</v>
      </c>
      <c r="J851" s="78"/>
      <c r="K851" s="79"/>
      <c r="L851" s="80"/>
      <c r="M851" s="81"/>
    </row>
    <row r="852">
      <c r="A852" s="75" t="s">
        <v>2916</v>
      </c>
      <c r="B852" s="75" t="s">
        <v>319</v>
      </c>
      <c r="C852" s="75" t="s">
        <v>376</v>
      </c>
      <c r="D852" s="78">
        <v>2020.0</v>
      </c>
      <c r="E852" s="75">
        <v>8.60369052430798E14</v>
      </c>
      <c r="F852" s="76" t="s">
        <v>326</v>
      </c>
      <c r="G852" s="68" t="s">
        <v>328</v>
      </c>
      <c r="H852" s="69">
        <v>45658.0</v>
      </c>
      <c r="I852" s="78" t="s">
        <v>337</v>
      </c>
      <c r="J852" s="78"/>
      <c r="K852" s="79"/>
      <c r="L852" s="80"/>
      <c r="M852" s="81"/>
    </row>
    <row r="853">
      <c r="A853" s="75" t="s">
        <v>2919</v>
      </c>
      <c r="B853" s="75" t="s">
        <v>319</v>
      </c>
      <c r="C853" s="75" t="s">
        <v>376</v>
      </c>
      <c r="D853" s="78">
        <v>2020.0</v>
      </c>
      <c r="E853" s="75">
        <v>8.60369052706858E14</v>
      </c>
      <c r="F853" s="76" t="s">
        <v>326</v>
      </c>
      <c r="G853" s="68" t="s">
        <v>328</v>
      </c>
      <c r="H853" s="69">
        <v>45658.0</v>
      </c>
      <c r="I853" s="78" t="s">
        <v>337</v>
      </c>
      <c r="J853" s="78"/>
      <c r="K853" s="79"/>
      <c r="L853" s="80"/>
      <c r="M853" s="81"/>
    </row>
    <row r="854">
      <c r="A854" s="75" t="s">
        <v>2921</v>
      </c>
      <c r="B854" s="75" t="s">
        <v>319</v>
      </c>
      <c r="C854" s="75" t="s">
        <v>376</v>
      </c>
      <c r="D854" s="78">
        <v>2020.0</v>
      </c>
      <c r="E854" s="75">
        <v>8.60369052706437E14</v>
      </c>
      <c r="F854" s="76" t="s">
        <v>326</v>
      </c>
      <c r="G854" s="68" t="s">
        <v>328</v>
      </c>
      <c r="H854" s="69">
        <v>45658.0</v>
      </c>
      <c r="I854" s="78" t="s">
        <v>337</v>
      </c>
      <c r="J854" s="78"/>
      <c r="K854" s="79"/>
      <c r="L854" s="80"/>
      <c r="M854" s="81"/>
    </row>
    <row r="855">
      <c r="A855" s="75" t="s">
        <v>2923</v>
      </c>
      <c r="B855" s="75" t="s">
        <v>319</v>
      </c>
      <c r="C855" s="75" t="s">
        <v>376</v>
      </c>
      <c r="D855" s="78">
        <v>2020.0</v>
      </c>
      <c r="E855" s="75">
        <v>8.60369052695507E14</v>
      </c>
      <c r="F855" s="76" t="s">
        <v>326</v>
      </c>
      <c r="G855" s="68" t="s">
        <v>328</v>
      </c>
      <c r="H855" s="69">
        <v>45658.0</v>
      </c>
      <c r="I855" s="78" t="s">
        <v>337</v>
      </c>
      <c r="J855" s="78"/>
      <c r="K855" s="79"/>
      <c r="L855" s="80"/>
      <c r="M855" s="81"/>
    </row>
    <row r="856">
      <c r="A856" s="75" t="s">
        <v>2928</v>
      </c>
      <c r="B856" s="75" t="s">
        <v>319</v>
      </c>
      <c r="C856" s="75" t="s">
        <v>376</v>
      </c>
      <c r="D856" s="78">
        <v>2020.0</v>
      </c>
      <c r="E856" s="75">
        <v>8.60369054165251E14</v>
      </c>
      <c r="F856" s="76" t="s">
        <v>326</v>
      </c>
      <c r="G856" s="68" t="s">
        <v>328</v>
      </c>
      <c r="H856" s="69">
        <v>45658.0</v>
      </c>
      <c r="I856" s="78" t="s">
        <v>1240</v>
      </c>
      <c r="J856" s="78" t="s">
        <v>2929</v>
      </c>
      <c r="K856" s="79"/>
      <c r="L856" s="80"/>
      <c r="M856" s="81"/>
    </row>
    <row r="857">
      <c r="A857" s="75" t="s">
        <v>2932</v>
      </c>
      <c r="B857" s="75" t="s">
        <v>319</v>
      </c>
      <c r="C857" s="75" t="s">
        <v>376</v>
      </c>
      <c r="D857" s="78">
        <v>2020.0</v>
      </c>
      <c r="E857" s="75">
        <v>8.60369054166465E14</v>
      </c>
      <c r="F857" s="76" t="s">
        <v>326</v>
      </c>
      <c r="G857" s="68" t="s">
        <v>328</v>
      </c>
      <c r="H857" s="69">
        <v>45658.0</v>
      </c>
      <c r="I857" s="78" t="s">
        <v>337</v>
      </c>
      <c r="J857" s="78"/>
      <c r="K857" s="79"/>
      <c r="L857" s="80"/>
      <c r="M857" s="81"/>
    </row>
    <row r="858">
      <c r="A858" s="75" t="s">
        <v>2934</v>
      </c>
      <c r="B858" s="75" t="s">
        <v>319</v>
      </c>
      <c r="C858" s="75" t="s">
        <v>376</v>
      </c>
      <c r="D858" s="78">
        <v>2020.0</v>
      </c>
      <c r="E858" s="75">
        <v>8.60369052695481E14</v>
      </c>
      <c r="F858" s="76" t="s">
        <v>326</v>
      </c>
      <c r="G858" s="68" t="s">
        <v>328</v>
      </c>
      <c r="H858" s="69">
        <v>45658.0</v>
      </c>
      <c r="I858" s="78" t="s">
        <v>337</v>
      </c>
      <c r="J858" s="78"/>
      <c r="K858" s="79"/>
      <c r="L858" s="80"/>
      <c r="M858" s="81"/>
    </row>
    <row r="859">
      <c r="A859" s="75" t="s">
        <v>2935</v>
      </c>
      <c r="B859" s="75" t="s">
        <v>319</v>
      </c>
      <c r="C859" s="75" t="s">
        <v>376</v>
      </c>
      <c r="D859" s="78">
        <v>2020.0</v>
      </c>
      <c r="E859" s="75">
        <v>8.60369052701313E14</v>
      </c>
      <c r="F859" s="76" t="s">
        <v>326</v>
      </c>
      <c r="G859" s="68" t="s">
        <v>328</v>
      </c>
      <c r="H859" s="69">
        <v>45658.0</v>
      </c>
      <c r="I859" s="78" t="s">
        <v>1240</v>
      </c>
      <c r="J859" s="78" t="s">
        <v>2938</v>
      </c>
      <c r="K859" s="79"/>
      <c r="L859" s="80"/>
      <c r="M859" s="81"/>
    </row>
    <row r="860">
      <c r="A860" s="75" t="s">
        <v>2939</v>
      </c>
      <c r="B860" s="75" t="s">
        <v>319</v>
      </c>
      <c r="C860" s="75" t="s">
        <v>376</v>
      </c>
      <c r="D860" s="78">
        <v>2020.0</v>
      </c>
      <c r="E860" s="75">
        <v>8.60369052701321E14</v>
      </c>
      <c r="F860" s="76" t="s">
        <v>326</v>
      </c>
      <c r="G860" s="68" t="s">
        <v>328</v>
      </c>
      <c r="H860" s="69">
        <v>45658.0</v>
      </c>
      <c r="I860" s="78" t="s">
        <v>337</v>
      </c>
      <c r="J860" s="78"/>
      <c r="K860" s="79"/>
      <c r="L860" s="80"/>
      <c r="M860" s="81"/>
    </row>
    <row r="861">
      <c r="A861" s="75" t="s">
        <v>2941</v>
      </c>
      <c r="B861" s="75" t="s">
        <v>319</v>
      </c>
      <c r="C861" s="75" t="s">
        <v>376</v>
      </c>
      <c r="D861" s="78">
        <v>2020.0</v>
      </c>
      <c r="E861" s="75">
        <v>8.60369054172893E14</v>
      </c>
      <c r="F861" s="76" t="s">
        <v>326</v>
      </c>
      <c r="G861" s="68" t="s">
        <v>328</v>
      </c>
      <c r="H861" s="69">
        <v>45658.0</v>
      </c>
      <c r="I861" s="78" t="s">
        <v>1240</v>
      </c>
      <c r="J861" s="78"/>
      <c r="K861" s="79"/>
      <c r="L861" s="80"/>
      <c r="M861" s="81"/>
    </row>
    <row r="862">
      <c r="A862" s="75" t="s">
        <v>2944</v>
      </c>
      <c r="B862" s="75" t="s">
        <v>319</v>
      </c>
      <c r="C862" s="75" t="s">
        <v>376</v>
      </c>
      <c r="D862" s="78">
        <v>2020.0</v>
      </c>
      <c r="E862" s="75">
        <v>8.60369054160062E14</v>
      </c>
      <c r="F862" s="76" t="s">
        <v>326</v>
      </c>
      <c r="G862" s="68" t="s">
        <v>328</v>
      </c>
      <c r="H862" s="69">
        <v>45658.0</v>
      </c>
      <c r="I862" s="78" t="s">
        <v>337</v>
      </c>
      <c r="J862" s="78"/>
      <c r="K862" s="79"/>
      <c r="L862" s="80"/>
      <c r="M862" s="81"/>
    </row>
    <row r="863">
      <c r="A863" s="75" t="s">
        <v>2947</v>
      </c>
      <c r="B863" s="75" t="s">
        <v>319</v>
      </c>
      <c r="C863" s="75" t="s">
        <v>321</v>
      </c>
      <c r="D863" s="75">
        <v>2021.0</v>
      </c>
      <c r="E863" s="75">
        <v>8.60369053335301E14</v>
      </c>
      <c r="F863" s="76" t="s">
        <v>326</v>
      </c>
      <c r="G863" s="68" t="s">
        <v>328</v>
      </c>
      <c r="H863" s="69">
        <v>45658.0</v>
      </c>
      <c r="I863" s="78" t="s">
        <v>337</v>
      </c>
      <c r="J863" s="78"/>
      <c r="K863" s="79"/>
      <c r="L863" s="80"/>
      <c r="M863" s="81"/>
    </row>
    <row r="864">
      <c r="A864" s="75" t="s">
        <v>2949</v>
      </c>
      <c r="B864" s="75" t="s">
        <v>319</v>
      </c>
      <c r="C864" s="75" t="s">
        <v>321</v>
      </c>
      <c r="D864" s="75">
        <v>2021.0</v>
      </c>
      <c r="E864" s="75">
        <v>8.60369054154701E14</v>
      </c>
      <c r="F864" s="76" t="s">
        <v>326</v>
      </c>
      <c r="G864" s="68" t="s">
        <v>328</v>
      </c>
      <c r="H864" s="69">
        <v>45658.0</v>
      </c>
      <c r="I864" s="78" t="s">
        <v>337</v>
      </c>
      <c r="J864" s="78"/>
      <c r="K864" s="79"/>
      <c r="L864" s="80"/>
      <c r="M864" s="81"/>
    </row>
    <row r="865">
      <c r="A865" s="75" t="s">
        <v>2952</v>
      </c>
      <c r="B865" s="75" t="s">
        <v>319</v>
      </c>
      <c r="C865" s="75" t="s">
        <v>321</v>
      </c>
      <c r="D865" s="75">
        <v>2021.0</v>
      </c>
      <c r="E865" s="75">
        <v>8.60369054184351E14</v>
      </c>
      <c r="F865" s="76" t="s">
        <v>326</v>
      </c>
      <c r="G865" s="68" t="s">
        <v>328</v>
      </c>
      <c r="H865" s="69">
        <v>45658.0</v>
      </c>
      <c r="I865" s="78" t="s">
        <v>337</v>
      </c>
      <c r="J865" s="78"/>
      <c r="K865" s="79"/>
      <c r="L865" s="80"/>
      <c r="M865" s="81"/>
    </row>
    <row r="866">
      <c r="A866" s="75" t="s">
        <v>2954</v>
      </c>
      <c r="B866" s="75" t="s">
        <v>319</v>
      </c>
      <c r="C866" s="75" t="s">
        <v>321</v>
      </c>
      <c r="D866" s="75">
        <v>2021.0</v>
      </c>
      <c r="E866" s="75">
        <v>8.6036905416795E14</v>
      </c>
      <c r="F866" s="76" t="s">
        <v>326</v>
      </c>
      <c r="G866" s="68" t="s">
        <v>328</v>
      </c>
      <c r="H866" s="69">
        <v>45658.0</v>
      </c>
      <c r="I866" s="78" t="s">
        <v>337</v>
      </c>
      <c r="J866" s="78"/>
      <c r="K866" s="79"/>
      <c r="L866" s="80"/>
      <c r="M866" s="81"/>
    </row>
    <row r="867">
      <c r="A867" s="75" t="s">
        <v>2957</v>
      </c>
      <c r="B867" s="75" t="s">
        <v>319</v>
      </c>
      <c r="C867" s="75" t="s">
        <v>321</v>
      </c>
      <c r="D867" s="75">
        <v>2021.0</v>
      </c>
      <c r="E867" s="75">
        <v>8.60369052194964E14</v>
      </c>
      <c r="F867" s="76" t="s">
        <v>326</v>
      </c>
      <c r="G867" s="68" t="s">
        <v>328</v>
      </c>
      <c r="H867" s="69">
        <v>45658.0</v>
      </c>
      <c r="I867" s="78" t="s">
        <v>337</v>
      </c>
      <c r="J867" s="78"/>
      <c r="K867" s="79"/>
      <c r="L867" s="80"/>
      <c r="M867" s="81"/>
    </row>
    <row r="868">
      <c r="A868" s="75" t="s">
        <v>2959</v>
      </c>
      <c r="B868" s="75" t="s">
        <v>319</v>
      </c>
      <c r="C868" s="75" t="s">
        <v>321</v>
      </c>
      <c r="D868" s="75">
        <v>2021.0</v>
      </c>
      <c r="E868" s="75">
        <v>8.60369052449137E14</v>
      </c>
      <c r="F868" s="76" t="s">
        <v>326</v>
      </c>
      <c r="G868" s="68" t="s">
        <v>328</v>
      </c>
      <c r="H868" s="69">
        <v>45658.0</v>
      </c>
      <c r="I868" s="78" t="s">
        <v>337</v>
      </c>
      <c r="J868" s="78"/>
      <c r="K868" s="79"/>
      <c r="L868" s="80"/>
      <c r="M868" s="81"/>
    </row>
    <row r="869">
      <c r="A869" s="75" t="s">
        <v>2960</v>
      </c>
      <c r="B869" s="75" t="s">
        <v>319</v>
      </c>
      <c r="C869" s="75" t="s">
        <v>321</v>
      </c>
      <c r="D869" s="75">
        <v>2021.0</v>
      </c>
      <c r="E869" s="75">
        <v>8.60369052446273E14</v>
      </c>
      <c r="F869" s="76" t="s">
        <v>326</v>
      </c>
      <c r="G869" s="68" t="s">
        <v>328</v>
      </c>
      <c r="H869" s="69">
        <v>45658.0</v>
      </c>
      <c r="I869" s="78" t="s">
        <v>337</v>
      </c>
      <c r="J869" s="78"/>
      <c r="K869" s="79"/>
      <c r="L869" s="80"/>
      <c r="M869" s="81"/>
    </row>
    <row r="870">
      <c r="A870" s="75" t="s">
        <v>2963</v>
      </c>
      <c r="B870" s="75" t="s">
        <v>319</v>
      </c>
      <c r="C870" s="75" t="s">
        <v>321</v>
      </c>
      <c r="D870" s="75">
        <v>2021.0</v>
      </c>
      <c r="E870" s="75">
        <v>8.60369052695598E14</v>
      </c>
      <c r="F870" s="76" t="s">
        <v>326</v>
      </c>
      <c r="G870" s="68" t="s">
        <v>328</v>
      </c>
      <c r="H870" s="69">
        <v>45658.0</v>
      </c>
      <c r="I870" s="78" t="s">
        <v>337</v>
      </c>
      <c r="J870" s="78"/>
      <c r="K870" s="79"/>
      <c r="L870" s="80"/>
      <c r="M870" s="81"/>
    </row>
    <row r="871">
      <c r="A871" s="75" t="s">
        <v>2965</v>
      </c>
      <c r="B871" s="75" t="s">
        <v>319</v>
      </c>
      <c r="C871" s="75" t="s">
        <v>321</v>
      </c>
      <c r="D871" s="75">
        <v>2021.0</v>
      </c>
      <c r="E871" s="75">
        <v>8.60369052171038E14</v>
      </c>
      <c r="F871" s="76" t="s">
        <v>326</v>
      </c>
      <c r="G871" s="68" t="s">
        <v>328</v>
      </c>
      <c r="H871" s="69">
        <v>45658.0</v>
      </c>
      <c r="I871" s="78" t="s">
        <v>337</v>
      </c>
      <c r="J871" s="78"/>
      <c r="K871" s="79"/>
      <c r="L871" s="80"/>
      <c r="M871" s="81"/>
    </row>
    <row r="872">
      <c r="A872" s="75" t="s">
        <v>2966</v>
      </c>
      <c r="B872" s="75" t="s">
        <v>319</v>
      </c>
      <c r="C872" s="75" t="s">
        <v>321</v>
      </c>
      <c r="D872" s="75">
        <v>2021.0</v>
      </c>
      <c r="E872" s="75">
        <v>8.60369052439583E14</v>
      </c>
      <c r="F872" s="76" t="s">
        <v>326</v>
      </c>
      <c r="G872" s="68" t="s">
        <v>328</v>
      </c>
      <c r="H872" s="69">
        <v>45658.0</v>
      </c>
      <c r="I872" s="78" t="s">
        <v>337</v>
      </c>
      <c r="J872" s="78"/>
      <c r="K872" s="79"/>
      <c r="L872" s="80"/>
      <c r="M872" s="81"/>
    </row>
    <row r="873">
      <c r="A873" s="75" t="s">
        <v>2968</v>
      </c>
      <c r="B873" s="75" t="s">
        <v>319</v>
      </c>
      <c r="C873" s="75" t="s">
        <v>321</v>
      </c>
      <c r="D873" s="75">
        <v>2021.0</v>
      </c>
      <c r="E873" s="75">
        <v>8.60369052425756E14</v>
      </c>
      <c r="F873" s="76" t="s">
        <v>326</v>
      </c>
      <c r="G873" s="68" t="s">
        <v>328</v>
      </c>
      <c r="H873" s="69">
        <v>45658.0</v>
      </c>
      <c r="I873" s="78" t="s">
        <v>337</v>
      </c>
      <c r="J873" s="78"/>
      <c r="K873" s="79"/>
      <c r="L873" s="80"/>
      <c r="M873" s="81"/>
    </row>
    <row r="874">
      <c r="A874" s="75" t="s">
        <v>2971</v>
      </c>
      <c r="B874" s="75" t="s">
        <v>319</v>
      </c>
      <c r="C874" s="75" t="s">
        <v>321</v>
      </c>
      <c r="D874" s="75">
        <v>2021.0</v>
      </c>
      <c r="E874" s="75">
        <v>8.60369054164387E14</v>
      </c>
      <c r="F874" s="76" t="s">
        <v>326</v>
      </c>
      <c r="G874" s="68" t="s">
        <v>328</v>
      </c>
      <c r="H874" s="69">
        <v>45658.0</v>
      </c>
      <c r="I874" s="78" t="s">
        <v>337</v>
      </c>
      <c r="J874" s="78"/>
      <c r="K874" s="79"/>
      <c r="L874" s="110" t="s">
        <v>2974</v>
      </c>
      <c r="M874" s="81"/>
    </row>
    <row r="875">
      <c r="A875" s="75" t="s">
        <v>2976</v>
      </c>
      <c r="B875" s="75" t="s">
        <v>319</v>
      </c>
      <c r="C875" s="75" t="s">
        <v>321</v>
      </c>
      <c r="D875" s="75">
        <v>2021.0</v>
      </c>
      <c r="E875" s="75">
        <v>8.60369052701958E14</v>
      </c>
      <c r="F875" s="76" t="s">
        <v>326</v>
      </c>
      <c r="G875" s="68" t="s">
        <v>328</v>
      </c>
      <c r="H875" s="69">
        <v>45658.0</v>
      </c>
      <c r="I875" s="78" t="s">
        <v>337</v>
      </c>
      <c r="J875" s="78"/>
      <c r="K875" s="79"/>
      <c r="L875" s="80"/>
      <c r="M875" s="81"/>
    </row>
    <row r="876">
      <c r="A876" s="75" t="s">
        <v>2978</v>
      </c>
      <c r="B876" s="75" t="s">
        <v>319</v>
      </c>
      <c r="C876" s="75" t="s">
        <v>376</v>
      </c>
      <c r="D876" s="75">
        <v>2020.0</v>
      </c>
      <c r="E876" s="75">
        <v>8.60369052429907E14</v>
      </c>
      <c r="F876" s="76" t="s">
        <v>326</v>
      </c>
      <c r="G876" s="68" t="s">
        <v>328</v>
      </c>
      <c r="H876" s="69">
        <v>45658.0</v>
      </c>
      <c r="I876" s="78" t="s">
        <v>337</v>
      </c>
      <c r="J876" s="78"/>
      <c r="K876" s="79"/>
      <c r="L876" s="80"/>
      <c r="M876" s="81"/>
    </row>
    <row r="877">
      <c r="A877" s="75" t="s">
        <v>2980</v>
      </c>
      <c r="B877" s="75" t="s">
        <v>319</v>
      </c>
      <c r="C877" s="75" t="s">
        <v>376</v>
      </c>
      <c r="D877" s="75">
        <v>2020.0</v>
      </c>
      <c r="E877" s="75">
        <v>8.60369052433271E14</v>
      </c>
      <c r="F877" s="76" t="s">
        <v>326</v>
      </c>
      <c r="G877" s="68" t="s">
        <v>328</v>
      </c>
      <c r="H877" s="69">
        <v>45658.0</v>
      </c>
      <c r="I877" s="78" t="s">
        <v>337</v>
      </c>
      <c r="J877" s="78"/>
      <c r="K877" s="79"/>
      <c r="L877" s="80"/>
      <c r="M877" s="81"/>
    </row>
    <row r="878">
      <c r="A878" s="75" t="s">
        <v>2982</v>
      </c>
      <c r="B878" s="75" t="s">
        <v>319</v>
      </c>
      <c r="C878" s="75" t="s">
        <v>376</v>
      </c>
      <c r="D878" s="75">
        <v>2020.0</v>
      </c>
      <c r="E878" s="75">
        <v>8.60369054153034E14</v>
      </c>
      <c r="F878" s="76" t="s">
        <v>326</v>
      </c>
      <c r="G878" s="68" t="s">
        <v>328</v>
      </c>
      <c r="H878" s="69">
        <v>45658.0</v>
      </c>
      <c r="I878" s="78" t="s">
        <v>337</v>
      </c>
      <c r="J878" s="78"/>
      <c r="K878" s="79"/>
      <c r="L878" s="80"/>
      <c r="M878" s="81"/>
    </row>
    <row r="879">
      <c r="A879" s="75" t="s">
        <v>2985</v>
      </c>
      <c r="B879" s="75" t="s">
        <v>319</v>
      </c>
      <c r="C879" s="75" t="s">
        <v>376</v>
      </c>
      <c r="D879" s="75">
        <v>2020.0</v>
      </c>
      <c r="E879" s="75">
        <v>8.60369052695424E14</v>
      </c>
      <c r="F879" s="76" t="s">
        <v>326</v>
      </c>
      <c r="G879" s="68" t="s">
        <v>328</v>
      </c>
      <c r="H879" s="69">
        <v>45658.0</v>
      </c>
      <c r="I879" s="78" t="s">
        <v>337</v>
      </c>
      <c r="J879" s="78"/>
      <c r="K879" s="79"/>
      <c r="L879" s="80"/>
      <c r="M879" s="81"/>
    </row>
    <row r="880">
      <c r="A880" s="75" t="s">
        <v>2987</v>
      </c>
      <c r="B880" s="75" t="s">
        <v>319</v>
      </c>
      <c r="C880" s="75" t="s">
        <v>376</v>
      </c>
      <c r="D880" s="75">
        <v>2020.0</v>
      </c>
      <c r="E880" s="75">
        <v>8.60369052439526E14</v>
      </c>
      <c r="F880" s="76" t="s">
        <v>326</v>
      </c>
      <c r="G880" s="68" t="s">
        <v>328</v>
      </c>
      <c r="H880" s="69">
        <v>45658.0</v>
      </c>
      <c r="I880" s="78" t="s">
        <v>337</v>
      </c>
      <c r="J880" s="78"/>
      <c r="K880" s="79"/>
      <c r="L880" s="80"/>
      <c r="M880" s="81"/>
    </row>
    <row r="881">
      <c r="A881" s="75" t="s">
        <v>2991</v>
      </c>
      <c r="B881" s="75" t="s">
        <v>319</v>
      </c>
      <c r="C881" s="75" t="s">
        <v>376</v>
      </c>
      <c r="D881" s="75">
        <v>2020.0</v>
      </c>
      <c r="E881" s="75">
        <v>8.60369052448733E14</v>
      </c>
      <c r="F881" s="76" t="s">
        <v>326</v>
      </c>
      <c r="G881" s="68" t="s">
        <v>328</v>
      </c>
      <c r="H881" s="69">
        <v>45658.0</v>
      </c>
      <c r="I881" s="78" t="s">
        <v>337</v>
      </c>
      <c r="J881" s="78"/>
      <c r="K881" s="79"/>
      <c r="L881" s="80"/>
      <c r="M881" s="81"/>
    </row>
    <row r="882">
      <c r="A882" s="75" t="s">
        <v>2993</v>
      </c>
      <c r="B882" s="75" t="s">
        <v>319</v>
      </c>
      <c r="C882" s="75" t="s">
        <v>376</v>
      </c>
      <c r="D882" s="75">
        <v>2020.0</v>
      </c>
      <c r="E882" s="75">
        <v>8.60369052194824E14</v>
      </c>
      <c r="F882" s="76" t="s">
        <v>326</v>
      </c>
      <c r="G882" s="68" t="s">
        <v>328</v>
      </c>
      <c r="H882" s="69">
        <v>45658.0</v>
      </c>
      <c r="I882" s="78" t="s">
        <v>337</v>
      </c>
      <c r="J882" s="78"/>
      <c r="K882" s="79"/>
      <c r="L882" s="80"/>
      <c r="M882" s="81"/>
    </row>
    <row r="883">
      <c r="A883" s="75" t="s">
        <v>2995</v>
      </c>
      <c r="B883" s="75" t="s">
        <v>319</v>
      </c>
      <c r="C883" s="75" t="s">
        <v>376</v>
      </c>
      <c r="D883" s="75">
        <v>2020.0</v>
      </c>
      <c r="E883" s="75">
        <v>8.60369054169246E14</v>
      </c>
      <c r="F883" s="76" t="s">
        <v>326</v>
      </c>
      <c r="G883" s="68" t="s">
        <v>328</v>
      </c>
      <c r="H883" s="69">
        <v>45658.0</v>
      </c>
      <c r="I883" s="78" t="s">
        <v>337</v>
      </c>
      <c r="J883" s="78"/>
      <c r="K883" s="79"/>
      <c r="L883" s="80"/>
      <c r="M883" s="81"/>
    </row>
    <row r="884">
      <c r="A884" s="75" t="s">
        <v>2998</v>
      </c>
      <c r="B884" s="75" t="s">
        <v>319</v>
      </c>
      <c r="C884" s="75" t="s">
        <v>376</v>
      </c>
      <c r="D884" s="75">
        <v>2020.0</v>
      </c>
      <c r="E884" s="75">
        <v>8.6036905415418E14</v>
      </c>
      <c r="F884" s="76" t="s">
        <v>326</v>
      </c>
      <c r="G884" s="68" t="s">
        <v>328</v>
      </c>
      <c r="H884" s="69">
        <v>45658.0</v>
      </c>
      <c r="I884" s="78" t="s">
        <v>337</v>
      </c>
      <c r="J884" s="78"/>
      <c r="K884" s="79"/>
      <c r="L884" s="80"/>
      <c r="M884" s="81"/>
    </row>
    <row r="885">
      <c r="A885" s="75" t="s">
        <v>3000</v>
      </c>
      <c r="B885" s="75" t="s">
        <v>319</v>
      </c>
      <c r="C885" s="75" t="s">
        <v>376</v>
      </c>
      <c r="D885" s="75">
        <v>2020.0</v>
      </c>
      <c r="E885" s="75">
        <v>8.60369052445259E14</v>
      </c>
      <c r="F885" s="76" t="s">
        <v>326</v>
      </c>
      <c r="G885" s="68" t="s">
        <v>328</v>
      </c>
      <c r="H885" s="69">
        <v>45658.0</v>
      </c>
      <c r="I885" s="78" t="s">
        <v>337</v>
      </c>
      <c r="J885" s="78"/>
      <c r="K885" s="79"/>
      <c r="L885" s="80"/>
      <c r="M885" s="81"/>
    </row>
    <row r="886">
      <c r="A886" s="75" t="s">
        <v>3002</v>
      </c>
      <c r="B886" s="75" t="s">
        <v>319</v>
      </c>
      <c r="C886" s="75" t="s">
        <v>376</v>
      </c>
      <c r="D886" s="75">
        <v>2020.0</v>
      </c>
      <c r="E886" s="75">
        <v>8.60369054159478E14</v>
      </c>
      <c r="F886" s="76" t="s">
        <v>326</v>
      </c>
      <c r="G886" s="68" t="s">
        <v>328</v>
      </c>
      <c r="H886" s="69">
        <v>45658.0</v>
      </c>
      <c r="I886" s="78" t="s">
        <v>337</v>
      </c>
      <c r="J886" s="78"/>
      <c r="K886" s="79"/>
      <c r="L886" s="80"/>
      <c r="M886" s="81"/>
    </row>
    <row r="887">
      <c r="A887" s="75" t="s">
        <v>3004</v>
      </c>
      <c r="B887" s="75" t="s">
        <v>319</v>
      </c>
      <c r="C887" s="75" t="s">
        <v>376</v>
      </c>
      <c r="D887" s="75">
        <v>2020.0</v>
      </c>
      <c r="E887" s="75">
        <v>8.60369054165939E14</v>
      </c>
      <c r="F887" s="76" t="s">
        <v>326</v>
      </c>
      <c r="G887" s="68" t="s">
        <v>328</v>
      </c>
      <c r="H887" s="69">
        <v>45658.0</v>
      </c>
      <c r="I887" s="78" t="s">
        <v>337</v>
      </c>
      <c r="J887" s="78"/>
      <c r="K887" s="79"/>
      <c r="L887" s="80"/>
      <c r="M887" s="81"/>
    </row>
    <row r="888">
      <c r="A888" s="75" t="s">
        <v>3007</v>
      </c>
      <c r="B888" s="75" t="s">
        <v>319</v>
      </c>
      <c r="C888" s="75" t="s">
        <v>376</v>
      </c>
      <c r="D888" s="75">
        <v>2020.0</v>
      </c>
      <c r="E888" s="75">
        <v>8.60369052425467E14</v>
      </c>
      <c r="F888" s="76" t="s">
        <v>326</v>
      </c>
      <c r="G888" s="68" t="s">
        <v>328</v>
      </c>
      <c r="H888" s="69">
        <v>45658.0</v>
      </c>
      <c r="I888" s="78" t="s">
        <v>337</v>
      </c>
      <c r="J888" s="78"/>
      <c r="K888" s="79"/>
      <c r="L888" s="80"/>
      <c r="M888" s="81"/>
    </row>
    <row r="889">
      <c r="A889" s="75" t="s">
        <v>3010</v>
      </c>
      <c r="B889" s="75" t="s">
        <v>319</v>
      </c>
      <c r="C889" s="75" t="s">
        <v>376</v>
      </c>
      <c r="D889" s="75">
        <v>2020.0</v>
      </c>
      <c r="E889" s="75">
        <v>8.60369052696273E14</v>
      </c>
      <c r="F889" s="76" t="s">
        <v>326</v>
      </c>
      <c r="G889" s="68" t="s">
        <v>328</v>
      </c>
      <c r="H889" s="69">
        <v>45658.0</v>
      </c>
      <c r="I889" s="78" t="s">
        <v>337</v>
      </c>
      <c r="J889" s="78"/>
      <c r="K889" s="79"/>
      <c r="L889" s="80"/>
      <c r="M889" s="81"/>
    </row>
    <row r="890">
      <c r="A890" s="75" t="s">
        <v>3012</v>
      </c>
      <c r="B890" s="75" t="s">
        <v>319</v>
      </c>
      <c r="C890" s="75" t="s">
        <v>376</v>
      </c>
      <c r="D890" s="75">
        <v>2020.0</v>
      </c>
      <c r="E890" s="75">
        <v>8.60369054154081E14</v>
      </c>
      <c r="F890" s="76" t="s">
        <v>326</v>
      </c>
      <c r="G890" s="68" t="s">
        <v>328</v>
      </c>
      <c r="H890" s="69">
        <v>45658.0</v>
      </c>
      <c r="I890" s="78" t="s">
        <v>337</v>
      </c>
      <c r="J890" s="78"/>
      <c r="K890" s="79"/>
      <c r="L890" s="80"/>
      <c r="M890" s="81"/>
    </row>
    <row r="891">
      <c r="A891" s="75" t="s">
        <v>3013</v>
      </c>
      <c r="B891" s="75" t="s">
        <v>319</v>
      </c>
      <c r="C891" s="75" t="s">
        <v>376</v>
      </c>
      <c r="D891" s="75">
        <v>2020.0</v>
      </c>
      <c r="E891" s="75">
        <v>8.6036905270646E14</v>
      </c>
      <c r="F891" s="76" t="s">
        <v>326</v>
      </c>
      <c r="G891" s="68" t="s">
        <v>328</v>
      </c>
      <c r="H891" s="69">
        <v>45658.0</v>
      </c>
      <c r="I891" s="78" t="s">
        <v>337</v>
      </c>
      <c r="J891" s="78"/>
      <c r="K891" s="79"/>
      <c r="L891" s="80"/>
      <c r="M891" s="81"/>
    </row>
    <row r="892">
      <c r="A892" s="75" t="s">
        <v>3014</v>
      </c>
      <c r="B892" s="75" t="s">
        <v>319</v>
      </c>
      <c r="C892" s="75" t="s">
        <v>376</v>
      </c>
      <c r="D892" s="75">
        <v>2020.0</v>
      </c>
      <c r="E892" s="75">
        <v>8.60369054152887E14</v>
      </c>
      <c r="F892" s="76" t="s">
        <v>326</v>
      </c>
      <c r="G892" s="68" t="s">
        <v>328</v>
      </c>
      <c r="H892" s="69">
        <v>45658.0</v>
      </c>
      <c r="I892" s="78" t="s">
        <v>337</v>
      </c>
      <c r="J892" s="78"/>
      <c r="K892" s="79"/>
      <c r="L892" s="80"/>
      <c r="M892" s="81"/>
    </row>
    <row r="893">
      <c r="A893" s="75" t="s">
        <v>3015</v>
      </c>
      <c r="B893" s="75" t="s">
        <v>319</v>
      </c>
      <c r="C893" s="75" t="s">
        <v>376</v>
      </c>
      <c r="D893" s="75">
        <v>2020.0</v>
      </c>
      <c r="E893" s="75">
        <v>8.60369052695622E14</v>
      </c>
      <c r="F893" s="76" t="s">
        <v>326</v>
      </c>
      <c r="G893" s="68" t="s">
        <v>328</v>
      </c>
      <c r="H893" s="69">
        <v>45658.0</v>
      </c>
      <c r="I893" s="78" t="s">
        <v>337</v>
      </c>
      <c r="J893" s="78"/>
      <c r="K893" s="79"/>
      <c r="L893" s="80"/>
      <c r="M893" s="81"/>
    </row>
    <row r="894">
      <c r="A894" s="75" t="s">
        <v>3016</v>
      </c>
      <c r="B894" s="75" t="s">
        <v>319</v>
      </c>
      <c r="C894" s="75" t="s">
        <v>376</v>
      </c>
      <c r="D894" s="75">
        <v>2020.0</v>
      </c>
      <c r="E894" s="75">
        <v>8.60369052689682E14</v>
      </c>
      <c r="F894" s="76" t="s">
        <v>326</v>
      </c>
      <c r="G894" s="68" t="s">
        <v>328</v>
      </c>
      <c r="H894" s="69">
        <v>45658.0</v>
      </c>
      <c r="I894" s="78" t="s">
        <v>337</v>
      </c>
      <c r="J894" s="78"/>
      <c r="K894" s="79"/>
      <c r="L894" s="80"/>
      <c r="M894" s="81"/>
    </row>
    <row r="895">
      <c r="A895" s="75" t="s">
        <v>3017</v>
      </c>
      <c r="B895" s="75" t="s">
        <v>319</v>
      </c>
      <c r="C895" s="75" t="s">
        <v>376</v>
      </c>
      <c r="D895" s="75">
        <v>2020.0</v>
      </c>
      <c r="E895" s="75">
        <v>8.60369052430053E14</v>
      </c>
      <c r="F895" s="76" t="s">
        <v>326</v>
      </c>
      <c r="G895" s="68" t="s">
        <v>328</v>
      </c>
      <c r="H895" s="69">
        <v>45658.0</v>
      </c>
      <c r="I895" s="78" t="s">
        <v>337</v>
      </c>
      <c r="J895" s="78"/>
      <c r="K895" s="79"/>
      <c r="L895" s="80"/>
      <c r="M895" s="81"/>
    </row>
    <row r="896">
      <c r="A896" s="75" t="s">
        <v>3019</v>
      </c>
      <c r="B896" s="75" t="s">
        <v>319</v>
      </c>
      <c r="C896" s="75" t="s">
        <v>376</v>
      </c>
      <c r="D896" s="75">
        <v>2020.0</v>
      </c>
      <c r="E896" s="75">
        <v>8.60369052154356E14</v>
      </c>
      <c r="F896" s="76" t="s">
        <v>398</v>
      </c>
      <c r="G896" s="68" t="s">
        <v>328</v>
      </c>
      <c r="H896" s="69">
        <v>45658.0</v>
      </c>
      <c r="I896" s="78" t="s">
        <v>337</v>
      </c>
      <c r="J896" s="78"/>
      <c r="K896" s="79"/>
      <c r="L896" s="110" t="s">
        <v>3020</v>
      </c>
      <c r="M896" s="81"/>
    </row>
    <row r="897">
      <c r="A897" s="75" t="s">
        <v>3021</v>
      </c>
      <c r="B897" s="75" t="s">
        <v>319</v>
      </c>
      <c r="C897" s="75" t="s">
        <v>376</v>
      </c>
      <c r="D897" s="75">
        <v>2020.0</v>
      </c>
      <c r="E897" s="75">
        <v>8.60369054178221E14</v>
      </c>
      <c r="F897" s="76" t="s">
        <v>326</v>
      </c>
      <c r="G897" s="68" t="s">
        <v>328</v>
      </c>
      <c r="H897" s="69">
        <v>45658.0</v>
      </c>
      <c r="I897" s="78" t="s">
        <v>337</v>
      </c>
      <c r="J897" s="78"/>
      <c r="K897" s="79"/>
      <c r="L897" s="80"/>
      <c r="M897" s="81"/>
    </row>
    <row r="898">
      <c r="A898" s="75" t="s">
        <v>3022</v>
      </c>
      <c r="B898" s="75" t="s">
        <v>319</v>
      </c>
      <c r="C898" s="75" t="s">
        <v>376</v>
      </c>
      <c r="D898" s="75">
        <v>2020.0</v>
      </c>
      <c r="E898" s="75">
        <v>8.6036905220393E14</v>
      </c>
      <c r="F898" s="76" t="s">
        <v>326</v>
      </c>
      <c r="G898" s="68" t="s">
        <v>328</v>
      </c>
      <c r="H898" s="69">
        <v>45658.0</v>
      </c>
      <c r="I898" s="78" t="s">
        <v>337</v>
      </c>
      <c r="J898" s="78"/>
      <c r="K898" s="79"/>
      <c r="L898" s="80"/>
      <c r="M898" s="81"/>
    </row>
    <row r="899">
      <c r="A899" s="75" t="s">
        <v>3023</v>
      </c>
      <c r="B899" s="75" t="s">
        <v>319</v>
      </c>
      <c r="C899" s="75" t="s">
        <v>376</v>
      </c>
      <c r="D899" s="75">
        <v>2020.0</v>
      </c>
      <c r="E899" s="75">
        <v>8.60369052426556E14</v>
      </c>
      <c r="F899" s="76" t="s">
        <v>326</v>
      </c>
      <c r="G899" s="68" t="s">
        <v>328</v>
      </c>
      <c r="H899" s="69">
        <v>45658.0</v>
      </c>
      <c r="I899" s="78" t="s">
        <v>337</v>
      </c>
      <c r="J899" s="78"/>
      <c r="K899" s="79"/>
      <c r="L899" s="80"/>
      <c r="M899" s="81"/>
    </row>
    <row r="900">
      <c r="A900" s="75" t="s">
        <v>3024</v>
      </c>
      <c r="B900" s="75" t="s">
        <v>319</v>
      </c>
      <c r="C900" s="75" t="s">
        <v>376</v>
      </c>
      <c r="D900" s="75">
        <v>2021.0</v>
      </c>
      <c r="E900" s="75">
        <v>8.60369054163165E14</v>
      </c>
      <c r="F900" s="76" t="s">
        <v>326</v>
      </c>
      <c r="G900" s="68" t="s">
        <v>328</v>
      </c>
      <c r="H900" s="69">
        <v>45658.0</v>
      </c>
      <c r="I900" s="78" t="s">
        <v>337</v>
      </c>
      <c r="J900" s="78"/>
      <c r="K900" s="79"/>
      <c r="L900" s="80"/>
      <c r="M900" s="81"/>
    </row>
    <row r="901">
      <c r="A901" s="75" t="s">
        <v>3025</v>
      </c>
      <c r="B901" s="75" t="s">
        <v>319</v>
      </c>
      <c r="C901" s="75" t="s">
        <v>376</v>
      </c>
      <c r="D901" s="75">
        <v>2020.0</v>
      </c>
      <c r="E901" s="75">
        <v>8.60369054160922E14</v>
      </c>
      <c r="F901" s="76" t="s">
        <v>326</v>
      </c>
      <c r="G901" s="68" t="s">
        <v>328</v>
      </c>
      <c r="H901" s="69">
        <v>45658.0</v>
      </c>
      <c r="I901" s="78" t="s">
        <v>337</v>
      </c>
      <c r="J901" s="78"/>
      <c r="K901" s="79"/>
      <c r="L901" s="80"/>
      <c r="M901" s="81"/>
    </row>
    <row r="902">
      <c r="A902" s="75" t="s">
        <v>3026</v>
      </c>
      <c r="B902" s="75" t="s">
        <v>319</v>
      </c>
      <c r="C902" s="75" t="s">
        <v>376</v>
      </c>
      <c r="D902" s="75">
        <v>2020.0</v>
      </c>
      <c r="E902" s="75">
        <v>8.60369054176951E14</v>
      </c>
      <c r="F902" s="76" t="s">
        <v>326</v>
      </c>
      <c r="G902" s="68" t="s">
        <v>328</v>
      </c>
      <c r="H902" s="69">
        <v>45658.0</v>
      </c>
      <c r="I902" s="78" t="s">
        <v>337</v>
      </c>
      <c r="J902" s="78"/>
      <c r="K902" s="79"/>
      <c r="L902" s="80"/>
      <c r="M902" s="81"/>
    </row>
    <row r="903">
      <c r="A903" s="75" t="s">
        <v>3028</v>
      </c>
      <c r="B903" s="75" t="s">
        <v>319</v>
      </c>
      <c r="C903" s="75" t="s">
        <v>376</v>
      </c>
      <c r="D903" s="75">
        <v>2020.0</v>
      </c>
      <c r="E903" s="75">
        <v>8.60369052435607E14</v>
      </c>
      <c r="F903" s="76" t="s">
        <v>326</v>
      </c>
      <c r="G903" s="68" t="s">
        <v>328</v>
      </c>
      <c r="H903" s="69">
        <v>45658.0</v>
      </c>
      <c r="I903" s="78" t="s">
        <v>337</v>
      </c>
      <c r="J903" s="78"/>
      <c r="K903" s="79"/>
      <c r="L903" s="80"/>
      <c r="M903" s="81"/>
    </row>
    <row r="904">
      <c r="A904" s="75" t="s">
        <v>3029</v>
      </c>
      <c r="B904" s="75" t="s">
        <v>319</v>
      </c>
      <c r="C904" s="75" t="s">
        <v>376</v>
      </c>
      <c r="D904" s="75">
        <v>2020.0</v>
      </c>
      <c r="E904" s="75">
        <v>8.60369052702949E14</v>
      </c>
      <c r="F904" s="76" t="s">
        <v>326</v>
      </c>
      <c r="G904" s="68" t="s">
        <v>328</v>
      </c>
      <c r="H904" s="69">
        <v>45658.0</v>
      </c>
      <c r="I904" s="78" t="s">
        <v>337</v>
      </c>
      <c r="J904" s="78"/>
      <c r="K904" s="79"/>
      <c r="L904" s="80"/>
      <c r="M904" s="81"/>
    </row>
    <row r="905">
      <c r="A905" s="75" t="s">
        <v>3030</v>
      </c>
      <c r="B905" s="75" t="s">
        <v>319</v>
      </c>
      <c r="C905" s="75" t="s">
        <v>376</v>
      </c>
      <c r="D905" s="75">
        <v>2020.0</v>
      </c>
      <c r="E905" s="75">
        <v>8.60369052426366E14</v>
      </c>
      <c r="F905" s="76" t="s">
        <v>326</v>
      </c>
      <c r="G905" s="68" t="s">
        <v>328</v>
      </c>
      <c r="H905" s="69">
        <v>45658.0</v>
      </c>
      <c r="I905" s="78" t="s">
        <v>337</v>
      </c>
      <c r="J905" s="78"/>
      <c r="K905" s="79"/>
      <c r="L905" s="80"/>
      <c r="M905" s="81"/>
    </row>
    <row r="906">
      <c r="A906" s="75" t="s">
        <v>3031</v>
      </c>
      <c r="B906" s="75" t="s">
        <v>319</v>
      </c>
      <c r="C906" s="75" t="s">
        <v>376</v>
      </c>
      <c r="D906" s="75">
        <v>2020.0</v>
      </c>
      <c r="E906" s="75">
        <v>8.60369054154719E14</v>
      </c>
      <c r="F906" s="76" t="s">
        <v>326</v>
      </c>
      <c r="G906" s="68" t="s">
        <v>328</v>
      </c>
      <c r="H906" s="69">
        <v>45658.0</v>
      </c>
      <c r="I906" s="78" t="s">
        <v>337</v>
      </c>
      <c r="J906" s="78"/>
      <c r="K906" s="79"/>
      <c r="L906" s="80"/>
      <c r="M906" s="81"/>
    </row>
    <row r="907">
      <c r="A907" s="75" t="s">
        <v>3032</v>
      </c>
      <c r="B907" s="75" t="s">
        <v>319</v>
      </c>
      <c r="C907" s="75" t="s">
        <v>376</v>
      </c>
      <c r="D907" s="75">
        <v>2020.0</v>
      </c>
      <c r="E907" s="75">
        <v>8.60369054171671E14</v>
      </c>
      <c r="F907" s="76" t="s">
        <v>326</v>
      </c>
      <c r="G907" s="68" t="s">
        <v>328</v>
      </c>
      <c r="H907" s="69">
        <v>45658.0</v>
      </c>
      <c r="I907" s="78" t="s">
        <v>337</v>
      </c>
      <c r="J907" s="78"/>
      <c r="K907" s="79"/>
      <c r="L907" s="80"/>
      <c r="M907" s="81"/>
    </row>
    <row r="908">
      <c r="A908" s="75" t="s">
        <v>3033</v>
      </c>
      <c r="B908" s="75" t="s">
        <v>319</v>
      </c>
      <c r="C908" s="75" t="s">
        <v>376</v>
      </c>
      <c r="D908" s="75">
        <v>2020.0</v>
      </c>
      <c r="E908" s="75">
        <v>8.60369052145081E14</v>
      </c>
      <c r="F908" s="76" t="s">
        <v>398</v>
      </c>
      <c r="G908" s="68" t="s">
        <v>328</v>
      </c>
      <c r="H908" s="69">
        <v>45658.0</v>
      </c>
      <c r="I908" s="78" t="s">
        <v>337</v>
      </c>
      <c r="J908" s="78"/>
      <c r="K908" s="79"/>
      <c r="L908" s="80"/>
      <c r="M908" s="81"/>
    </row>
    <row r="909">
      <c r="A909" s="75" t="s">
        <v>3034</v>
      </c>
      <c r="B909" s="75" t="s">
        <v>319</v>
      </c>
      <c r="C909" s="75" t="s">
        <v>376</v>
      </c>
      <c r="D909" s="75">
        <v>2020.0</v>
      </c>
      <c r="E909" s="75">
        <v>8.60369054168289E14</v>
      </c>
      <c r="F909" s="76" t="s">
        <v>326</v>
      </c>
      <c r="G909" s="68" t="s">
        <v>328</v>
      </c>
      <c r="H909" s="69">
        <v>45658.0</v>
      </c>
      <c r="I909" s="78" t="s">
        <v>337</v>
      </c>
      <c r="J909" s="78"/>
      <c r="K909" s="79"/>
      <c r="L909" s="80"/>
      <c r="M909" s="81"/>
    </row>
    <row r="910">
      <c r="A910" s="75" t="s">
        <v>3035</v>
      </c>
      <c r="B910" s="75" t="s">
        <v>319</v>
      </c>
      <c r="C910" s="75" t="s">
        <v>376</v>
      </c>
      <c r="D910" s="75">
        <v>2020.0</v>
      </c>
      <c r="E910" s="75">
        <v>8.60369052707278E14</v>
      </c>
      <c r="F910" s="76" t="s">
        <v>326</v>
      </c>
      <c r="G910" s="68" t="s">
        <v>328</v>
      </c>
      <c r="H910" s="69">
        <v>45658.0</v>
      </c>
      <c r="I910" s="78" t="s">
        <v>337</v>
      </c>
      <c r="J910" s="78"/>
      <c r="K910" s="79"/>
      <c r="L910" s="80"/>
      <c r="M910" s="81"/>
    </row>
    <row r="911">
      <c r="A911" s="75" t="s">
        <v>3037</v>
      </c>
      <c r="B911" s="75" t="s">
        <v>319</v>
      </c>
      <c r="C911" s="75" t="s">
        <v>376</v>
      </c>
      <c r="D911" s="75">
        <v>2020.0</v>
      </c>
      <c r="E911" s="75">
        <v>8.60369054164643E14</v>
      </c>
      <c r="F911" s="76" t="s">
        <v>326</v>
      </c>
      <c r="G911" s="68" t="s">
        <v>328</v>
      </c>
      <c r="H911" s="69">
        <v>45658.0</v>
      </c>
      <c r="I911" s="78" t="s">
        <v>337</v>
      </c>
      <c r="J911" s="78"/>
      <c r="K911" s="79"/>
      <c r="L911" s="80"/>
      <c r="M911" s="81"/>
    </row>
    <row r="912">
      <c r="A912" s="75" t="s">
        <v>3038</v>
      </c>
      <c r="B912" s="75" t="s">
        <v>319</v>
      </c>
      <c r="C912" s="75" t="s">
        <v>376</v>
      </c>
      <c r="D912" s="75">
        <v>2020.0</v>
      </c>
      <c r="E912" s="75">
        <v>8.60369052705348E14</v>
      </c>
      <c r="F912" s="76" t="s">
        <v>326</v>
      </c>
      <c r="G912" s="68" t="s">
        <v>328</v>
      </c>
      <c r="H912" s="69">
        <v>45658.0</v>
      </c>
      <c r="I912" s="78" t="s">
        <v>337</v>
      </c>
      <c r="J912" s="78"/>
      <c r="K912" s="79"/>
      <c r="L912" s="80"/>
      <c r="M912" s="81"/>
    </row>
    <row r="913">
      <c r="A913" s="75" t="s">
        <v>3039</v>
      </c>
      <c r="B913" s="75" t="s">
        <v>319</v>
      </c>
      <c r="C913" s="75" t="s">
        <v>376</v>
      </c>
      <c r="D913" s="75">
        <v>2020.0</v>
      </c>
      <c r="E913" s="75">
        <v>8.60369052696257E14</v>
      </c>
      <c r="F913" s="76" t="s">
        <v>326</v>
      </c>
      <c r="G913" s="68" t="s">
        <v>328</v>
      </c>
      <c r="H913" s="69">
        <v>45658.0</v>
      </c>
      <c r="I913" s="78" t="s">
        <v>337</v>
      </c>
      <c r="J913" s="78"/>
      <c r="K913" s="79"/>
      <c r="L913" s="80"/>
      <c r="M913" s="81"/>
    </row>
    <row r="914">
      <c r="A914" s="75" t="s">
        <v>3040</v>
      </c>
      <c r="B914" s="75" t="s">
        <v>319</v>
      </c>
      <c r="C914" s="75" t="s">
        <v>376</v>
      </c>
      <c r="D914" s="75">
        <v>2020.0</v>
      </c>
      <c r="E914" s="75">
        <v>8.60369052411301E14</v>
      </c>
      <c r="F914" s="76" t="s">
        <v>326</v>
      </c>
      <c r="G914" s="68" t="s">
        <v>328</v>
      </c>
      <c r="H914" s="69">
        <v>45658.0</v>
      </c>
      <c r="I914" s="78" t="s">
        <v>337</v>
      </c>
      <c r="J914" s="78"/>
      <c r="K914" s="79"/>
      <c r="L914" s="80"/>
      <c r="M914" s="81"/>
    </row>
    <row r="915">
      <c r="A915" s="75" t="s">
        <v>3041</v>
      </c>
      <c r="B915" s="75" t="s">
        <v>319</v>
      </c>
      <c r="C915" s="75" t="s">
        <v>376</v>
      </c>
      <c r="D915" s="75">
        <v>2020.0</v>
      </c>
      <c r="E915" s="75">
        <v>8.60369052447305E14</v>
      </c>
      <c r="F915" s="76" t="s">
        <v>326</v>
      </c>
      <c r="G915" s="68" t="s">
        <v>328</v>
      </c>
      <c r="H915" s="69">
        <v>45658.0</v>
      </c>
      <c r="I915" s="78" t="s">
        <v>337</v>
      </c>
      <c r="J915" s="78"/>
      <c r="K915" s="79"/>
      <c r="L915" s="80"/>
      <c r="M915" s="81"/>
    </row>
    <row r="916">
      <c r="A916" s="75" t="s">
        <v>3042</v>
      </c>
      <c r="B916" s="75" t="s">
        <v>319</v>
      </c>
      <c r="C916" s="75" t="s">
        <v>376</v>
      </c>
      <c r="D916" s="75">
        <v>2020.0</v>
      </c>
      <c r="E916" s="75">
        <v>8.60369054165301E14</v>
      </c>
      <c r="F916" s="76" t="s">
        <v>326</v>
      </c>
      <c r="G916" s="68" t="s">
        <v>328</v>
      </c>
      <c r="H916" s="69">
        <v>45658.0</v>
      </c>
      <c r="I916" s="78" t="s">
        <v>337</v>
      </c>
      <c r="J916" s="78"/>
      <c r="K916" s="79"/>
      <c r="L916" s="80"/>
      <c r="M916" s="81"/>
    </row>
    <row r="917">
      <c r="A917" s="75" t="s">
        <v>3043</v>
      </c>
      <c r="B917" s="75" t="s">
        <v>319</v>
      </c>
      <c r="C917" s="75" t="s">
        <v>376</v>
      </c>
      <c r="D917" s="75">
        <v>2020.0</v>
      </c>
      <c r="E917" s="75">
        <v>8.60369054159544E14</v>
      </c>
      <c r="F917" s="76" t="s">
        <v>326</v>
      </c>
      <c r="G917" s="68" t="s">
        <v>328</v>
      </c>
      <c r="H917" s="69">
        <v>45658.0</v>
      </c>
      <c r="I917" s="78" t="s">
        <v>337</v>
      </c>
      <c r="J917" s="78"/>
      <c r="K917" s="79"/>
      <c r="L917" s="80"/>
      <c r="M917" s="81"/>
    </row>
    <row r="918">
      <c r="A918" s="75" t="s">
        <v>3044</v>
      </c>
      <c r="B918" s="75" t="s">
        <v>319</v>
      </c>
      <c r="C918" s="75" t="s">
        <v>376</v>
      </c>
      <c r="D918" s="75">
        <v>2020.0</v>
      </c>
      <c r="E918" s="75">
        <v>8.60369052696208E14</v>
      </c>
      <c r="F918" s="76" t="s">
        <v>326</v>
      </c>
      <c r="G918" s="68" t="s">
        <v>328</v>
      </c>
      <c r="H918" s="69">
        <v>45658.0</v>
      </c>
      <c r="I918" s="78" t="s">
        <v>337</v>
      </c>
      <c r="J918" s="78"/>
      <c r="K918" s="79"/>
      <c r="L918" s="80"/>
      <c r="M918" s="81"/>
    </row>
    <row r="919">
      <c r="A919" s="75" t="s">
        <v>3045</v>
      </c>
      <c r="B919" s="75" t="s">
        <v>319</v>
      </c>
      <c r="C919" s="75" t="s">
        <v>376</v>
      </c>
      <c r="D919" s="75">
        <v>2020.0</v>
      </c>
      <c r="E919" s="75">
        <v>8.60369052444567E14</v>
      </c>
      <c r="F919" s="76" t="s">
        <v>326</v>
      </c>
      <c r="G919" s="68" t="s">
        <v>328</v>
      </c>
      <c r="H919" s="69">
        <v>45658.0</v>
      </c>
      <c r="I919" s="78" t="s">
        <v>337</v>
      </c>
      <c r="J919" s="78" t="s">
        <v>2929</v>
      </c>
      <c r="K919" s="79"/>
      <c r="L919" s="80"/>
      <c r="M919" s="81"/>
    </row>
    <row r="920">
      <c r="A920" s="75" t="s">
        <v>3046</v>
      </c>
      <c r="B920" s="75" t="s">
        <v>319</v>
      </c>
      <c r="C920" s="75" t="s">
        <v>376</v>
      </c>
      <c r="D920" s="75">
        <v>2020.0</v>
      </c>
      <c r="E920" s="75">
        <v>8.60369052707104E14</v>
      </c>
      <c r="F920" s="76" t="s">
        <v>326</v>
      </c>
      <c r="G920" s="68" t="s">
        <v>328</v>
      </c>
      <c r="H920" s="69">
        <v>45658.0</v>
      </c>
      <c r="I920" s="78" t="s">
        <v>337</v>
      </c>
      <c r="J920" s="78"/>
      <c r="K920" s="79"/>
      <c r="L920" s="80"/>
      <c r="M920" s="81"/>
    </row>
    <row r="921">
      <c r="A921" s="75" t="s">
        <v>3048</v>
      </c>
      <c r="B921" s="75" t="s">
        <v>319</v>
      </c>
      <c r="C921" s="75" t="s">
        <v>376</v>
      </c>
      <c r="D921" s="75">
        <v>2020.0</v>
      </c>
      <c r="E921" s="75">
        <v>8.60369054180904E14</v>
      </c>
      <c r="F921" s="76" t="s">
        <v>326</v>
      </c>
      <c r="G921" s="68" t="s">
        <v>328</v>
      </c>
      <c r="H921" s="69">
        <v>45658.0</v>
      </c>
      <c r="I921" s="78" t="s">
        <v>337</v>
      </c>
      <c r="J921" s="78"/>
      <c r="K921" s="79"/>
      <c r="L921" s="80"/>
      <c r="M921" s="81"/>
    </row>
    <row r="922">
      <c r="A922" s="75" t="s">
        <v>3049</v>
      </c>
      <c r="B922" s="75" t="s">
        <v>319</v>
      </c>
      <c r="C922" s="75" t="s">
        <v>376</v>
      </c>
      <c r="D922" s="75">
        <v>2020.0</v>
      </c>
      <c r="E922" s="75">
        <v>8.60369052445051E14</v>
      </c>
      <c r="F922" s="76" t="s">
        <v>326</v>
      </c>
      <c r="G922" s="68" t="s">
        <v>328</v>
      </c>
      <c r="H922" s="69">
        <v>45658.0</v>
      </c>
      <c r="I922" s="78" t="s">
        <v>337</v>
      </c>
      <c r="J922" s="78"/>
      <c r="K922" s="79"/>
      <c r="L922" s="80"/>
      <c r="M922" s="81"/>
    </row>
    <row r="923">
      <c r="A923" s="75" t="s">
        <v>3050</v>
      </c>
      <c r="B923" s="75" t="s">
        <v>319</v>
      </c>
      <c r="C923" s="75" t="s">
        <v>376</v>
      </c>
      <c r="D923" s="75">
        <v>2020.0</v>
      </c>
      <c r="E923" s="75">
        <v>8.60369052439724E14</v>
      </c>
      <c r="F923" s="76" t="s">
        <v>326</v>
      </c>
      <c r="G923" s="68" t="s">
        <v>328</v>
      </c>
      <c r="H923" s="69">
        <v>45658.0</v>
      </c>
      <c r="I923" s="78" t="s">
        <v>337</v>
      </c>
      <c r="J923" s="78"/>
      <c r="K923" s="79"/>
      <c r="L923" s="80"/>
      <c r="M923" s="81"/>
    </row>
    <row r="924">
      <c r="A924" s="75" t="s">
        <v>3051</v>
      </c>
      <c r="B924" s="75" t="s">
        <v>319</v>
      </c>
      <c r="C924" s="75" t="s">
        <v>376</v>
      </c>
      <c r="D924" s="75">
        <v>2020.0</v>
      </c>
      <c r="E924" s="75">
        <v>8.60369052701388E14</v>
      </c>
      <c r="F924" s="76" t="s">
        <v>326</v>
      </c>
      <c r="G924" s="68" t="s">
        <v>328</v>
      </c>
      <c r="H924" s="69">
        <v>45658.0</v>
      </c>
      <c r="I924" s="78" t="s">
        <v>337</v>
      </c>
      <c r="J924" s="78"/>
      <c r="K924" s="79"/>
      <c r="L924" s="80"/>
      <c r="M924" s="81"/>
    </row>
    <row r="925">
      <c r="A925" s="75" t="s">
        <v>3052</v>
      </c>
      <c r="B925" s="75" t="s">
        <v>319</v>
      </c>
      <c r="C925" s="75" t="s">
        <v>376</v>
      </c>
      <c r="D925" s="75">
        <v>2020.0</v>
      </c>
      <c r="E925" s="75">
        <v>8.6036905269563E14</v>
      </c>
      <c r="F925" s="76" t="s">
        <v>326</v>
      </c>
      <c r="G925" s="68" t="s">
        <v>328</v>
      </c>
      <c r="H925" s="69">
        <v>45658.0</v>
      </c>
      <c r="I925" s="78" t="s">
        <v>337</v>
      </c>
      <c r="J925" s="78"/>
      <c r="K925" s="79"/>
      <c r="L925" s="80"/>
      <c r="M925" s="81"/>
    </row>
    <row r="926">
      <c r="A926" s="75" t="s">
        <v>3053</v>
      </c>
      <c r="B926" s="75" t="s">
        <v>319</v>
      </c>
      <c r="C926" s="75" t="s">
        <v>376</v>
      </c>
      <c r="D926" s="75">
        <v>2020.0</v>
      </c>
      <c r="E926" s="75">
        <v>8.60369052446968E14</v>
      </c>
      <c r="F926" s="76" t="s">
        <v>326</v>
      </c>
      <c r="G926" s="68" t="s">
        <v>328</v>
      </c>
      <c r="H926" s="69">
        <v>45658.0</v>
      </c>
      <c r="I926" s="78" t="s">
        <v>337</v>
      </c>
      <c r="J926" s="78"/>
      <c r="K926" s="79"/>
      <c r="L926" s="80"/>
      <c r="M926" s="81"/>
    </row>
    <row r="927">
      <c r="A927" s="75" t="s">
        <v>3054</v>
      </c>
      <c r="B927" s="75" t="s">
        <v>319</v>
      </c>
      <c r="C927" s="75" t="s">
        <v>376</v>
      </c>
      <c r="D927" s="75">
        <v>2020.0</v>
      </c>
      <c r="E927" s="75">
        <v>8.60369052142369E14</v>
      </c>
      <c r="F927" s="76" t="s">
        <v>326</v>
      </c>
      <c r="G927" s="68" t="s">
        <v>328</v>
      </c>
      <c r="H927" s="69">
        <v>45658.0</v>
      </c>
      <c r="I927" s="78" t="s">
        <v>337</v>
      </c>
      <c r="J927" s="78"/>
      <c r="K927" s="79"/>
      <c r="L927" s="80"/>
      <c r="M927" s="81"/>
    </row>
    <row r="928">
      <c r="A928" s="75" t="s">
        <v>3056</v>
      </c>
      <c r="B928" s="75" t="s">
        <v>319</v>
      </c>
      <c r="C928" s="75" t="s">
        <v>376</v>
      </c>
      <c r="D928" s="75">
        <v>2020.0</v>
      </c>
      <c r="E928" s="75">
        <v>8.60369054155641E14</v>
      </c>
      <c r="F928" s="76" t="s">
        <v>326</v>
      </c>
      <c r="G928" s="68" t="s">
        <v>328</v>
      </c>
      <c r="H928" s="69">
        <v>45658.0</v>
      </c>
      <c r="I928" s="78" t="s">
        <v>1240</v>
      </c>
      <c r="J928" s="78" t="s">
        <v>3057</v>
      </c>
      <c r="K928" s="79"/>
      <c r="L928" s="80"/>
      <c r="M928" s="81"/>
    </row>
    <row r="929">
      <c r="A929" s="75" t="s">
        <v>3058</v>
      </c>
      <c r="B929" s="75" t="s">
        <v>319</v>
      </c>
      <c r="C929" s="75" t="s">
        <v>376</v>
      </c>
      <c r="D929" s="75">
        <v>2020.0</v>
      </c>
      <c r="E929" s="75">
        <v>8.60369052404595E14</v>
      </c>
      <c r="F929" s="76" t="s">
        <v>398</v>
      </c>
      <c r="G929" s="68" t="s">
        <v>328</v>
      </c>
      <c r="H929" s="69">
        <v>45658.0</v>
      </c>
      <c r="I929" s="78" t="s">
        <v>337</v>
      </c>
      <c r="J929" s="78"/>
      <c r="K929" s="79"/>
      <c r="L929" s="80"/>
      <c r="M929" s="81"/>
    </row>
    <row r="930">
      <c r="A930" s="75" t="s">
        <v>3059</v>
      </c>
      <c r="B930" s="75" t="s">
        <v>319</v>
      </c>
      <c r="C930" s="75" t="s">
        <v>376</v>
      </c>
      <c r="D930" s="75">
        <v>2020.0</v>
      </c>
      <c r="E930" s="75">
        <v>8.60369052689286E14</v>
      </c>
      <c r="F930" s="76" t="s">
        <v>326</v>
      </c>
      <c r="G930" s="68" t="s">
        <v>328</v>
      </c>
      <c r="H930" s="69">
        <v>45658.0</v>
      </c>
      <c r="I930" s="78" t="s">
        <v>337</v>
      </c>
      <c r="J930" s="78"/>
      <c r="K930" s="79"/>
      <c r="L930" s="80"/>
      <c r="M930" s="81"/>
    </row>
    <row r="931">
      <c r="A931" s="75" t="s">
        <v>3060</v>
      </c>
      <c r="B931" s="75" t="s">
        <v>319</v>
      </c>
      <c r="C931" s="75" t="s">
        <v>376</v>
      </c>
      <c r="D931" s="75">
        <v>2020.0</v>
      </c>
      <c r="E931" s="75">
        <v>8.60369054164619E14</v>
      </c>
      <c r="F931" s="76" t="s">
        <v>326</v>
      </c>
      <c r="G931" s="68" t="s">
        <v>328</v>
      </c>
      <c r="H931" s="69">
        <v>45658.0</v>
      </c>
      <c r="I931" s="78" t="s">
        <v>337</v>
      </c>
      <c r="J931" s="78"/>
      <c r="K931" s="79"/>
      <c r="L931" s="80"/>
      <c r="M931" s="81"/>
    </row>
    <row r="932">
      <c r="A932" s="75" t="s">
        <v>3061</v>
      </c>
      <c r="B932" s="75" t="s">
        <v>319</v>
      </c>
      <c r="C932" s="75" t="s">
        <v>376</v>
      </c>
      <c r="D932" s="75">
        <v>2020.0</v>
      </c>
      <c r="E932" s="75">
        <v>8.60369052405014E14</v>
      </c>
      <c r="F932" s="76" t="s">
        <v>326</v>
      </c>
      <c r="G932" s="68" t="s">
        <v>328</v>
      </c>
      <c r="H932" s="69">
        <v>45658.0</v>
      </c>
      <c r="I932" s="78" t="s">
        <v>337</v>
      </c>
      <c r="J932" s="78"/>
      <c r="K932" s="79"/>
      <c r="L932" s="80"/>
      <c r="M932" s="81"/>
    </row>
    <row r="933">
      <c r="A933" s="75" t="s">
        <v>3063</v>
      </c>
      <c r="B933" s="75" t="s">
        <v>319</v>
      </c>
      <c r="C933" s="75" t="s">
        <v>376</v>
      </c>
      <c r="D933" s="75">
        <v>2020.0</v>
      </c>
      <c r="E933" s="75">
        <v>8.6036905242795E14</v>
      </c>
      <c r="F933" s="76" t="s">
        <v>326</v>
      </c>
      <c r="G933" s="68" t="s">
        <v>328</v>
      </c>
      <c r="H933" s="69">
        <v>45658.0</v>
      </c>
      <c r="I933" s="78" t="s">
        <v>337</v>
      </c>
      <c r="J933" s="78"/>
      <c r="K933" s="79"/>
      <c r="L933" s="80"/>
      <c r="M933" s="81"/>
    </row>
    <row r="934">
      <c r="A934" s="75" t="s">
        <v>3064</v>
      </c>
      <c r="B934" s="75" t="s">
        <v>319</v>
      </c>
      <c r="C934" s="75" t="s">
        <v>376</v>
      </c>
      <c r="D934" s="75">
        <v>2020.0</v>
      </c>
      <c r="E934" s="75">
        <v>8.60369052439559E14</v>
      </c>
      <c r="F934" s="76" t="s">
        <v>326</v>
      </c>
      <c r="G934" s="68" t="s">
        <v>328</v>
      </c>
      <c r="H934" s="69">
        <v>45658.0</v>
      </c>
      <c r="I934" s="78" t="s">
        <v>337</v>
      </c>
      <c r="J934" s="78"/>
      <c r="K934" s="79"/>
      <c r="L934" s="80"/>
      <c r="M934" s="81"/>
    </row>
    <row r="935">
      <c r="A935" s="75" t="s">
        <v>3065</v>
      </c>
      <c r="B935" s="75" t="s">
        <v>319</v>
      </c>
      <c r="C935" s="75" t="s">
        <v>376</v>
      </c>
      <c r="D935" s="75">
        <v>2020.0</v>
      </c>
      <c r="E935" s="75">
        <v>8.60369052701164E14</v>
      </c>
      <c r="F935" s="76" t="s">
        <v>326</v>
      </c>
      <c r="G935" s="68" t="s">
        <v>328</v>
      </c>
      <c r="H935" s="69">
        <v>45658.0</v>
      </c>
      <c r="I935" s="78" t="s">
        <v>337</v>
      </c>
      <c r="J935" s="78"/>
      <c r="K935" s="79"/>
      <c r="L935" s="80"/>
      <c r="M935" s="81"/>
    </row>
    <row r="936">
      <c r="A936" s="75" t="s">
        <v>3066</v>
      </c>
      <c r="B936" s="75" t="s">
        <v>319</v>
      </c>
      <c r="C936" s="75" t="s">
        <v>376</v>
      </c>
      <c r="D936" s="75">
        <v>2020.0</v>
      </c>
      <c r="E936" s="75">
        <v>8.60369052439609E14</v>
      </c>
      <c r="F936" s="76" t="s">
        <v>326</v>
      </c>
      <c r="G936" s="68" t="s">
        <v>328</v>
      </c>
      <c r="H936" s="69">
        <v>45658.0</v>
      </c>
      <c r="I936" s="78" t="s">
        <v>337</v>
      </c>
      <c r="J936" s="78"/>
      <c r="K936" s="79"/>
      <c r="L936" s="80"/>
      <c r="M936" s="81"/>
    </row>
    <row r="937">
      <c r="A937" s="75" t="s">
        <v>3068</v>
      </c>
      <c r="B937" s="75" t="s">
        <v>319</v>
      </c>
      <c r="C937" s="75" t="s">
        <v>376</v>
      </c>
      <c r="D937" s="75">
        <v>2020.0</v>
      </c>
      <c r="E937" s="75">
        <v>8.60369052701396E14</v>
      </c>
      <c r="F937" s="76" t="s">
        <v>326</v>
      </c>
      <c r="G937" s="68" t="s">
        <v>328</v>
      </c>
      <c r="H937" s="69">
        <v>45658.0</v>
      </c>
      <c r="I937" s="78" t="s">
        <v>337</v>
      </c>
      <c r="J937" s="78"/>
      <c r="K937" s="79"/>
      <c r="L937" s="80"/>
      <c r="M937" s="81"/>
    </row>
    <row r="938">
      <c r="A938" s="75" t="s">
        <v>3069</v>
      </c>
      <c r="B938" s="75" t="s">
        <v>319</v>
      </c>
      <c r="C938" s="75" t="s">
        <v>376</v>
      </c>
      <c r="D938" s="75">
        <v>2020.0</v>
      </c>
      <c r="E938" s="75">
        <v>8.60369054177736E14</v>
      </c>
      <c r="F938" s="76" t="s">
        <v>326</v>
      </c>
      <c r="G938" s="68" t="s">
        <v>328</v>
      </c>
      <c r="H938" s="69">
        <v>45658.0</v>
      </c>
      <c r="I938" s="78" t="s">
        <v>337</v>
      </c>
      <c r="J938" s="78"/>
      <c r="K938" s="79"/>
      <c r="L938" s="80"/>
      <c r="M938" s="81"/>
    </row>
    <row r="939">
      <c r="A939" s="75" t="s">
        <v>3070</v>
      </c>
      <c r="B939" s="75" t="s">
        <v>319</v>
      </c>
      <c r="C939" s="75" t="s">
        <v>376</v>
      </c>
      <c r="D939" s="75">
        <v>2020.0</v>
      </c>
      <c r="E939" s="75">
        <v>8.60369052696588E14</v>
      </c>
      <c r="F939" s="76" t="s">
        <v>326</v>
      </c>
      <c r="G939" s="68" t="s">
        <v>328</v>
      </c>
      <c r="H939" s="69">
        <v>45658.0</v>
      </c>
      <c r="I939" s="78" t="s">
        <v>337</v>
      </c>
      <c r="J939" s="78"/>
      <c r="K939" s="79"/>
      <c r="L939" s="80"/>
      <c r="M939" s="81"/>
    </row>
    <row r="940">
      <c r="A940" s="75" t="s">
        <v>3071</v>
      </c>
      <c r="B940" s="75" t="s">
        <v>319</v>
      </c>
      <c r="C940" s="75" t="s">
        <v>376</v>
      </c>
      <c r="D940" s="75">
        <v>2020.0</v>
      </c>
      <c r="E940" s="75">
        <v>8.6036905243672E14</v>
      </c>
      <c r="F940" s="76" t="s">
        <v>326</v>
      </c>
      <c r="G940" s="68" t="s">
        <v>328</v>
      </c>
      <c r="H940" s="69">
        <v>45658.0</v>
      </c>
      <c r="I940" s="78" t="s">
        <v>337</v>
      </c>
      <c r="J940" s="78"/>
      <c r="K940" s="79"/>
      <c r="L940" s="80"/>
      <c r="M940" s="81"/>
    </row>
    <row r="941">
      <c r="A941" s="75" t="s">
        <v>3073</v>
      </c>
      <c r="B941" s="75" t="s">
        <v>319</v>
      </c>
      <c r="C941" s="75" t="s">
        <v>376</v>
      </c>
      <c r="D941" s="75">
        <v>2020.0</v>
      </c>
      <c r="E941" s="75">
        <v>8.60369052706494E14</v>
      </c>
      <c r="F941" s="76" t="s">
        <v>326</v>
      </c>
      <c r="G941" s="68" t="s">
        <v>328</v>
      </c>
      <c r="H941" s="69">
        <v>45658.0</v>
      </c>
      <c r="I941" s="78" t="s">
        <v>337</v>
      </c>
      <c r="J941" s="78"/>
      <c r="K941" s="79"/>
      <c r="L941" s="80"/>
      <c r="M941" s="81"/>
    </row>
    <row r="942">
      <c r="A942" s="75" t="s">
        <v>3074</v>
      </c>
      <c r="B942" s="75" t="s">
        <v>319</v>
      </c>
      <c r="C942" s="75" t="s">
        <v>376</v>
      </c>
      <c r="D942" s="75">
        <v>2020.0</v>
      </c>
      <c r="E942" s="75">
        <v>8.60369052429881E14</v>
      </c>
      <c r="F942" s="76" t="s">
        <v>326</v>
      </c>
      <c r="G942" s="68" t="s">
        <v>328</v>
      </c>
      <c r="H942" s="69">
        <v>45658.0</v>
      </c>
      <c r="I942" s="78" t="s">
        <v>337</v>
      </c>
      <c r="J942" s="78"/>
      <c r="K942" s="79"/>
      <c r="L942" s="80"/>
      <c r="M942" s="81"/>
    </row>
    <row r="943">
      <c r="A943" s="75" t="s">
        <v>3075</v>
      </c>
      <c r="B943" s="75" t="s">
        <v>319</v>
      </c>
      <c r="C943" s="75" t="s">
        <v>376</v>
      </c>
      <c r="D943" s="75">
        <v>2020.0</v>
      </c>
      <c r="E943" s="75">
        <v>8.60369052695267E14</v>
      </c>
      <c r="F943" s="76" t="s">
        <v>326</v>
      </c>
      <c r="G943" s="68" t="s">
        <v>328</v>
      </c>
      <c r="H943" s="69">
        <v>45658.0</v>
      </c>
      <c r="I943" s="78" t="s">
        <v>337</v>
      </c>
      <c r="J943" s="78"/>
      <c r="K943" s="79"/>
      <c r="L943" s="80"/>
      <c r="M943" s="81"/>
    </row>
    <row r="944">
      <c r="A944" s="75" t="s">
        <v>3077</v>
      </c>
      <c r="B944" s="75" t="s">
        <v>319</v>
      </c>
      <c r="C944" s="75" t="s">
        <v>376</v>
      </c>
      <c r="D944" s="75">
        <v>2020.0</v>
      </c>
      <c r="E944" s="75">
        <v>8.6036905416314E14</v>
      </c>
      <c r="F944" s="76" t="s">
        <v>326</v>
      </c>
      <c r="G944" s="68" t="s">
        <v>328</v>
      </c>
      <c r="H944" s="69">
        <v>45658.0</v>
      </c>
      <c r="I944" s="78" t="s">
        <v>337</v>
      </c>
      <c r="J944" s="78"/>
      <c r="K944" s="79"/>
      <c r="L944" s="80"/>
      <c r="M944" s="81"/>
    </row>
    <row r="945">
      <c r="A945" s="75" t="s">
        <v>3078</v>
      </c>
      <c r="B945" s="75" t="s">
        <v>319</v>
      </c>
      <c r="C945" s="75" t="s">
        <v>376</v>
      </c>
      <c r="D945" s="75">
        <v>2020.0</v>
      </c>
      <c r="E945" s="75">
        <v>8.60369054157191E14</v>
      </c>
      <c r="F945" s="76" t="s">
        <v>326</v>
      </c>
      <c r="G945" s="68" t="s">
        <v>328</v>
      </c>
      <c r="H945" s="69">
        <v>45658.0</v>
      </c>
      <c r="I945" s="78" t="s">
        <v>337</v>
      </c>
      <c r="J945" s="78"/>
      <c r="K945" s="79"/>
      <c r="L945" s="80"/>
      <c r="M945" s="81"/>
    </row>
    <row r="946">
      <c r="A946" s="75" t="s">
        <v>3079</v>
      </c>
      <c r="B946" s="75" t="s">
        <v>319</v>
      </c>
      <c r="C946" s="75" t="s">
        <v>376</v>
      </c>
      <c r="D946" s="75">
        <v>2020.0</v>
      </c>
      <c r="E946" s="75">
        <v>8.60369054158611E14</v>
      </c>
      <c r="F946" s="76" t="s">
        <v>326</v>
      </c>
      <c r="G946" s="68" t="s">
        <v>328</v>
      </c>
      <c r="H946" s="69">
        <v>45658.0</v>
      </c>
      <c r="I946" s="78" t="s">
        <v>337</v>
      </c>
      <c r="J946" s="78"/>
      <c r="K946" s="79"/>
      <c r="L946" s="80"/>
      <c r="M946" s="81"/>
    </row>
    <row r="947">
      <c r="A947" s="75">
        <v>8.60369052464052E14</v>
      </c>
      <c r="B947" s="75" t="s">
        <v>319</v>
      </c>
      <c r="C947" s="75" t="s">
        <v>376</v>
      </c>
      <c r="D947" s="75">
        <v>2020.0</v>
      </c>
      <c r="E947" s="75">
        <v>8.60369052464052E14</v>
      </c>
      <c r="F947" s="76" t="s">
        <v>398</v>
      </c>
      <c r="G947" s="68" t="s">
        <v>328</v>
      </c>
      <c r="H947" s="69">
        <v>45658.0</v>
      </c>
      <c r="I947" s="78" t="s">
        <v>1240</v>
      </c>
      <c r="J947" s="78"/>
      <c r="K947" s="79"/>
      <c r="L947" s="80"/>
      <c r="M947" s="81"/>
    </row>
    <row r="948">
      <c r="A948" s="75" t="s">
        <v>3081</v>
      </c>
      <c r="B948" s="75" t="s">
        <v>319</v>
      </c>
      <c r="C948" s="75" t="s">
        <v>376</v>
      </c>
      <c r="D948" s="75">
        <v>2020.0</v>
      </c>
      <c r="E948" s="75">
        <v>8.60369052698717E14</v>
      </c>
      <c r="F948" s="76" t="s">
        <v>326</v>
      </c>
      <c r="G948" s="68" t="s">
        <v>328</v>
      </c>
      <c r="H948" s="69">
        <v>45658.0</v>
      </c>
      <c r="I948" s="78" t="s">
        <v>337</v>
      </c>
      <c r="J948" s="78"/>
      <c r="K948" s="79"/>
      <c r="L948" s="80"/>
      <c r="M948" s="81"/>
    </row>
    <row r="949">
      <c r="A949" s="75" t="s">
        <v>3082</v>
      </c>
      <c r="B949" s="75" t="s">
        <v>319</v>
      </c>
      <c r="C949" s="75" t="s">
        <v>376</v>
      </c>
      <c r="D949" s="75">
        <v>2020.0</v>
      </c>
      <c r="E949" s="75">
        <v>8.60369052703186E14</v>
      </c>
      <c r="F949" s="76" t="s">
        <v>326</v>
      </c>
      <c r="G949" s="68" t="s">
        <v>328</v>
      </c>
      <c r="H949" s="69">
        <v>45658.0</v>
      </c>
      <c r="I949" s="78" t="s">
        <v>337</v>
      </c>
      <c r="J949" s="78"/>
      <c r="K949" s="79"/>
      <c r="L949" s="80"/>
      <c r="M949" s="81"/>
    </row>
    <row r="950">
      <c r="A950" s="75" t="s">
        <v>3083</v>
      </c>
      <c r="B950" s="75" t="s">
        <v>319</v>
      </c>
      <c r="C950" s="75" t="s">
        <v>376</v>
      </c>
      <c r="D950" s="75">
        <v>2020.0</v>
      </c>
      <c r="E950" s="75">
        <v>8.60369052425616E14</v>
      </c>
      <c r="F950" s="76" t="s">
        <v>326</v>
      </c>
      <c r="G950" s="68" t="s">
        <v>328</v>
      </c>
      <c r="H950" s="69">
        <v>45658.0</v>
      </c>
      <c r="I950" s="78" t="s">
        <v>337</v>
      </c>
      <c r="J950" s="78"/>
      <c r="K950" s="79"/>
      <c r="L950" s="80"/>
      <c r="M950" s="81"/>
    </row>
    <row r="951">
      <c r="A951" s="75" t="s">
        <v>3084</v>
      </c>
      <c r="B951" s="75" t="s">
        <v>319</v>
      </c>
      <c r="C951" s="75" t="s">
        <v>376</v>
      </c>
      <c r="D951" s="75">
        <v>2020.0</v>
      </c>
      <c r="E951" s="75">
        <v>8.60369052701826E14</v>
      </c>
      <c r="F951" s="76" t="s">
        <v>326</v>
      </c>
      <c r="G951" s="68" t="s">
        <v>328</v>
      </c>
      <c r="H951" s="69">
        <v>45658.0</v>
      </c>
      <c r="I951" s="78" t="s">
        <v>337</v>
      </c>
      <c r="J951" s="78"/>
      <c r="K951" s="79"/>
      <c r="L951" s="80"/>
      <c r="M951" s="81"/>
    </row>
    <row r="952">
      <c r="A952" s="75" t="s">
        <v>3085</v>
      </c>
      <c r="B952" s="75" t="s">
        <v>319</v>
      </c>
      <c r="C952" s="75" t="s">
        <v>376</v>
      </c>
      <c r="D952" s="75">
        <v>2020.0</v>
      </c>
      <c r="E952" s="75">
        <v>8.60369052702816E14</v>
      </c>
      <c r="F952" s="76" t="s">
        <v>326</v>
      </c>
      <c r="G952" s="68" t="s">
        <v>328</v>
      </c>
      <c r="H952" s="69">
        <v>45658.0</v>
      </c>
      <c r="I952" s="78" t="s">
        <v>337</v>
      </c>
      <c r="J952" s="78"/>
      <c r="K952" s="79"/>
      <c r="L952" s="80"/>
      <c r="M952" s="81"/>
    </row>
    <row r="953">
      <c r="A953" s="75" t="s">
        <v>3087</v>
      </c>
      <c r="B953" s="75" t="s">
        <v>319</v>
      </c>
      <c r="C953" s="75" t="s">
        <v>376</v>
      </c>
      <c r="D953" s="75">
        <v>2020.0</v>
      </c>
      <c r="E953" s="75">
        <v>8.60369054160112E14</v>
      </c>
      <c r="F953" s="76" t="s">
        <v>326</v>
      </c>
      <c r="G953" s="68" t="s">
        <v>328</v>
      </c>
      <c r="H953" s="69">
        <v>45658.0</v>
      </c>
      <c r="I953" s="78" t="s">
        <v>337</v>
      </c>
      <c r="J953" s="78"/>
      <c r="K953" s="79"/>
      <c r="L953" s="80"/>
      <c r="M953" s="81"/>
    </row>
    <row r="954">
      <c r="A954" s="75" t="s">
        <v>3088</v>
      </c>
      <c r="B954" s="75" t="s">
        <v>319</v>
      </c>
      <c r="C954" s="75" t="s">
        <v>376</v>
      </c>
      <c r="D954" s="75">
        <v>2020.0</v>
      </c>
      <c r="E954" s="75">
        <v>8.60369054164676E14</v>
      </c>
      <c r="F954" s="76" t="s">
        <v>326</v>
      </c>
      <c r="G954" s="68" t="s">
        <v>328</v>
      </c>
      <c r="H954" s="69">
        <v>45658.0</v>
      </c>
      <c r="I954" s="78" t="s">
        <v>337</v>
      </c>
      <c r="J954" s="78"/>
      <c r="K954" s="79"/>
      <c r="L954" s="80"/>
      <c r="M954" s="81"/>
    </row>
    <row r="955">
      <c r="A955" s="75" t="s">
        <v>3089</v>
      </c>
      <c r="B955" s="75" t="s">
        <v>319</v>
      </c>
      <c r="C955" s="75" t="s">
        <v>376</v>
      </c>
      <c r="D955" s="75">
        <v>2020.0</v>
      </c>
      <c r="E955" s="75">
        <v>8.60369054163298E14</v>
      </c>
      <c r="F955" s="76" t="s">
        <v>326</v>
      </c>
      <c r="G955" s="68" t="s">
        <v>328</v>
      </c>
      <c r="H955" s="69">
        <v>45658.0</v>
      </c>
      <c r="I955" s="78" t="s">
        <v>337</v>
      </c>
      <c r="J955" s="78"/>
      <c r="K955" s="79"/>
      <c r="L955" s="80"/>
      <c r="M955" s="81"/>
    </row>
    <row r="956">
      <c r="A956" s="75" t="s">
        <v>3090</v>
      </c>
      <c r="B956" s="75" t="s">
        <v>319</v>
      </c>
      <c r="C956" s="75" t="s">
        <v>376</v>
      </c>
      <c r="D956" s="75">
        <v>2020.0</v>
      </c>
      <c r="E956" s="75">
        <v>8.60369054180664E14</v>
      </c>
      <c r="F956" s="76" t="s">
        <v>326</v>
      </c>
      <c r="G956" s="68" t="s">
        <v>328</v>
      </c>
      <c r="H956" s="69">
        <v>45658.0</v>
      </c>
      <c r="I956" s="78" t="s">
        <v>337</v>
      </c>
      <c r="J956" s="78"/>
      <c r="K956" s="79"/>
      <c r="L956" s="80"/>
      <c r="M956" s="81"/>
    </row>
    <row r="957">
      <c r="A957" s="75" t="s">
        <v>3091</v>
      </c>
      <c r="B957" s="75" t="s">
        <v>319</v>
      </c>
      <c r="C957" s="75" t="s">
        <v>376</v>
      </c>
      <c r="D957" s="75">
        <v>2020.0</v>
      </c>
      <c r="E957" s="75">
        <v>8.60369052441225E14</v>
      </c>
      <c r="F957" s="76" t="s">
        <v>326</v>
      </c>
      <c r="G957" s="68" t="s">
        <v>328</v>
      </c>
      <c r="H957" s="69">
        <v>45658.0</v>
      </c>
      <c r="I957" s="78" t="s">
        <v>337</v>
      </c>
      <c r="J957" s="78"/>
      <c r="K957" s="79"/>
      <c r="L957" s="80"/>
      <c r="M957" s="81"/>
    </row>
    <row r="958">
      <c r="A958" s="75" t="s">
        <v>3092</v>
      </c>
      <c r="B958" s="75" t="s">
        <v>319</v>
      </c>
      <c r="C958" s="75" t="s">
        <v>376</v>
      </c>
      <c r="D958" s="75">
        <v>2020.0</v>
      </c>
      <c r="E958" s="75">
        <v>8.60369054161243E14</v>
      </c>
      <c r="F958" s="76" t="s">
        <v>326</v>
      </c>
      <c r="G958" s="68" t="s">
        <v>328</v>
      </c>
      <c r="H958" s="69">
        <v>45658.0</v>
      </c>
      <c r="I958" s="78" t="s">
        <v>337</v>
      </c>
      <c r="J958" s="78"/>
      <c r="K958" s="79"/>
      <c r="L958" s="80"/>
      <c r="M958" s="81"/>
    </row>
    <row r="959">
      <c r="A959" s="75" t="s">
        <v>3094</v>
      </c>
      <c r="B959" s="75" t="s">
        <v>319</v>
      </c>
      <c r="C959" s="75" t="s">
        <v>376</v>
      </c>
      <c r="D959" s="75">
        <v>2020.0</v>
      </c>
      <c r="E959" s="75">
        <v>8.60369052445614E14</v>
      </c>
      <c r="F959" s="76" t="s">
        <v>326</v>
      </c>
      <c r="G959" s="68" t="s">
        <v>328</v>
      </c>
      <c r="H959" s="69">
        <v>45658.0</v>
      </c>
      <c r="I959" s="78" t="s">
        <v>337</v>
      </c>
      <c r="J959" s="78"/>
      <c r="K959" s="79"/>
      <c r="L959" s="80"/>
      <c r="M959" s="81"/>
    </row>
    <row r="960">
      <c r="A960" s="75" t="s">
        <v>3095</v>
      </c>
      <c r="B960" s="75" t="s">
        <v>319</v>
      </c>
      <c r="C960" s="75" t="s">
        <v>376</v>
      </c>
      <c r="D960" s="75">
        <v>2020.0</v>
      </c>
      <c r="E960" s="75">
        <v>8.60369054159742E14</v>
      </c>
      <c r="F960" s="76" t="s">
        <v>326</v>
      </c>
      <c r="G960" s="68" t="s">
        <v>328</v>
      </c>
      <c r="H960" s="69">
        <v>45658.0</v>
      </c>
      <c r="I960" s="78" t="s">
        <v>337</v>
      </c>
      <c r="J960" s="78"/>
      <c r="K960" s="79"/>
      <c r="L960" s="80"/>
      <c r="M960" s="81"/>
    </row>
    <row r="961">
      <c r="A961" s="75" t="s">
        <v>3096</v>
      </c>
      <c r="B961" s="75" t="s">
        <v>319</v>
      </c>
      <c r="C961" s="75" t="s">
        <v>376</v>
      </c>
      <c r="D961" s="75">
        <v>2020.0</v>
      </c>
      <c r="E961" s="75">
        <v>8.60369054178023E14</v>
      </c>
      <c r="F961" s="76" t="s">
        <v>326</v>
      </c>
      <c r="G961" s="68" t="s">
        <v>328</v>
      </c>
      <c r="H961" s="69">
        <v>45658.0</v>
      </c>
      <c r="I961" s="78" t="s">
        <v>337</v>
      </c>
      <c r="J961" s="78"/>
      <c r="K961" s="79"/>
      <c r="L961" s="80"/>
      <c r="M961" s="81"/>
    </row>
    <row r="962">
      <c r="A962" s="75" t="s">
        <v>3097</v>
      </c>
      <c r="B962" s="75" t="s">
        <v>319</v>
      </c>
      <c r="C962" s="75" t="s">
        <v>376</v>
      </c>
      <c r="D962" s="75">
        <v>2020.0</v>
      </c>
      <c r="E962" s="75">
        <v>8.60369052435599E14</v>
      </c>
      <c r="F962" s="76" t="s">
        <v>326</v>
      </c>
      <c r="G962" s="68" t="s">
        <v>328</v>
      </c>
      <c r="H962" s="69">
        <v>45658.0</v>
      </c>
      <c r="I962" s="78" t="s">
        <v>337</v>
      </c>
      <c r="J962" s="78"/>
      <c r="K962" s="79"/>
      <c r="L962" s="80"/>
      <c r="M962" s="81"/>
    </row>
    <row r="963">
      <c r="A963" s="75" t="s">
        <v>3099</v>
      </c>
      <c r="B963" s="75" t="s">
        <v>319</v>
      </c>
      <c r="C963" s="75" t="s">
        <v>376</v>
      </c>
      <c r="D963" s="75">
        <v>2020.0</v>
      </c>
      <c r="E963" s="75">
        <v>8.60369054184062E14</v>
      </c>
      <c r="F963" s="76" t="s">
        <v>326</v>
      </c>
      <c r="G963" s="68" t="s">
        <v>328</v>
      </c>
      <c r="H963" s="69">
        <v>45658.0</v>
      </c>
      <c r="I963" s="78" t="s">
        <v>337</v>
      </c>
      <c r="J963" s="78"/>
      <c r="K963" s="79"/>
      <c r="L963" s="80"/>
      <c r="M963" s="81"/>
    </row>
    <row r="964">
      <c r="A964" s="75" t="s">
        <v>3100</v>
      </c>
      <c r="B964" s="75" t="s">
        <v>319</v>
      </c>
      <c r="C964" s="75" t="s">
        <v>321</v>
      </c>
      <c r="D964" s="75">
        <v>2021.0</v>
      </c>
      <c r="E964" s="75">
        <v>8.60369052708987E14</v>
      </c>
      <c r="F964" s="76" t="s">
        <v>326</v>
      </c>
      <c r="G964" s="68" t="s">
        <v>328</v>
      </c>
      <c r="H964" s="69">
        <v>45658.0</v>
      </c>
      <c r="I964" s="78" t="s">
        <v>337</v>
      </c>
      <c r="J964" s="78"/>
      <c r="K964" s="79"/>
      <c r="L964" s="80"/>
      <c r="M964" s="81"/>
    </row>
    <row r="965">
      <c r="A965" s="75" t="s">
        <v>3101</v>
      </c>
      <c r="B965" s="75" t="s">
        <v>389</v>
      </c>
      <c r="C965" s="75" t="s">
        <v>1292</v>
      </c>
      <c r="D965" s="75">
        <v>2022.0</v>
      </c>
      <c r="E965" s="75">
        <v>8.60369052410873E14</v>
      </c>
      <c r="F965" s="76" t="s">
        <v>398</v>
      </c>
      <c r="G965" s="68" t="s">
        <v>328</v>
      </c>
      <c r="H965" s="69">
        <v>45658.0</v>
      </c>
      <c r="I965" s="78" t="s">
        <v>337</v>
      </c>
      <c r="J965" s="78"/>
      <c r="K965" s="79"/>
      <c r="L965" s="80"/>
      <c r="M965" s="81"/>
    </row>
    <row r="966">
      <c r="A966" s="75" t="s">
        <v>3102</v>
      </c>
      <c r="B966" s="75" t="s">
        <v>389</v>
      </c>
      <c r="C966" s="75" t="s">
        <v>1292</v>
      </c>
      <c r="D966" s="75">
        <v>2022.0</v>
      </c>
      <c r="E966" s="75">
        <v>8.603690521441E14</v>
      </c>
      <c r="F966" s="76" t="s">
        <v>398</v>
      </c>
      <c r="G966" s="68" t="s">
        <v>328</v>
      </c>
      <c r="H966" s="69">
        <v>45658.0</v>
      </c>
      <c r="I966" s="78" t="s">
        <v>337</v>
      </c>
      <c r="J966" s="78"/>
      <c r="K966" s="79"/>
      <c r="L966" s="80"/>
      <c r="M966" s="81"/>
    </row>
    <row r="967">
      <c r="A967" s="75" t="s">
        <v>3103</v>
      </c>
      <c r="B967" s="75" t="s">
        <v>389</v>
      </c>
      <c r="C967" s="75" t="s">
        <v>1292</v>
      </c>
      <c r="D967" s="75">
        <v>2022.0</v>
      </c>
      <c r="E967" s="75">
        <v>8.60369052167333E14</v>
      </c>
      <c r="F967" s="76" t="s">
        <v>398</v>
      </c>
      <c r="G967" s="68" t="s">
        <v>328</v>
      </c>
      <c r="H967" s="69">
        <v>45658.0</v>
      </c>
      <c r="I967" s="78" t="s">
        <v>337</v>
      </c>
      <c r="J967" s="78"/>
      <c r="K967" s="79"/>
      <c r="L967" s="80"/>
      <c r="M967" s="81"/>
    </row>
    <row r="968">
      <c r="A968" s="75" t="s">
        <v>3104</v>
      </c>
      <c r="B968" s="75" t="s">
        <v>319</v>
      </c>
      <c r="C968" s="75" t="s">
        <v>321</v>
      </c>
      <c r="D968" s="75">
        <v>2021.0</v>
      </c>
      <c r="E968" s="75">
        <v>8.60369052123989E14</v>
      </c>
      <c r="F968" s="76" t="s">
        <v>398</v>
      </c>
      <c r="G968" s="68" t="s">
        <v>328</v>
      </c>
      <c r="H968" s="69">
        <v>45658.0</v>
      </c>
      <c r="I968" s="78" t="s">
        <v>337</v>
      </c>
      <c r="J968" s="78"/>
      <c r="K968" s="79"/>
      <c r="L968" s="80"/>
      <c r="M968" s="81"/>
    </row>
    <row r="969">
      <c r="A969" s="75" t="s">
        <v>3105</v>
      </c>
      <c r="B969" s="75" t="s">
        <v>389</v>
      </c>
      <c r="C969" s="75" t="s">
        <v>1292</v>
      </c>
      <c r="D969" s="75">
        <v>2022.0</v>
      </c>
      <c r="E969" s="75">
        <v>8.60369052168166E14</v>
      </c>
      <c r="F969" s="76" t="s">
        <v>398</v>
      </c>
      <c r="G969" s="68" t="s">
        <v>328</v>
      </c>
      <c r="H969" s="69">
        <v>45658.0</v>
      </c>
      <c r="I969" s="78" t="s">
        <v>337</v>
      </c>
      <c r="J969" s="78"/>
      <c r="K969" s="79"/>
      <c r="L969" s="80"/>
      <c r="M969" s="81"/>
    </row>
    <row r="970">
      <c r="A970" s="75" t="s">
        <v>3106</v>
      </c>
      <c r="B970" s="75" t="s">
        <v>389</v>
      </c>
      <c r="C970" s="75" t="s">
        <v>1292</v>
      </c>
      <c r="D970" s="75">
        <v>2022.0</v>
      </c>
      <c r="E970" s="75">
        <v>8.603690521409E14</v>
      </c>
      <c r="F970" s="76" t="s">
        <v>398</v>
      </c>
      <c r="G970" s="68" t="s">
        <v>328</v>
      </c>
      <c r="H970" s="69">
        <v>45658.0</v>
      </c>
      <c r="I970" s="78" t="s">
        <v>337</v>
      </c>
      <c r="J970" s="78"/>
      <c r="K970" s="79"/>
      <c r="L970" s="80"/>
      <c r="M970" s="81"/>
    </row>
    <row r="971">
      <c r="A971" s="75" t="s">
        <v>3108</v>
      </c>
      <c r="B971" s="75" t="s">
        <v>319</v>
      </c>
      <c r="C971" s="75" t="s">
        <v>321</v>
      </c>
      <c r="D971" s="75">
        <v>2022.0</v>
      </c>
      <c r="E971" s="75">
        <v>8.60369054154651E14</v>
      </c>
      <c r="F971" s="76" t="s">
        <v>326</v>
      </c>
      <c r="G971" s="68" t="s">
        <v>328</v>
      </c>
      <c r="H971" s="69">
        <v>45658.0</v>
      </c>
      <c r="I971" s="78" t="s">
        <v>337</v>
      </c>
      <c r="J971" s="78"/>
      <c r="K971" s="79"/>
      <c r="L971" s="80"/>
      <c r="M971" s="81"/>
    </row>
    <row r="972">
      <c r="A972" s="75" t="s">
        <v>3109</v>
      </c>
      <c r="B972" s="75" t="s">
        <v>319</v>
      </c>
      <c r="C972" s="75" t="s">
        <v>321</v>
      </c>
      <c r="D972" s="75">
        <v>2022.0</v>
      </c>
      <c r="E972" s="75">
        <v>8.60369052193735E14</v>
      </c>
      <c r="F972" s="76" t="s">
        <v>326</v>
      </c>
      <c r="G972" s="68" t="s">
        <v>328</v>
      </c>
      <c r="H972" s="69">
        <v>45658.0</v>
      </c>
      <c r="I972" s="78" t="s">
        <v>337</v>
      </c>
      <c r="J972" s="78"/>
      <c r="K972" s="79"/>
      <c r="L972" s="80"/>
      <c r="M972" s="81"/>
    </row>
    <row r="973">
      <c r="A973" s="75" t="s">
        <v>3110</v>
      </c>
      <c r="B973" s="75" t="s">
        <v>319</v>
      </c>
      <c r="C973" s="75" t="s">
        <v>321</v>
      </c>
      <c r="D973" s="75">
        <v>2022.0</v>
      </c>
      <c r="E973" s="75">
        <v>8.60369052154901E14</v>
      </c>
      <c r="F973" s="76" t="s">
        <v>398</v>
      </c>
      <c r="G973" s="68" t="s">
        <v>328</v>
      </c>
      <c r="H973" s="69">
        <v>45658.0</v>
      </c>
      <c r="I973" s="78" t="s">
        <v>337</v>
      </c>
      <c r="J973" s="78"/>
      <c r="K973" s="79"/>
      <c r="L973" s="80"/>
      <c r="M973" s="81"/>
    </row>
    <row r="974">
      <c r="A974" s="75" t="s">
        <v>3111</v>
      </c>
      <c r="B974" s="75" t="s">
        <v>389</v>
      </c>
      <c r="C974" s="75" t="s">
        <v>1292</v>
      </c>
      <c r="D974" s="75">
        <v>2022.0</v>
      </c>
      <c r="E974" s="75">
        <v>8.60369052467915E14</v>
      </c>
      <c r="F974" s="76" t="s">
        <v>398</v>
      </c>
      <c r="G974" s="68" t="s">
        <v>328</v>
      </c>
      <c r="H974" s="69">
        <v>45658.0</v>
      </c>
      <c r="I974" s="78" t="s">
        <v>1240</v>
      </c>
      <c r="J974" s="78"/>
      <c r="K974" s="79"/>
      <c r="L974" s="80"/>
      <c r="M974" s="81"/>
    </row>
    <row r="975">
      <c r="A975" s="75" t="s">
        <v>3113</v>
      </c>
      <c r="B975" s="75" t="s">
        <v>389</v>
      </c>
      <c r="C975" s="75" t="s">
        <v>1292</v>
      </c>
      <c r="D975" s="75">
        <v>2022.0</v>
      </c>
      <c r="E975" s="75">
        <v>8.60369052169313E14</v>
      </c>
      <c r="F975" s="76" t="s">
        <v>398</v>
      </c>
      <c r="G975" s="68" t="s">
        <v>328</v>
      </c>
      <c r="H975" s="69">
        <v>45658.0</v>
      </c>
      <c r="I975" s="78" t="s">
        <v>337</v>
      </c>
      <c r="J975" s="78"/>
      <c r="K975" s="79"/>
      <c r="L975" s="80"/>
      <c r="M975" s="81"/>
    </row>
    <row r="976">
      <c r="A976" s="75" t="s">
        <v>3114</v>
      </c>
      <c r="B976" s="75" t="s">
        <v>389</v>
      </c>
      <c r="C976" s="75" t="s">
        <v>1292</v>
      </c>
      <c r="D976" s="75">
        <v>2022.0</v>
      </c>
      <c r="E976" s="75">
        <v>8.60369052155403E14</v>
      </c>
      <c r="F976" s="76" t="s">
        <v>398</v>
      </c>
      <c r="G976" s="68" t="s">
        <v>328</v>
      </c>
      <c r="H976" s="69">
        <v>45658.0</v>
      </c>
      <c r="I976" s="78" t="s">
        <v>337</v>
      </c>
      <c r="J976" s="78"/>
      <c r="K976" s="79"/>
      <c r="L976" s="80"/>
      <c r="M976" s="81"/>
    </row>
    <row r="977">
      <c r="A977" s="75" t="s">
        <v>3115</v>
      </c>
      <c r="B977" s="75" t="s">
        <v>319</v>
      </c>
      <c r="C977" s="75" t="s">
        <v>321</v>
      </c>
      <c r="D977" s="75">
        <v>2022.0</v>
      </c>
      <c r="E977" s="75">
        <v>8.60369054161417E14</v>
      </c>
      <c r="F977" s="76" t="s">
        <v>326</v>
      </c>
      <c r="G977" s="68" t="s">
        <v>328</v>
      </c>
      <c r="H977" s="69">
        <v>45658.0</v>
      </c>
      <c r="I977" s="78" t="s">
        <v>337</v>
      </c>
      <c r="J977" s="78"/>
      <c r="K977" s="79"/>
      <c r="L977" s="80"/>
      <c r="M977" s="81"/>
    </row>
    <row r="978">
      <c r="A978" s="75" t="s">
        <v>3117</v>
      </c>
      <c r="B978" s="75" t="s">
        <v>319</v>
      </c>
      <c r="C978" s="75" t="s">
        <v>321</v>
      </c>
      <c r="D978" s="75">
        <v>2022.0</v>
      </c>
      <c r="E978" s="75">
        <v>8.60369054155062E14</v>
      </c>
      <c r="F978" s="76" t="s">
        <v>326</v>
      </c>
      <c r="G978" s="68" t="s">
        <v>328</v>
      </c>
      <c r="H978" s="69">
        <v>45658.0</v>
      </c>
      <c r="I978" s="78" t="s">
        <v>337</v>
      </c>
      <c r="J978" s="78"/>
      <c r="K978" s="79"/>
      <c r="L978" s="80"/>
      <c r="M978" s="81"/>
    </row>
    <row r="979">
      <c r="A979" s="75" t="s">
        <v>3118</v>
      </c>
      <c r="B979" s="75" t="s">
        <v>319</v>
      </c>
      <c r="C979" s="75" t="s">
        <v>321</v>
      </c>
      <c r="D979" s="75">
        <v>2022.0</v>
      </c>
      <c r="E979" s="75">
        <v>8.60369052693254E14</v>
      </c>
      <c r="F979" s="76" t="s">
        <v>326</v>
      </c>
      <c r="G979" s="68" t="s">
        <v>328</v>
      </c>
      <c r="H979" s="69">
        <v>45658.0</v>
      </c>
      <c r="I979" s="78" t="s">
        <v>337</v>
      </c>
      <c r="J979" s="78"/>
      <c r="K979" s="79"/>
      <c r="L979" s="80"/>
      <c r="M979" s="81"/>
    </row>
    <row r="980">
      <c r="A980" s="75" t="s">
        <v>3119</v>
      </c>
      <c r="B980" s="75" t="s">
        <v>319</v>
      </c>
      <c r="C980" s="75" t="s">
        <v>321</v>
      </c>
      <c r="D980" s="75">
        <v>2022.0</v>
      </c>
      <c r="E980" s="75">
        <v>8.60369052426044E14</v>
      </c>
      <c r="F980" s="76" t="s">
        <v>326</v>
      </c>
      <c r="G980" s="68" t="s">
        <v>328</v>
      </c>
      <c r="H980" s="69">
        <v>45658.0</v>
      </c>
      <c r="I980" s="78" t="s">
        <v>337</v>
      </c>
      <c r="J980" s="78"/>
      <c r="K980" s="79"/>
      <c r="L980" s="80"/>
      <c r="M980" s="81"/>
    </row>
    <row r="981">
      <c r="A981" s="75" t="s">
        <v>3120</v>
      </c>
      <c r="B981" s="75" t="s">
        <v>319</v>
      </c>
      <c r="C981" s="75" t="s">
        <v>321</v>
      </c>
      <c r="D981" s="75">
        <v>2022.0</v>
      </c>
      <c r="E981" s="75">
        <v>8.60369052708821E14</v>
      </c>
      <c r="F981" s="76" t="s">
        <v>326</v>
      </c>
      <c r="G981" s="68" t="s">
        <v>328</v>
      </c>
      <c r="H981" s="69">
        <v>45658.0</v>
      </c>
      <c r="I981" s="78" t="s">
        <v>337</v>
      </c>
      <c r="J981" s="78"/>
      <c r="K981" s="79"/>
      <c r="L981" s="80"/>
      <c r="M981" s="81"/>
    </row>
    <row r="982">
      <c r="A982" s="75" t="s">
        <v>3121</v>
      </c>
      <c r="B982" s="75" t="s">
        <v>319</v>
      </c>
      <c r="C982" s="75" t="s">
        <v>321</v>
      </c>
      <c r="D982" s="75">
        <v>2022.0</v>
      </c>
      <c r="E982" s="75">
        <v>8.60369054154628E14</v>
      </c>
      <c r="F982" s="76" t="s">
        <v>326</v>
      </c>
      <c r="G982" s="68" t="s">
        <v>328</v>
      </c>
      <c r="H982" s="69">
        <v>45658.0</v>
      </c>
      <c r="I982" s="78" t="s">
        <v>337</v>
      </c>
      <c r="J982" s="78"/>
      <c r="K982" s="79"/>
      <c r="L982" s="80"/>
      <c r="M982" s="81"/>
    </row>
    <row r="983">
      <c r="A983" s="75" t="s">
        <v>3123</v>
      </c>
      <c r="B983" s="75" t="s">
        <v>319</v>
      </c>
      <c r="C983" s="75" t="s">
        <v>321</v>
      </c>
      <c r="D983" s="75">
        <v>2022.0</v>
      </c>
      <c r="E983" s="75">
        <v>8.60369052411731E14</v>
      </c>
      <c r="F983" s="76" t="s">
        <v>398</v>
      </c>
      <c r="G983" s="68" t="s">
        <v>328</v>
      </c>
      <c r="H983" s="69">
        <v>45658.0</v>
      </c>
      <c r="I983" s="78" t="s">
        <v>337</v>
      </c>
      <c r="J983" s="78"/>
      <c r="K983" s="79"/>
      <c r="L983" s="80"/>
      <c r="M983" s="81"/>
    </row>
    <row r="984">
      <c r="A984" s="75" t="s">
        <v>3124</v>
      </c>
      <c r="B984" s="75" t="s">
        <v>319</v>
      </c>
      <c r="C984" s="75" t="s">
        <v>321</v>
      </c>
      <c r="D984" s="75">
        <v>2022.0</v>
      </c>
      <c r="E984" s="75">
        <v>8.60369054160732E14</v>
      </c>
      <c r="F984" s="76" t="s">
        <v>326</v>
      </c>
      <c r="G984" s="68" t="s">
        <v>328</v>
      </c>
      <c r="H984" s="69">
        <v>45658.0</v>
      </c>
      <c r="I984" s="78" t="s">
        <v>337</v>
      </c>
      <c r="J984" s="78"/>
      <c r="K984" s="79"/>
      <c r="L984" s="80"/>
      <c r="M984" s="81"/>
    </row>
    <row r="985">
      <c r="A985" s="75" t="s">
        <v>3125</v>
      </c>
      <c r="B985" s="75" t="s">
        <v>319</v>
      </c>
      <c r="C985" s="75" t="s">
        <v>321</v>
      </c>
      <c r="D985" s="75">
        <v>2021.0</v>
      </c>
      <c r="E985" s="75">
        <v>8.60369052429667E14</v>
      </c>
      <c r="F985" s="76" t="s">
        <v>326</v>
      </c>
      <c r="G985" s="68" t="s">
        <v>328</v>
      </c>
      <c r="H985" s="69">
        <v>45658.0</v>
      </c>
      <c r="I985" s="78" t="s">
        <v>337</v>
      </c>
      <c r="J985" s="78"/>
      <c r="K985" s="79"/>
      <c r="L985" s="80"/>
      <c r="M985" s="81"/>
    </row>
    <row r="986">
      <c r="A986" s="75" t="s">
        <v>3126</v>
      </c>
      <c r="B986" s="75" t="s">
        <v>319</v>
      </c>
      <c r="C986" s="75" t="s">
        <v>321</v>
      </c>
      <c r="D986" s="75">
        <v>2021.0</v>
      </c>
      <c r="E986" s="75">
        <v>8.60369052425772E14</v>
      </c>
      <c r="F986" s="76" t="s">
        <v>326</v>
      </c>
      <c r="G986" s="68" t="s">
        <v>328</v>
      </c>
      <c r="H986" s="69">
        <v>45658.0</v>
      </c>
      <c r="I986" s="78" t="s">
        <v>337</v>
      </c>
      <c r="J986" s="78"/>
      <c r="K986" s="79"/>
      <c r="L986" s="80"/>
      <c r="M986" s="81"/>
    </row>
    <row r="987">
      <c r="A987" s="75" t="s">
        <v>3127</v>
      </c>
      <c r="B987" s="75" t="s">
        <v>319</v>
      </c>
      <c r="C987" s="75" t="s">
        <v>321</v>
      </c>
      <c r="D987" s="75">
        <v>2021.0</v>
      </c>
      <c r="E987" s="75">
        <v>8.60369054171895E14</v>
      </c>
      <c r="F987" s="76" t="s">
        <v>326</v>
      </c>
      <c r="G987" s="68" t="s">
        <v>328</v>
      </c>
      <c r="H987" s="69">
        <v>45658.0</v>
      </c>
      <c r="I987" s="78" t="s">
        <v>337</v>
      </c>
      <c r="J987" s="78"/>
      <c r="K987" s="79"/>
      <c r="L987" s="80"/>
      <c r="M987" s="81"/>
    </row>
    <row r="988">
      <c r="A988" s="75" t="s">
        <v>3128</v>
      </c>
      <c r="B988" s="75" t="s">
        <v>319</v>
      </c>
      <c r="C988" s="75" t="s">
        <v>321</v>
      </c>
      <c r="D988" s="75">
        <v>2021.0</v>
      </c>
      <c r="E988" s="75">
        <v>8.60369054154339E14</v>
      </c>
      <c r="F988" s="76" t="s">
        <v>326</v>
      </c>
      <c r="G988" s="68" t="s">
        <v>328</v>
      </c>
      <c r="H988" s="69">
        <v>45658.0</v>
      </c>
      <c r="I988" s="78" t="s">
        <v>337</v>
      </c>
      <c r="J988" s="78"/>
      <c r="K988" s="79"/>
      <c r="L988" s="80"/>
      <c r="M988" s="81"/>
    </row>
    <row r="989">
      <c r="A989" s="75" t="s">
        <v>3129</v>
      </c>
      <c r="B989" s="75" t="s">
        <v>319</v>
      </c>
      <c r="C989" s="75" t="s">
        <v>321</v>
      </c>
      <c r="D989" s="75">
        <v>2021.0</v>
      </c>
      <c r="E989" s="75">
        <v>8.60369052695416E14</v>
      </c>
      <c r="F989" s="76" t="s">
        <v>326</v>
      </c>
      <c r="G989" s="68" t="s">
        <v>328</v>
      </c>
      <c r="H989" s="69">
        <v>45658.0</v>
      </c>
      <c r="I989" s="78" t="s">
        <v>337</v>
      </c>
      <c r="J989" s="78"/>
      <c r="K989" s="79"/>
      <c r="L989" s="80"/>
      <c r="M989" s="81"/>
    </row>
    <row r="990">
      <c r="A990" s="75" t="s">
        <v>3131</v>
      </c>
      <c r="B990" s="75" t="s">
        <v>319</v>
      </c>
      <c r="C990" s="75" t="s">
        <v>321</v>
      </c>
      <c r="D990" s="75">
        <v>2022.0</v>
      </c>
      <c r="E990" s="75">
        <v>8.60369054154321E14</v>
      </c>
      <c r="F990" s="76" t="s">
        <v>326</v>
      </c>
      <c r="G990" s="68" t="s">
        <v>328</v>
      </c>
      <c r="H990" s="69">
        <v>45658.0</v>
      </c>
      <c r="I990" s="78" t="s">
        <v>337</v>
      </c>
      <c r="J990" s="78"/>
      <c r="K990" s="79"/>
      <c r="L990" s="80"/>
      <c r="M990" s="81"/>
    </row>
    <row r="991">
      <c r="A991" s="75" t="s">
        <v>3132</v>
      </c>
      <c r="B991" s="75" t="s">
        <v>319</v>
      </c>
      <c r="C991" s="75" t="s">
        <v>321</v>
      </c>
      <c r="D991" s="75">
        <v>2022.0</v>
      </c>
      <c r="E991" s="75">
        <v>8.60369054159239E14</v>
      </c>
      <c r="F991" s="76" t="s">
        <v>326</v>
      </c>
      <c r="G991" s="68" t="s">
        <v>328</v>
      </c>
      <c r="H991" s="69">
        <v>45658.0</v>
      </c>
      <c r="I991" s="78" t="s">
        <v>337</v>
      </c>
      <c r="J991" s="78"/>
      <c r="K991" s="79"/>
      <c r="L991" s="80"/>
      <c r="M991" s="81"/>
    </row>
    <row r="992">
      <c r="A992" s="75" t="s">
        <v>3133</v>
      </c>
      <c r="B992" s="75" t="s">
        <v>319</v>
      </c>
      <c r="C992" s="75" t="s">
        <v>321</v>
      </c>
      <c r="D992" s="75">
        <v>2022.0</v>
      </c>
      <c r="E992" s="75">
        <v>8.60369052695283E14</v>
      </c>
      <c r="F992" s="76" t="s">
        <v>326</v>
      </c>
      <c r="G992" s="68" t="s">
        <v>328</v>
      </c>
      <c r="H992" s="69">
        <v>45658.0</v>
      </c>
      <c r="I992" s="78" t="s">
        <v>337</v>
      </c>
      <c r="J992" s="78"/>
      <c r="K992" s="79"/>
      <c r="L992" s="80"/>
      <c r="M992" s="81"/>
    </row>
    <row r="993">
      <c r="A993" s="75" t="s">
        <v>3135</v>
      </c>
      <c r="B993" s="75" t="s">
        <v>319</v>
      </c>
      <c r="C993" s="75" t="s">
        <v>321</v>
      </c>
      <c r="D993" s="75">
        <v>2021.0</v>
      </c>
      <c r="E993" s="75">
        <v>8.60369054165392E14</v>
      </c>
      <c r="F993" s="76" t="s">
        <v>326</v>
      </c>
      <c r="G993" s="68" t="s">
        <v>328</v>
      </c>
      <c r="H993" s="69">
        <v>45658.0</v>
      </c>
      <c r="I993" s="78" t="s">
        <v>337</v>
      </c>
      <c r="J993" s="78"/>
      <c r="K993" s="79"/>
      <c r="L993" s="80"/>
      <c r="M993" s="81"/>
    </row>
    <row r="994">
      <c r="A994" s="75" t="s">
        <v>3136</v>
      </c>
      <c r="B994" s="75" t="s">
        <v>319</v>
      </c>
      <c r="C994" s="75" t="s">
        <v>321</v>
      </c>
      <c r="D994" s="75">
        <v>2021.0</v>
      </c>
      <c r="E994" s="75">
        <v>8.60369052422571E14</v>
      </c>
      <c r="F994" s="76" t="s">
        <v>326</v>
      </c>
      <c r="G994" s="68" t="s">
        <v>328</v>
      </c>
      <c r="H994" s="69">
        <v>45658.0</v>
      </c>
      <c r="I994" s="78" t="s">
        <v>337</v>
      </c>
      <c r="J994" s="78"/>
      <c r="K994" s="79"/>
      <c r="L994" s="80"/>
      <c r="M994" s="81"/>
    </row>
    <row r="995">
      <c r="A995" s="75" t="s">
        <v>3137</v>
      </c>
      <c r="B995" s="75" t="s">
        <v>319</v>
      </c>
      <c r="C995" s="75" t="s">
        <v>321</v>
      </c>
      <c r="D995" s="75">
        <v>2021.0</v>
      </c>
      <c r="E995" s="75">
        <v>8.60369052695606E14</v>
      </c>
      <c r="F995" s="76" t="s">
        <v>326</v>
      </c>
      <c r="G995" s="68" t="s">
        <v>328</v>
      </c>
      <c r="H995" s="69">
        <v>45658.0</v>
      </c>
      <c r="I995" s="78" t="s">
        <v>337</v>
      </c>
      <c r="J995" s="78"/>
      <c r="K995" s="79"/>
      <c r="L995" s="80"/>
      <c r="M995" s="81"/>
    </row>
    <row r="996">
      <c r="A996" s="75" t="s">
        <v>3138</v>
      </c>
      <c r="B996" s="75" t="s">
        <v>319</v>
      </c>
      <c r="C996" s="75" t="s">
        <v>321</v>
      </c>
      <c r="D996" s="75">
        <v>2021.0</v>
      </c>
      <c r="E996" s="75">
        <v>8.60369054154065E14</v>
      </c>
      <c r="F996" s="76" t="s">
        <v>326</v>
      </c>
      <c r="G996" s="68" t="s">
        <v>328</v>
      </c>
      <c r="H996" s="69">
        <v>45658.0</v>
      </c>
      <c r="I996" s="78" t="s">
        <v>337</v>
      </c>
      <c r="J996" s="78"/>
      <c r="K996" s="79"/>
      <c r="L996" s="80"/>
      <c r="M996" s="81"/>
    </row>
    <row r="997">
      <c r="A997" s="75" t="s">
        <v>3140</v>
      </c>
      <c r="B997" s="75" t="s">
        <v>319</v>
      </c>
      <c r="C997" s="75" t="s">
        <v>321</v>
      </c>
      <c r="D997" s="75">
        <v>2021.0</v>
      </c>
      <c r="E997" s="75">
        <v>8.60369054160286E14</v>
      </c>
      <c r="F997" s="76" t="s">
        <v>326</v>
      </c>
      <c r="G997" s="68" t="s">
        <v>328</v>
      </c>
      <c r="H997" s="69">
        <v>45658.0</v>
      </c>
      <c r="I997" s="78" t="s">
        <v>337</v>
      </c>
      <c r="J997" s="78"/>
      <c r="K997" s="79"/>
      <c r="L997" s="80"/>
      <c r="M997" s="81"/>
    </row>
    <row r="998">
      <c r="A998" s="75" t="s">
        <v>3141</v>
      </c>
      <c r="B998" s="75" t="s">
        <v>319</v>
      </c>
      <c r="C998" s="75" t="s">
        <v>321</v>
      </c>
      <c r="D998" s="75">
        <v>2021.0</v>
      </c>
      <c r="E998" s="75">
        <v>8.6036905417403E14</v>
      </c>
      <c r="F998" s="76" t="s">
        <v>326</v>
      </c>
      <c r="G998" s="68" t="s">
        <v>328</v>
      </c>
      <c r="H998" s="69">
        <v>45658.0</v>
      </c>
      <c r="I998" s="78" t="s">
        <v>1240</v>
      </c>
      <c r="J998" s="78"/>
      <c r="K998" s="79"/>
      <c r="L998" s="80"/>
      <c r="M998" s="81"/>
    </row>
    <row r="999">
      <c r="A999" s="75" t="s">
        <v>3142</v>
      </c>
      <c r="B999" s="75" t="s">
        <v>319</v>
      </c>
      <c r="C999" s="75" t="s">
        <v>321</v>
      </c>
      <c r="D999" s="75">
        <v>2021.0</v>
      </c>
      <c r="E999" s="75">
        <v>8.60369052429733E14</v>
      </c>
      <c r="F999" s="76" t="s">
        <v>326</v>
      </c>
      <c r="G999" s="68" t="s">
        <v>328</v>
      </c>
      <c r="H999" s="69">
        <v>45658.0</v>
      </c>
      <c r="I999" s="78" t="s">
        <v>337</v>
      </c>
      <c r="J999" s="78"/>
      <c r="K999" s="79"/>
      <c r="L999" s="80"/>
      <c r="M999" s="81"/>
    </row>
    <row r="1000">
      <c r="A1000" s="75" t="s">
        <v>3144</v>
      </c>
      <c r="B1000" s="75" t="s">
        <v>319</v>
      </c>
      <c r="C1000" s="75" t="s">
        <v>723</v>
      </c>
      <c r="D1000" s="75">
        <v>2022.0</v>
      </c>
      <c r="E1000" s="75">
        <v>8.60369054178726E14</v>
      </c>
      <c r="F1000" s="76" t="s">
        <v>326</v>
      </c>
      <c r="G1000" s="68" t="s">
        <v>328</v>
      </c>
      <c r="H1000" s="69">
        <v>45658.0</v>
      </c>
      <c r="I1000" s="78" t="s">
        <v>337</v>
      </c>
      <c r="J1000" s="78"/>
      <c r="K1000" s="79"/>
      <c r="L1000" s="80"/>
      <c r="M1000" s="81"/>
    </row>
    <row r="1001">
      <c r="A1001" s="75" t="s">
        <v>3146</v>
      </c>
      <c r="B1001" s="75" t="s">
        <v>319</v>
      </c>
      <c r="C1001" s="75" t="s">
        <v>723</v>
      </c>
      <c r="D1001" s="75">
        <v>2022.0</v>
      </c>
      <c r="E1001" s="75">
        <v>8.60369052142179E14</v>
      </c>
      <c r="F1001" s="76" t="s">
        <v>326</v>
      </c>
      <c r="G1001" s="68" t="s">
        <v>328</v>
      </c>
      <c r="H1001" s="69">
        <v>45658.0</v>
      </c>
      <c r="I1001" s="78" t="s">
        <v>337</v>
      </c>
      <c r="J1001" s="78"/>
      <c r="K1001" s="79"/>
      <c r="L1001" s="80"/>
      <c r="M1001" s="81"/>
    </row>
    <row r="1002">
      <c r="A1002" s="75" t="s">
        <v>3147</v>
      </c>
      <c r="B1002" s="75" t="s">
        <v>319</v>
      </c>
      <c r="C1002" s="75" t="s">
        <v>723</v>
      </c>
      <c r="D1002" s="75">
        <v>2022.0</v>
      </c>
      <c r="E1002" s="75">
        <v>8.60369054188501E14</v>
      </c>
      <c r="F1002" s="76" t="s">
        <v>326</v>
      </c>
      <c r="G1002" s="68" t="s">
        <v>328</v>
      </c>
      <c r="H1002" s="69">
        <v>45658.0</v>
      </c>
      <c r="I1002" s="78" t="s">
        <v>337</v>
      </c>
      <c r="J1002" s="78"/>
      <c r="K1002" s="79"/>
      <c r="L1002" s="80"/>
      <c r="M1002" s="81"/>
    </row>
    <row r="1003">
      <c r="A1003" s="75" t="s">
        <v>3148</v>
      </c>
      <c r="B1003" s="75" t="s">
        <v>319</v>
      </c>
      <c r="C1003" s="75" t="s">
        <v>723</v>
      </c>
      <c r="D1003" s="75">
        <v>2022.0</v>
      </c>
      <c r="E1003" s="75">
        <v>8.6036905214311E14</v>
      </c>
      <c r="F1003" s="76" t="s">
        <v>398</v>
      </c>
      <c r="G1003" s="68" t="s">
        <v>328</v>
      </c>
      <c r="H1003" s="69">
        <v>45658.0</v>
      </c>
      <c r="I1003" s="78" t="s">
        <v>337</v>
      </c>
      <c r="J1003" s="78"/>
      <c r="K1003" s="79"/>
      <c r="L1003" s="80"/>
      <c r="M1003" s="81"/>
    </row>
    <row r="1004">
      <c r="A1004" s="75" t="s">
        <v>3149</v>
      </c>
      <c r="B1004" s="75" t="s">
        <v>389</v>
      </c>
      <c r="C1004" s="75" t="s">
        <v>1292</v>
      </c>
      <c r="D1004" s="75">
        <v>2023.0</v>
      </c>
      <c r="E1004" s="75">
        <v>8.6036905246152E14</v>
      </c>
      <c r="F1004" s="76" t="s">
        <v>398</v>
      </c>
      <c r="G1004" s="68" t="s">
        <v>328</v>
      </c>
      <c r="H1004" s="69">
        <v>45658.0</v>
      </c>
      <c r="I1004" s="78" t="s">
        <v>337</v>
      </c>
      <c r="J1004" s="78"/>
      <c r="K1004" s="79"/>
      <c r="L1004" s="80"/>
      <c r="M1004" s="81"/>
    </row>
    <row r="1005">
      <c r="A1005" s="75" t="s">
        <v>3150</v>
      </c>
      <c r="B1005" s="75" t="s">
        <v>389</v>
      </c>
      <c r="C1005" s="75" t="s">
        <v>1292</v>
      </c>
      <c r="D1005" s="75">
        <v>2023.0</v>
      </c>
      <c r="E1005" s="75">
        <v>8.60369052168513E14</v>
      </c>
      <c r="F1005" s="76" t="s">
        <v>398</v>
      </c>
      <c r="G1005" s="68" t="s">
        <v>328</v>
      </c>
      <c r="H1005" s="69">
        <v>45658.0</v>
      </c>
      <c r="I1005" s="78" t="s">
        <v>337</v>
      </c>
      <c r="J1005" s="78"/>
      <c r="K1005" s="79"/>
      <c r="L1005" s="80"/>
      <c r="M1005" s="81"/>
    </row>
    <row r="1006">
      <c r="A1006" s="75" t="s">
        <v>3152</v>
      </c>
      <c r="B1006" s="75" t="s">
        <v>389</v>
      </c>
      <c r="C1006" s="75" t="s">
        <v>1292</v>
      </c>
      <c r="D1006" s="75">
        <v>2023.0</v>
      </c>
      <c r="E1006" s="75">
        <v>8.6036905240503E14</v>
      </c>
      <c r="F1006" s="76" t="s">
        <v>398</v>
      </c>
      <c r="G1006" s="68" t="s">
        <v>328</v>
      </c>
      <c r="H1006" s="69">
        <v>45658.0</v>
      </c>
      <c r="I1006" s="78" t="s">
        <v>337</v>
      </c>
      <c r="J1006" s="78"/>
      <c r="K1006" s="79"/>
      <c r="L1006" s="80"/>
      <c r="M1006" s="81"/>
    </row>
    <row r="1007">
      <c r="A1007" s="75" t="s">
        <v>3153</v>
      </c>
      <c r="B1007" s="75" t="s">
        <v>389</v>
      </c>
      <c r="C1007" s="75" t="s">
        <v>1292</v>
      </c>
      <c r="D1007" s="75">
        <v>2023.0</v>
      </c>
      <c r="E1007" s="75">
        <v>8.60369052410766E14</v>
      </c>
      <c r="F1007" s="76" t="s">
        <v>398</v>
      </c>
      <c r="G1007" s="68" t="s">
        <v>328</v>
      </c>
      <c r="H1007" s="69">
        <v>45658.0</v>
      </c>
      <c r="I1007" s="78" t="s">
        <v>337</v>
      </c>
      <c r="J1007" s="78"/>
      <c r="K1007" s="79"/>
      <c r="L1007" s="80"/>
      <c r="M1007" s="81"/>
    </row>
    <row r="1008">
      <c r="A1008" s="75" t="s">
        <v>3154</v>
      </c>
      <c r="B1008" s="75" t="s">
        <v>389</v>
      </c>
      <c r="C1008" s="75" t="s">
        <v>1292</v>
      </c>
      <c r="D1008" s="75">
        <v>2023.0</v>
      </c>
      <c r="E1008" s="75">
        <v>8.60369052118385E14</v>
      </c>
      <c r="F1008" s="76" t="s">
        <v>398</v>
      </c>
      <c r="G1008" s="68" t="s">
        <v>328</v>
      </c>
      <c r="H1008" s="69">
        <v>45658.0</v>
      </c>
      <c r="I1008" s="78" t="s">
        <v>337</v>
      </c>
      <c r="J1008" s="78"/>
      <c r="K1008" s="79"/>
      <c r="L1008" s="80"/>
      <c r="M1008" s="81"/>
    </row>
    <row r="1009">
      <c r="A1009" s="75" t="s">
        <v>3155</v>
      </c>
      <c r="B1009" s="75" t="s">
        <v>389</v>
      </c>
      <c r="C1009" s="75" t="s">
        <v>1292</v>
      </c>
      <c r="D1009" s="75">
        <v>2023.0</v>
      </c>
      <c r="E1009" s="75">
        <v>8.60369052143821E14</v>
      </c>
      <c r="F1009" s="76" t="s">
        <v>398</v>
      </c>
      <c r="G1009" s="68" t="s">
        <v>328</v>
      </c>
      <c r="H1009" s="69">
        <v>45658.0</v>
      </c>
      <c r="I1009" s="78" t="s">
        <v>337</v>
      </c>
      <c r="J1009" s="78"/>
      <c r="K1009" s="79"/>
      <c r="L1009" s="80"/>
      <c r="M1009" s="81"/>
    </row>
    <row r="1010">
      <c r="A1010" s="75" t="s">
        <v>3157</v>
      </c>
      <c r="B1010" s="75" t="s">
        <v>389</v>
      </c>
      <c r="C1010" s="75" t="s">
        <v>1292</v>
      </c>
      <c r="D1010" s="75">
        <v>2023.0</v>
      </c>
      <c r="E1010" s="75">
        <v>8.60369052457106E14</v>
      </c>
      <c r="F1010" s="76" t="s">
        <v>398</v>
      </c>
      <c r="G1010" s="68" t="s">
        <v>328</v>
      </c>
      <c r="H1010" s="69">
        <v>45658.0</v>
      </c>
      <c r="I1010" s="78" t="s">
        <v>337</v>
      </c>
      <c r="J1010" s="78"/>
      <c r="K1010" s="79"/>
      <c r="L1010" s="80"/>
      <c r="M1010" s="81"/>
    </row>
    <row r="1011">
      <c r="A1011" s="75" t="s">
        <v>3158</v>
      </c>
      <c r="B1011" s="75" t="s">
        <v>389</v>
      </c>
      <c r="C1011" s="75" t="s">
        <v>1292</v>
      </c>
      <c r="D1011" s="75">
        <v>2023.0</v>
      </c>
      <c r="E1011" s="75">
        <v>8.60369052157458E14</v>
      </c>
      <c r="F1011" s="76" t="s">
        <v>398</v>
      </c>
      <c r="G1011" s="68" t="s">
        <v>328</v>
      </c>
      <c r="H1011" s="69">
        <v>45658.0</v>
      </c>
      <c r="I1011" s="78" t="s">
        <v>337</v>
      </c>
      <c r="J1011" s="78"/>
      <c r="K1011" s="79"/>
      <c r="L1011" s="80"/>
      <c r="M1011" s="81"/>
    </row>
    <row r="1012">
      <c r="A1012" s="75" t="s">
        <v>3159</v>
      </c>
      <c r="B1012" s="75" t="s">
        <v>389</v>
      </c>
      <c r="C1012" s="75" t="s">
        <v>1292</v>
      </c>
      <c r="D1012" s="75">
        <v>2023.0</v>
      </c>
      <c r="E1012" s="75">
        <v>8.60369052471065E14</v>
      </c>
      <c r="F1012" s="76" t="s">
        <v>398</v>
      </c>
      <c r="G1012" s="68" t="s">
        <v>328</v>
      </c>
      <c r="H1012" s="69">
        <v>45658.0</v>
      </c>
      <c r="I1012" s="78" t="s">
        <v>337</v>
      </c>
      <c r="J1012" s="78"/>
      <c r="K1012" s="79"/>
      <c r="L1012" s="80"/>
      <c r="M1012" s="81"/>
    </row>
    <row r="1013">
      <c r="A1013" s="75" t="s">
        <v>3160</v>
      </c>
      <c r="B1013" s="75" t="s">
        <v>389</v>
      </c>
      <c r="C1013" s="75" t="s">
        <v>1292</v>
      </c>
      <c r="D1013" s="75">
        <v>2023.0</v>
      </c>
      <c r="E1013" s="75">
        <v>8.60369052157656E14</v>
      </c>
      <c r="F1013" s="76" t="s">
        <v>398</v>
      </c>
      <c r="G1013" s="68" t="s">
        <v>328</v>
      </c>
      <c r="H1013" s="69">
        <v>45658.0</v>
      </c>
      <c r="I1013" s="78" t="s">
        <v>337</v>
      </c>
      <c r="J1013" s="78"/>
      <c r="K1013" s="79"/>
      <c r="L1013" s="80"/>
      <c r="M1013" s="81"/>
    </row>
    <row r="1014">
      <c r="A1014" s="75" t="s">
        <v>3162</v>
      </c>
      <c r="B1014" s="75" t="s">
        <v>389</v>
      </c>
      <c r="C1014" s="75" t="s">
        <v>1292</v>
      </c>
      <c r="D1014" s="75">
        <v>2023.0</v>
      </c>
      <c r="E1014" s="75">
        <v>8.60369052470778E14</v>
      </c>
      <c r="F1014" s="76" t="s">
        <v>398</v>
      </c>
      <c r="G1014" s="68" t="s">
        <v>328</v>
      </c>
      <c r="H1014" s="69">
        <v>45658.0</v>
      </c>
      <c r="I1014" s="78" t="s">
        <v>337</v>
      </c>
      <c r="J1014" s="78"/>
      <c r="K1014" s="79"/>
      <c r="L1014" s="80"/>
      <c r="M1014" s="81"/>
    </row>
    <row r="1015">
      <c r="A1015" s="75" t="s">
        <v>3163</v>
      </c>
      <c r="B1015" s="75" t="s">
        <v>389</v>
      </c>
      <c r="C1015" s="75" t="s">
        <v>1292</v>
      </c>
      <c r="D1015" s="75">
        <v>2023.0</v>
      </c>
      <c r="E1015" s="75">
        <v>8.60369052156435E14</v>
      </c>
      <c r="F1015" s="76" t="s">
        <v>398</v>
      </c>
      <c r="G1015" s="68" t="s">
        <v>328</v>
      </c>
      <c r="H1015" s="69">
        <v>45658.0</v>
      </c>
      <c r="I1015" s="78" t="s">
        <v>337</v>
      </c>
      <c r="J1015" s="78"/>
      <c r="K1015" s="79"/>
      <c r="L1015" s="80"/>
      <c r="M1015" s="81"/>
    </row>
    <row r="1016">
      <c r="A1016" s="75" t="s">
        <v>3164</v>
      </c>
      <c r="B1016" s="75" t="s">
        <v>389</v>
      </c>
      <c r="C1016" s="75" t="s">
        <v>1292</v>
      </c>
      <c r="D1016" s="75">
        <v>2023.0</v>
      </c>
      <c r="E1016" s="75">
        <v>8.60369052114426E14</v>
      </c>
      <c r="F1016" s="76" t="s">
        <v>398</v>
      </c>
      <c r="G1016" s="68" t="s">
        <v>328</v>
      </c>
      <c r="H1016" s="69">
        <v>45658.0</v>
      </c>
      <c r="I1016" s="78" t="s">
        <v>337</v>
      </c>
      <c r="J1016" s="78"/>
      <c r="K1016" s="79"/>
      <c r="L1016" s="80"/>
      <c r="M1016" s="81"/>
    </row>
    <row r="1017">
      <c r="A1017" s="75" t="s">
        <v>3165</v>
      </c>
      <c r="B1017" s="75" t="s">
        <v>389</v>
      </c>
      <c r="C1017" s="75" t="s">
        <v>1292</v>
      </c>
      <c r="D1017" s="75">
        <v>2023.0</v>
      </c>
      <c r="E1017" s="75">
        <v>8.60369052143532E14</v>
      </c>
      <c r="F1017" s="76" t="s">
        <v>398</v>
      </c>
      <c r="G1017" s="68" t="s">
        <v>328</v>
      </c>
      <c r="H1017" s="69">
        <v>45658.0</v>
      </c>
      <c r="I1017" s="78" t="s">
        <v>337</v>
      </c>
      <c r="J1017" s="78"/>
      <c r="K1017" s="79"/>
      <c r="L1017" s="80"/>
      <c r="M1017" s="81"/>
    </row>
    <row r="1018">
      <c r="A1018" s="75" t="s">
        <v>3166</v>
      </c>
      <c r="B1018" s="75" t="s">
        <v>389</v>
      </c>
      <c r="C1018" s="75" t="s">
        <v>1292</v>
      </c>
      <c r="D1018" s="75">
        <v>2023.0</v>
      </c>
      <c r="E1018" s="75">
        <v>8.6036905240678E14</v>
      </c>
      <c r="F1018" s="76" t="s">
        <v>398</v>
      </c>
      <c r="G1018" s="68" t="s">
        <v>328</v>
      </c>
      <c r="H1018" s="69">
        <v>45658.0</v>
      </c>
      <c r="I1018" s="78" t="s">
        <v>337</v>
      </c>
      <c r="J1018" s="78"/>
      <c r="K1018" s="79"/>
      <c r="L1018" s="80"/>
      <c r="M1018" s="81"/>
    </row>
    <row r="1019">
      <c r="A1019" s="75" t="s">
        <v>3167</v>
      </c>
      <c r="B1019" s="75" t="s">
        <v>389</v>
      </c>
      <c r="C1019" s="75" t="s">
        <v>1292</v>
      </c>
      <c r="D1019" s="75">
        <v>2023.0</v>
      </c>
      <c r="E1019" s="75">
        <v>8.60369052137104E14</v>
      </c>
      <c r="F1019" s="76" t="s">
        <v>398</v>
      </c>
      <c r="G1019" s="68" t="s">
        <v>328</v>
      </c>
      <c r="H1019" s="69">
        <v>45658.0</v>
      </c>
      <c r="I1019" s="78" t="s">
        <v>337</v>
      </c>
      <c r="J1019" s="78"/>
      <c r="K1019" s="79"/>
      <c r="L1019" s="80"/>
      <c r="M1019" s="81"/>
    </row>
    <row r="1020">
      <c r="A1020" s="75" t="s">
        <v>3168</v>
      </c>
      <c r="B1020" s="75" t="s">
        <v>389</v>
      </c>
      <c r="C1020" s="75" t="s">
        <v>1292</v>
      </c>
      <c r="D1020" s="75">
        <v>2023.0</v>
      </c>
      <c r="E1020" s="75">
        <v>8.60369052171244E14</v>
      </c>
      <c r="F1020" s="76" t="s">
        <v>398</v>
      </c>
      <c r="G1020" s="68" t="s">
        <v>328</v>
      </c>
      <c r="H1020" s="69">
        <v>45658.0</v>
      </c>
      <c r="I1020" s="78" t="s">
        <v>337</v>
      </c>
      <c r="J1020" s="78"/>
      <c r="K1020" s="79"/>
      <c r="L1020" s="80"/>
      <c r="M1020" s="81"/>
    </row>
    <row r="1021">
      <c r="A1021" s="75" t="s">
        <v>3169</v>
      </c>
      <c r="B1021" s="75" t="s">
        <v>389</v>
      </c>
      <c r="C1021" s="75" t="s">
        <v>1292</v>
      </c>
      <c r="D1021" s="75">
        <v>2023.0</v>
      </c>
      <c r="E1021" s="75">
        <v>8.60369052171483E14</v>
      </c>
      <c r="F1021" s="76" t="s">
        <v>398</v>
      </c>
      <c r="G1021" s="68" t="s">
        <v>328</v>
      </c>
      <c r="H1021" s="69">
        <v>45658.0</v>
      </c>
      <c r="I1021" s="78" t="s">
        <v>337</v>
      </c>
      <c r="J1021" s="78"/>
      <c r="K1021" s="79"/>
      <c r="L1021" s="80"/>
      <c r="M1021" s="81"/>
    </row>
    <row r="1022">
      <c r="A1022" s="75" t="s">
        <v>3170</v>
      </c>
      <c r="B1022" s="75" t="s">
        <v>389</v>
      </c>
      <c r="C1022" s="75" t="s">
        <v>1292</v>
      </c>
      <c r="D1022" s="75">
        <v>2023.0</v>
      </c>
      <c r="E1022" s="75">
        <v>8.60369052155569E14</v>
      </c>
      <c r="F1022" s="76" t="s">
        <v>398</v>
      </c>
      <c r="G1022" s="68" t="s">
        <v>328</v>
      </c>
      <c r="H1022" s="69">
        <v>45658.0</v>
      </c>
      <c r="I1022" s="78" t="s">
        <v>337</v>
      </c>
      <c r="J1022" s="78"/>
      <c r="K1022" s="79"/>
      <c r="L1022" s="80"/>
      <c r="M1022" s="81"/>
    </row>
    <row r="1023">
      <c r="A1023" s="75" t="s">
        <v>3172</v>
      </c>
      <c r="B1023" s="75" t="s">
        <v>319</v>
      </c>
      <c r="C1023" s="75" t="s">
        <v>723</v>
      </c>
      <c r="D1023" s="75">
        <v>2023.0</v>
      </c>
      <c r="E1023" s="75">
        <v>8.60369054184039E14</v>
      </c>
      <c r="F1023" s="76" t="s">
        <v>326</v>
      </c>
      <c r="G1023" s="68" t="s">
        <v>328</v>
      </c>
      <c r="H1023" s="69">
        <v>45658.0</v>
      </c>
      <c r="I1023" s="78" t="s">
        <v>337</v>
      </c>
      <c r="J1023" s="78"/>
      <c r="K1023" s="79"/>
      <c r="L1023" s="80"/>
      <c r="M1023" s="81"/>
    </row>
    <row r="1024">
      <c r="A1024" s="75" t="s">
        <v>3173</v>
      </c>
      <c r="B1024" s="75" t="s">
        <v>389</v>
      </c>
      <c r="C1024" s="75" t="s">
        <v>1292</v>
      </c>
      <c r="D1024" s="75">
        <v>2023.0</v>
      </c>
      <c r="E1024" s="75">
        <v>8.60369052121066E14</v>
      </c>
      <c r="F1024" s="76" t="s">
        <v>398</v>
      </c>
      <c r="G1024" s="68" t="s">
        <v>328</v>
      </c>
      <c r="H1024" s="69">
        <v>45658.0</v>
      </c>
      <c r="I1024" s="78" t="s">
        <v>337</v>
      </c>
      <c r="J1024" s="78"/>
      <c r="K1024" s="79"/>
      <c r="L1024" s="80"/>
      <c r="M1024" s="81"/>
    </row>
    <row r="1025">
      <c r="A1025" s="75" t="s">
        <v>3174</v>
      </c>
      <c r="B1025" s="75" t="s">
        <v>389</v>
      </c>
      <c r="C1025" s="75" t="s">
        <v>1292</v>
      </c>
      <c r="D1025" s="75">
        <v>2023.0</v>
      </c>
      <c r="E1025" s="75">
        <v>8.60369052142781E14</v>
      </c>
      <c r="F1025" s="76" t="s">
        <v>398</v>
      </c>
      <c r="G1025" s="68" t="s">
        <v>328</v>
      </c>
      <c r="H1025" s="69">
        <v>45658.0</v>
      </c>
      <c r="I1025" s="78" t="s">
        <v>337</v>
      </c>
      <c r="J1025" s="78"/>
      <c r="K1025" s="79"/>
      <c r="L1025" s="80"/>
      <c r="M1025" s="81"/>
    </row>
    <row r="1026">
      <c r="A1026" s="75" t="s">
        <v>3175</v>
      </c>
      <c r="B1026" s="75" t="s">
        <v>389</v>
      </c>
      <c r="C1026" s="75" t="s">
        <v>1292</v>
      </c>
      <c r="D1026" s="75">
        <v>2023.0</v>
      </c>
      <c r="E1026" s="75">
        <v>8.60369054156433E14</v>
      </c>
      <c r="F1026" s="76" t="s">
        <v>326</v>
      </c>
      <c r="G1026" s="68" t="s">
        <v>328</v>
      </c>
      <c r="H1026" s="69">
        <v>45658.0</v>
      </c>
      <c r="I1026" s="78" t="s">
        <v>337</v>
      </c>
      <c r="J1026" s="78"/>
      <c r="K1026" s="79"/>
      <c r="L1026" s="80"/>
      <c r="M1026" s="81"/>
    </row>
    <row r="1027">
      <c r="A1027" s="75" t="s">
        <v>3176</v>
      </c>
      <c r="B1027" s="75" t="s">
        <v>389</v>
      </c>
      <c r="C1027" s="75" t="s">
        <v>1292</v>
      </c>
      <c r="D1027" s="75">
        <v>2023.0</v>
      </c>
      <c r="E1027" s="75">
        <v>8.603690521425E14</v>
      </c>
      <c r="F1027" s="76" t="s">
        <v>398</v>
      </c>
      <c r="G1027" s="68" t="s">
        <v>328</v>
      </c>
      <c r="H1027" s="69">
        <v>45658.0</v>
      </c>
      <c r="I1027" s="78" t="s">
        <v>337</v>
      </c>
      <c r="J1027" s="78"/>
      <c r="K1027" s="79"/>
      <c r="L1027" s="80"/>
      <c r="M1027" s="81"/>
    </row>
    <row r="1028">
      <c r="A1028" s="75" t="s">
        <v>3177</v>
      </c>
      <c r="B1028" s="75" t="s">
        <v>389</v>
      </c>
      <c r="C1028" s="75" t="s">
        <v>1292</v>
      </c>
      <c r="D1028" s="75">
        <v>2023.0</v>
      </c>
      <c r="E1028" s="75">
        <v>8.60369052117866E14</v>
      </c>
      <c r="F1028" s="76" t="s">
        <v>398</v>
      </c>
      <c r="G1028" s="68" t="s">
        <v>328</v>
      </c>
      <c r="H1028" s="69">
        <v>45658.0</v>
      </c>
      <c r="I1028" s="78" t="s">
        <v>337</v>
      </c>
      <c r="J1028" s="78"/>
      <c r="K1028" s="79"/>
      <c r="L1028" s="80"/>
      <c r="M1028" s="81"/>
    </row>
    <row r="1029">
      <c r="A1029" s="75" t="s">
        <v>3178</v>
      </c>
      <c r="B1029" s="75" t="s">
        <v>389</v>
      </c>
      <c r="C1029" s="75" t="s">
        <v>1292</v>
      </c>
      <c r="D1029" s="75">
        <v>2023.0</v>
      </c>
      <c r="E1029" s="75">
        <v>8.60369052470844E14</v>
      </c>
      <c r="F1029" s="76" t="s">
        <v>398</v>
      </c>
      <c r="G1029" s="68" t="s">
        <v>328</v>
      </c>
      <c r="H1029" s="69">
        <v>45658.0</v>
      </c>
      <c r="I1029" s="78" t="s">
        <v>337</v>
      </c>
      <c r="J1029" s="78"/>
      <c r="K1029" s="79"/>
      <c r="L1029" s="80"/>
      <c r="M1029" s="81"/>
    </row>
    <row r="1030">
      <c r="A1030" s="75" t="s">
        <v>3179</v>
      </c>
      <c r="B1030" s="75" t="s">
        <v>389</v>
      </c>
      <c r="C1030" s="75" t="s">
        <v>1292</v>
      </c>
      <c r="D1030" s="75">
        <v>2023.0</v>
      </c>
      <c r="E1030" s="75">
        <v>8.60369052470745E14</v>
      </c>
      <c r="F1030" s="76" t="s">
        <v>398</v>
      </c>
      <c r="G1030" s="68" t="s">
        <v>328</v>
      </c>
      <c r="H1030" s="69">
        <v>45658.0</v>
      </c>
      <c r="I1030" s="78" t="s">
        <v>337</v>
      </c>
      <c r="J1030" s="78"/>
      <c r="K1030" s="79"/>
      <c r="L1030" s="80"/>
      <c r="M1030" s="81"/>
    </row>
    <row r="1031">
      <c r="A1031" s="75" t="s">
        <v>3180</v>
      </c>
      <c r="B1031" s="75" t="s">
        <v>389</v>
      </c>
      <c r="C1031" s="75" t="s">
        <v>1292</v>
      </c>
      <c r="D1031" s="75">
        <v>2023.0</v>
      </c>
      <c r="E1031" s="75">
        <v>8.60369052406343E14</v>
      </c>
      <c r="F1031" s="76" t="s">
        <v>398</v>
      </c>
      <c r="G1031" s="68" t="s">
        <v>328</v>
      </c>
      <c r="H1031" s="69">
        <v>45658.0</v>
      </c>
      <c r="I1031" s="78" t="s">
        <v>337</v>
      </c>
      <c r="J1031" s="78"/>
      <c r="K1031" s="79"/>
      <c r="L1031" s="80"/>
      <c r="M1031" s="81"/>
    </row>
    <row r="1032">
      <c r="A1032" s="75" t="s">
        <v>3181</v>
      </c>
      <c r="B1032" s="75" t="s">
        <v>389</v>
      </c>
      <c r="C1032" s="75" t="s">
        <v>1292</v>
      </c>
      <c r="D1032" s="75">
        <v>2023.0</v>
      </c>
      <c r="E1032" s="75">
        <v>8.60369052411061E14</v>
      </c>
      <c r="F1032" s="76" t="s">
        <v>398</v>
      </c>
      <c r="G1032" s="68" t="s">
        <v>328</v>
      </c>
      <c r="H1032" s="69">
        <v>45658.0</v>
      </c>
      <c r="I1032" s="78" t="s">
        <v>337</v>
      </c>
      <c r="J1032" s="78"/>
      <c r="K1032" s="79"/>
      <c r="L1032" s="80"/>
      <c r="M1032" s="81"/>
    </row>
    <row r="1033">
      <c r="A1033" s="75" t="s">
        <v>3182</v>
      </c>
      <c r="B1033" s="75" t="s">
        <v>389</v>
      </c>
      <c r="C1033" s="75" t="s">
        <v>1292</v>
      </c>
      <c r="D1033" s="75">
        <v>2023.0</v>
      </c>
      <c r="E1033" s="75">
        <v>8.60369052157375E14</v>
      </c>
      <c r="F1033" s="76" t="s">
        <v>398</v>
      </c>
      <c r="G1033" s="68" t="s">
        <v>328</v>
      </c>
      <c r="H1033" s="69">
        <v>45658.0</v>
      </c>
      <c r="I1033" s="78" t="s">
        <v>337</v>
      </c>
      <c r="J1033" s="78"/>
      <c r="K1033" s="79"/>
      <c r="L1033" s="80"/>
      <c r="M1033" s="81"/>
    </row>
    <row r="1034">
      <c r="A1034" s="75" t="s">
        <v>3183</v>
      </c>
      <c r="B1034" s="75" t="s">
        <v>389</v>
      </c>
      <c r="C1034" s="75" t="s">
        <v>1292</v>
      </c>
      <c r="D1034" s="75">
        <v>2023.0</v>
      </c>
      <c r="E1034" s="75">
        <v>8.60369052148077E14</v>
      </c>
      <c r="F1034" s="76" t="s">
        <v>398</v>
      </c>
      <c r="G1034" s="68" t="s">
        <v>328</v>
      </c>
      <c r="H1034" s="69">
        <v>45658.0</v>
      </c>
      <c r="I1034" s="78" t="s">
        <v>337</v>
      </c>
      <c r="J1034" s="78"/>
      <c r="K1034" s="79"/>
      <c r="L1034" s="80"/>
      <c r="M1034" s="81"/>
    </row>
    <row r="1035">
      <c r="A1035" s="75" t="s">
        <v>3184</v>
      </c>
      <c r="B1035" s="75" t="s">
        <v>389</v>
      </c>
      <c r="C1035" s="75" t="s">
        <v>1292</v>
      </c>
      <c r="D1035" s="75">
        <v>2023.0</v>
      </c>
      <c r="E1035" s="75">
        <v>8.60369052169149E14</v>
      </c>
      <c r="F1035" s="76" t="s">
        <v>398</v>
      </c>
      <c r="G1035" s="68" t="s">
        <v>328</v>
      </c>
      <c r="H1035" s="69">
        <v>45658.0</v>
      </c>
      <c r="I1035" s="78" t="s">
        <v>337</v>
      </c>
      <c r="J1035" s="78"/>
      <c r="K1035" s="79"/>
      <c r="L1035" s="80"/>
      <c r="M1035" s="81"/>
    </row>
    <row r="1036">
      <c r="A1036" s="75" t="s">
        <v>3185</v>
      </c>
      <c r="B1036" s="75" t="s">
        <v>389</v>
      </c>
      <c r="C1036" s="75" t="s">
        <v>1292</v>
      </c>
      <c r="D1036" s="75">
        <v>2023.0</v>
      </c>
      <c r="E1036" s="75">
        <v>8.6036905210558E14</v>
      </c>
      <c r="F1036" s="76" t="s">
        <v>398</v>
      </c>
      <c r="G1036" s="68" t="s">
        <v>328</v>
      </c>
      <c r="H1036" s="69">
        <v>45658.0</v>
      </c>
      <c r="I1036" s="78" t="s">
        <v>337</v>
      </c>
      <c r="J1036" s="78"/>
      <c r="K1036" s="79"/>
      <c r="L1036" s="80"/>
      <c r="M1036" s="81"/>
    </row>
    <row r="1037">
      <c r="A1037" s="75" t="s">
        <v>3187</v>
      </c>
      <c r="B1037" s="75" t="s">
        <v>389</v>
      </c>
      <c r="C1037" s="75" t="s">
        <v>1292</v>
      </c>
      <c r="D1037" s="75">
        <v>2023.0</v>
      </c>
      <c r="E1037" s="75">
        <v>8.60369052406681E14</v>
      </c>
      <c r="F1037" s="76" t="s">
        <v>398</v>
      </c>
      <c r="G1037" s="68" t="s">
        <v>328</v>
      </c>
      <c r="H1037" s="69">
        <v>45658.0</v>
      </c>
      <c r="I1037" s="78" t="s">
        <v>337</v>
      </c>
      <c r="J1037" s="78"/>
      <c r="K1037" s="79"/>
      <c r="L1037" s="80"/>
      <c r="M1037" s="81"/>
    </row>
    <row r="1038">
      <c r="A1038" s="75" t="s">
        <v>3188</v>
      </c>
      <c r="B1038" s="75" t="s">
        <v>389</v>
      </c>
      <c r="C1038" s="75" t="s">
        <v>1292</v>
      </c>
      <c r="D1038" s="75">
        <v>2023.0</v>
      </c>
      <c r="E1038" s="75">
        <v>8.60369052142021E14</v>
      </c>
      <c r="F1038" s="76" t="s">
        <v>398</v>
      </c>
      <c r="G1038" s="68" t="s">
        <v>328</v>
      </c>
      <c r="H1038" s="69">
        <v>45658.0</v>
      </c>
      <c r="I1038" s="78" t="s">
        <v>337</v>
      </c>
      <c r="J1038" s="78"/>
      <c r="K1038" s="79"/>
      <c r="L1038" s="80"/>
      <c r="M1038" s="81"/>
    </row>
    <row r="1039">
      <c r="A1039" s="75" t="s">
        <v>3189</v>
      </c>
      <c r="B1039" s="75" t="s">
        <v>319</v>
      </c>
      <c r="C1039" s="75" t="s">
        <v>321</v>
      </c>
      <c r="D1039" s="75">
        <v>2022.0</v>
      </c>
      <c r="E1039" s="75">
        <v>8.60369053346167E14</v>
      </c>
      <c r="F1039" s="76" t="s">
        <v>326</v>
      </c>
      <c r="G1039" s="68" t="s">
        <v>328</v>
      </c>
      <c r="H1039" s="69">
        <v>45658.0</v>
      </c>
      <c r="I1039" s="78" t="s">
        <v>337</v>
      </c>
      <c r="J1039" s="78"/>
      <c r="K1039" s="79"/>
      <c r="L1039" s="80"/>
      <c r="M1039" s="81"/>
    </row>
    <row r="1040">
      <c r="A1040" s="75" t="s">
        <v>3190</v>
      </c>
      <c r="B1040" s="75" t="s">
        <v>319</v>
      </c>
      <c r="C1040" s="75" t="s">
        <v>321</v>
      </c>
      <c r="D1040" s="75">
        <v>2022.0</v>
      </c>
      <c r="E1040" s="75">
        <v>8.60369052433701E14</v>
      </c>
      <c r="F1040" s="76" t="s">
        <v>326</v>
      </c>
      <c r="G1040" s="68" t="s">
        <v>328</v>
      </c>
      <c r="H1040" s="69">
        <v>45658.0</v>
      </c>
      <c r="I1040" s="78" t="s">
        <v>337</v>
      </c>
      <c r="J1040" s="78"/>
      <c r="K1040" s="79"/>
      <c r="L1040" s="80"/>
      <c r="M1040" s="81"/>
    </row>
    <row r="1041">
      <c r="A1041" s="75" t="s">
        <v>3191</v>
      </c>
      <c r="B1041" s="75" t="s">
        <v>319</v>
      </c>
      <c r="C1041" s="75" t="s">
        <v>321</v>
      </c>
      <c r="D1041" s="75">
        <v>2022.0</v>
      </c>
      <c r="E1041" s="75">
        <v>8.6036905415908E14</v>
      </c>
      <c r="F1041" s="76" t="s">
        <v>326</v>
      </c>
      <c r="G1041" s="68" t="s">
        <v>328</v>
      </c>
      <c r="H1041" s="69">
        <v>45658.0</v>
      </c>
      <c r="I1041" s="78" t="s">
        <v>337</v>
      </c>
      <c r="J1041" s="78"/>
      <c r="K1041" s="79"/>
      <c r="L1041" s="80"/>
      <c r="M1041" s="81"/>
    </row>
    <row r="1042">
      <c r="A1042" s="75" t="s">
        <v>3192</v>
      </c>
      <c r="B1042" s="75" t="s">
        <v>319</v>
      </c>
      <c r="C1042" s="75" t="s">
        <v>321</v>
      </c>
      <c r="D1042" s="75">
        <v>2022.0</v>
      </c>
      <c r="E1042" s="75">
        <v>8.60369054157472E14</v>
      </c>
      <c r="F1042" s="76" t="s">
        <v>326</v>
      </c>
      <c r="G1042" s="68" t="s">
        <v>328</v>
      </c>
      <c r="H1042" s="69">
        <v>45658.0</v>
      </c>
      <c r="I1042" s="78" t="s">
        <v>337</v>
      </c>
      <c r="J1042" s="78"/>
      <c r="K1042" s="79"/>
      <c r="L1042" s="80"/>
      <c r="M1042" s="81"/>
    </row>
    <row r="1043">
      <c r="A1043" s="75" t="s">
        <v>3193</v>
      </c>
      <c r="B1043" s="75" t="s">
        <v>319</v>
      </c>
      <c r="C1043" s="75" t="s">
        <v>321</v>
      </c>
      <c r="D1043" s="75">
        <v>2022.0</v>
      </c>
      <c r="E1043" s="75">
        <v>8.60369054169766E14</v>
      </c>
      <c r="F1043" s="76" t="s">
        <v>326</v>
      </c>
      <c r="G1043" s="68" t="s">
        <v>328</v>
      </c>
      <c r="H1043" s="69">
        <v>45658.0</v>
      </c>
      <c r="I1043" s="78" t="s">
        <v>337</v>
      </c>
      <c r="J1043" s="78"/>
      <c r="K1043" s="79"/>
      <c r="L1043" s="80"/>
      <c r="M1043" s="81"/>
    </row>
    <row r="1044">
      <c r="A1044" s="75" t="s">
        <v>3194</v>
      </c>
      <c r="B1044" s="75" t="s">
        <v>319</v>
      </c>
      <c r="C1044" s="75" t="s">
        <v>321</v>
      </c>
      <c r="D1044" s="75">
        <v>2022.0</v>
      </c>
      <c r="E1044" s="75">
        <v>8.60369054187008E14</v>
      </c>
      <c r="F1044" s="76" t="s">
        <v>326</v>
      </c>
      <c r="G1044" s="68" t="s">
        <v>328</v>
      </c>
      <c r="H1044" s="69">
        <v>45658.0</v>
      </c>
      <c r="I1044" s="78" t="s">
        <v>337</v>
      </c>
      <c r="J1044" s="78"/>
      <c r="K1044" s="79"/>
      <c r="L1044" s="80"/>
      <c r="M1044" s="81"/>
    </row>
    <row r="1045">
      <c r="A1045" s="75" t="s">
        <v>3195</v>
      </c>
      <c r="B1045" s="75" t="s">
        <v>319</v>
      </c>
      <c r="C1045" s="75" t="s">
        <v>321</v>
      </c>
      <c r="D1045" s="75">
        <v>2022.0</v>
      </c>
      <c r="E1045" s="75">
        <v>8.60369053335871E14</v>
      </c>
      <c r="F1045" s="76" t="s">
        <v>326</v>
      </c>
      <c r="G1045" s="68" t="s">
        <v>328</v>
      </c>
      <c r="H1045" s="69">
        <v>45658.0</v>
      </c>
      <c r="I1045" s="78" t="s">
        <v>337</v>
      </c>
      <c r="J1045" s="78"/>
      <c r="K1045" s="79"/>
      <c r="L1045" s="80"/>
      <c r="M1045" s="81"/>
    </row>
    <row r="1046">
      <c r="A1046" s="75" t="s">
        <v>3196</v>
      </c>
      <c r="B1046" s="75" t="s">
        <v>319</v>
      </c>
      <c r="C1046" s="75" t="s">
        <v>321</v>
      </c>
      <c r="D1046" s="75">
        <v>2022.0</v>
      </c>
      <c r="E1046" s="75">
        <v>8.6036905419303E14</v>
      </c>
      <c r="F1046" s="76" t="s">
        <v>326</v>
      </c>
      <c r="G1046" s="68" t="s">
        <v>328</v>
      </c>
      <c r="H1046" s="69">
        <v>45658.0</v>
      </c>
      <c r="I1046" s="78" t="s">
        <v>337</v>
      </c>
      <c r="J1046" s="78"/>
      <c r="K1046" s="79"/>
      <c r="L1046" s="80"/>
      <c r="M1046" s="81"/>
    </row>
    <row r="1047">
      <c r="A1047" s="75" t="s">
        <v>3197</v>
      </c>
      <c r="B1047" s="75" t="s">
        <v>319</v>
      </c>
      <c r="C1047" s="75" t="s">
        <v>321</v>
      </c>
      <c r="D1047" s="75">
        <v>2022.0</v>
      </c>
      <c r="E1047" s="75">
        <v>8.60369054178775E14</v>
      </c>
      <c r="F1047" s="76" t="s">
        <v>326</v>
      </c>
      <c r="G1047" s="68" t="s">
        <v>328</v>
      </c>
      <c r="H1047" s="69">
        <v>45658.0</v>
      </c>
      <c r="I1047" s="78" t="s">
        <v>337</v>
      </c>
      <c r="J1047" s="78"/>
      <c r="K1047" s="79"/>
      <c r="L1047" s="80"/>
      <c r="M1047" s="81"/>
    </row>
    <row r="1048">
      <c r="A1048" s="75" t="s">
        <v>3198</v>
      </c>
      <c r="B1048" s="75" t="s">
        <v>319</v>
      </c>
      <c r="C1048" s="75" t="s">
        <v>321</v>
      </c>
      <c r="D1048" s="75">
        <v>2022.0</v>
      </c>
      <c r="E1048" s="75">
        <v>8.60369052702014E14</v>
      </c>
      <c r="F1048" s="76" t="s">
        <v>326</v>
      </c>
      <c r="G1048" s="68" t="s">
        <v>328</v>
      </c>
      <c r="H1048" s="69">
        <v>45658.0</v>
      </c>
      <c r="I1048" s="78" t="s">
        <v>337</v>
      </c>
      <c r="J1048" s="78"/>
      <c r="K1048" s="79"/>
      <c r="L1048" s="80"/>
      <c r="M1048" s="81"/>
    </row>
    <row r="1049">
      <c r="A1049" s="75" t="s">
        <v>3200</v>
      </c>
      <c r="B1049" s="75" t="s">
        <v>319</v>
      </c>
      <c r="C1049" s="75" t="s">
        <v>321</v>
      </c>
      <c r="D1049" s="75">
        <v>2022.0</v>
      </c>
      <c r="E1049" s="75">
        <v>8.6036905418841E14</v>
      </c>
      <c r="F1049" s="76" t="s">
        <v>326</v>
      </c>
      <c r="G1049" s="68" t="s">
        <v>328</v>
      </c>
      <c r="H1049" s="69">
        <v>45658.0</v>
      </c>
      <c r="I1049" s="78" t="s">
        <v>337</v>
      </c>
      <c r="J1049" s="78"/>
      <c r="K1049" s="79"/>
      <c r="L1049" s="80"/>
      <c r="M1049" s="81"/>
    </row>
    <row r="1050">
      <c r="A1050" s="75" t="s">
        <v>3201</v>
      </c>
      <c r="B1050" s="75" t="s">
        <v>319</v>
      </c>
      <c r="C1050" s="75" t="s">
        <v>321</v>
      </c>
      <c r="D1050" s="75">
        <v>2022.0</v>
      </c>
      <c r="E1050" s="75">
        <v>8.60369054169451E14</v>
      </c>
      <c r="F1050" s="76" t="s">
        <v>326</v>
      </c>
      <c r="G1050" s="68" t="s">
        <v>328</v>
      </c>
      <c r="H1050" s="69">
        <v>45658.0</v>
      </c>
      <c r="I1050" s="78" t="s">
        <v>337</v>
      </c>
      <c r="J1050" s="78"/>
      <c r="K1050" s="79"/>
      <c r="L1050" s="80"/>
      <c r="M1050" s="81"/>
    </row>
    <row r="1051">
      <c r="A1051" s="75" t="s">
        <v>3202</v>
      </c>
      <c r="B1051" s="75" t="s">
        <v>319</v>
      </c>
      <c r="C1051" s="75" t="s">
        <v>321</v>
      </c>
      <c r="D1051" s="75">
        <v>2022.0</v>
      </c>
      <c r="E1051" s="75">
        <v>8.60369054179484E14</v>
      </c>
      <c r="F1051" s="76" t="s">
        <v>326</v>
      </c>
      <c r="G1051" s="68" t="s">
        <v>328</v>
      </c>
      <c r="H1051" s="69">
        <v>45658.0</v>
      </c>
      <c r="I1051" s="78" t="s">
        <v>337</v>
      </c>
      <c r="J1051" s="78"/>
      <c r="K1051" s="79"/>
      <c r="L1051" s="80"/>
      <c r="M1051" s="81"/>
    </row>
    <row r="1052">
      <c r="A1052" s="75" t="s">
        <v>3203</v>
      </c>
      <c r="B1052" s="75" t="s">
        <v>319</v>
      </c>
      <c r="C1052" s="75" t="s">
        <v>321</v>
      </c>
      <c r="D1052" s="75">
        <v>2022.0</v>
      </c>
      <c r="E1052" s="75">
        <v>8.60369054188303E14</v>
      </c>
      <c r="F1052" s="76" t="s">
        <v>326</v>
      </c>
      <c r="G1052" s="68" t="s">
        <v>328</v>
      </c>
      <c r="H1052" s="69">
        <v>45658.0</v>
      </c>
      <c r="I1052" s="78" t="s">
        <v>337</v>
      </c>
      <c r="J1052" s="78"/>
      <c r="K1052" s="79"/>
      <c r="L1052" s="80"/>
      <c r="M1052" s="81"/>
    </row>
    <row r="1053">
      <c r="A1053" s="75" t="s">
        <v>3204</v>
      </c>
      <c r="B1053" s="75" t="s">
        <v>389</v>
      </c>
      <c r="C1053" s="75" t="s">
        <v>1292</v>
      </c>
      <c r="D1053" s="75">
        <v>2022.0</v>
      </c>
      <c r="E1053" s="75">
        <v>8.60369052173851E14</v>
      </c>
      <c r="F1053" s="76" t="s">
        <v>398</v>
      </c>
      <c r="G1053" s="68" t="s">
        <v>328</v>
      </c>
      <c r="H1053" s="69">
        <v>45658.0</v>
      </c>
      <c r="I1053" s="78" t="s">
        <v>337</v>
      </c>
      <c r="J1053" s="78"/>
      <c r="K1053" s="79"/>
      <c r="L1053" s="80"/>
      <c r="M1053" s="81"/>
    </row>
    <row r="1054">
      <c r="A1054" s="75" t="s">
        <v>3205</v>
      </c>
      <c r="B1054" s="75" t="s">
        <v>319</v>
      </c>
      <c r="C1054" s="75" t="s">
        <v>321</v>
      </c>
      <c r="D1054" s="75">
        <v>2022.0</v>
      </c>
      <c r="E1054" s="75">
        <v>8.60369054190234E14</v>
      </c>
      <c r="F1054" s="76" t="s">
        <v>326</v>
      </c>
      <c r="G1054" s="68" t="s">
        <v>328</v>
      </c>
      <c r="H1054" s="69">
        <v>45658.0</v>
      </c>
      <c r="I1054" s="78" t="s">
        <v>337</v>
      </c>
      <c r="J1054" s="78"/>
      <c r="K1054" s="79"/>
      <c r="L1054" s="80"/>
      <c r="M1054" s="81"/>
    </row>
    <row r="1055">
      <c r="A1055" s="75" t="s">
        <v>3206</v>
      </c>
      <c r="B1055" s="75" t="s">
        <v>319</v>
      </c>
      <c r="C1055" s="75" t="s">
        <v>321</v>
      </c>
      <c r="D1055" s="75">
        <v>2022.0</v>
      </c>
      <c r="E1055" s="75">
        <v>8.60369054187115E14</v>
      </c>
      <c r="F1055" s="76" t="s">
        <v>326</v>
      </c>
      <c r="G1055" s="68" t="s">
        <v>328</v>
      </c>
      <c r="H1055" s="69">
        <v>45658.0</v>
      </c>
      <c r="I1055" s="78" t="s">
        <v>337</v>
      </c>
      <c r="J1055" s="78"/>
      <c r="K1055" s="79"/>
      <c r="L1055" s="80"/>
      <c r="M1055" s="81"/>
    </row>
    <row r="1056">
      <c r="A1056" s="75" t="s">
        <v>3207</v>
      </c>
      <c r="B1056" s="75" t="s">
        <v>319</v>
      </c>
      <c r="C1056" s="75" t="s">
        <v>321</v>
      </c>
      <c r="D1056" s="75">
        <v>2022.0</v>
      </c>
      <c r="E1056" s="75">
        <v>8.60369054162043E14</v>
      </c>
      <c r="F1056" s="76" t="s">
        <v>326</v>
      </c>
      <c r="G1056" s="68" t="s">
        <v>328</v>
      </c>
      <c r="H1056" s="69">
        <v>45658.0</v>
      </c>
      <c r="I1056" s="78" t="s">
        <v>337</v>
      </c>
      <c r="J1056" s="78"/>
      <c r="K1056" s="79"/>
      <c r="L1056" s="80"/>
      <c r="M1056" s="81"/>
    </row>
    <row r="1057">
      <c r="A1057" s="75" t="s">
        <v>3208</v>
      </c>
      <c r="B1057" s="75" t="s">
        <v>319</v>
      </c>
      <c r="C1057" s="75" t="s">
        <v>321</v>
      </c>
      <c r="D1057" s="75">
        <v>2022.0</v>
      </c>
      <c r="E1057" s="75">
        <v>8.60369053344386E14</v>
      </c>
      <c r="F1057" s="76" t="s">
        <v>326</v>
      </c>
      <c r="G1057" s="68" t="s">
        <v>328</v>
      </c>
      <c r="H1057" s="69">
        <v>45658.0</v>
      </c>
      <c r="I1057" s="78" t="s">
        <v>337</v>
      </c>
      <c r="J1057" s="78"/>
      <c r="K1057" s="79"/>
      <c r="L1057" s="80"/>
      <c r="M1057" s="81"/>
    </row>
    <row r="1058">
      <c r="A1058" s="75" t="s">
        <v>3209</v>
      </c>
      <c r="B1058" s="75" t="s">
        <v>319</v>
      </c>
      <c r="C1058" s="75" t="s">
        <v>321</v>
      </c>
      <c r="D1058" s="75">
        <v>2022.0</v>
      </c>
      <c r="E1058" s="75">
        <v>8.60369052439666E14</v>
      </c>
      <c r="F1058" s="76" t="s">
        <v>326</v>
      </c>
      <c r="G1058" s="68" t="s">
        <v>328</v>
      </c>
      <c r="H1058" s="69">
        <v>45658.0</v>
      </c>
      <c r="I1058" s="78" t="s">
        <v>337</v>
      </c>
      <c r="J1058" s="78"/>
      <c r="K1058" s="79"/>
      <c r="L1058" s="80"/>
      <c r="M1058" s="81"/>
    </row>
    <row r="1059">
      <c r="A1059" s="75" t="s">
        <v>3210</v>
      </c>
      <c r="B1059" s="75" t="s">
        <v>319</v>
      </c>
      <c r="C1059" s="75" t="s">
        <v>321</v>
      </c>
      <c r="D1059" s="75">
        <v>2022.0</v>
      </c>
      <c r="E1059" s="75">
        <v>8.60369052698154E14</v>
      </c>
      <c r="F1059" s="76" t="s">
        <v>326</v>
      </c>
      <c r="G1059" s="68" t="s">
        <v>328</v>
      </c>
      <c r="H1059" s="69">
        <v>45658.0</v>
      </c>
      <c r="I1059" s="78" t="s">
        <v>337</v>
      </c>
      <c r="J1059" s="78"/>
      <c r="K1059" s="79"/>
      <c r="L1059" s="110" t="s">
        <v>3211</v>
      </c>
      <c r="M1059" s="81"/>
    </row>
    <row r="1060">
      <c r="A1060" s="75" t="s">
        <v>3212</v>
      </c>
      <c r="B1060" s="75" t="s">
        <v>319</v>
      </c>
      <c r="C1060" s="75" t="s">
        <v>321</v>
      </c>
      <c r="D1060" s="75">
        <v>2022.0</v>
      </c>
      <c r="E1060" s="75">
        <v>8.6036905417016E14</v>
      </c>
      <c r="F1060" s="76" t="s">
        <v>326</v>
      </c>
      <c r="G1060" s="68" t="s">
        <v>328</v>
      </c>
      <c r="H1060" s="69">
        <v>45658.0</v>
      </c>
      <c r="I1060" s="78" t="s">
        <v>337</v>
      </c>
      <c r="J1060" s="78"/>
      <c r="K1060" s="79"/>
      <c r="L1060" s="80"/>
      <c r="M1060" s="81"/>
    </row>
    <row r="1061">
      <c r="A1061" s="75" t="s">
        <v>3213</v>
      </c>
      <c r="B1061" s="75" t="s">
        <v>319</v>
      </c>
      <c r="C1061" s="75" t="s">
        <v>321</v>
      </c>
      <c r="D1061" s="75">
        <v>2022.0</v>
      </c>
      <c r="E1061" s="75">
        <v>8.60369053334577E14</v>
      </c>
      <c r="F1061" s="76" t="s">
        <v>326</v>
      </c>
      <c r="G1061" s="68" t="s">
        <v>328</v>
      </c>
      <c r="H1061" s="69">
        <v>45658.0</v>
      </c>
      <c r="I1061" s="78" t="s">
        <v>337</v>
      </c>
      <c r="J1061" s="78"/>
      <c r="K1061" s="79"/>
      <c r="L1061" s="80"/>
      <c r="M1061" s="81"/>
    </row>
    <row r="1062">
      <c r="A1062" s="75" t="s">
        <v>3214</v>
      </c>
      <c r="B1062" s="75" t="s">
        <v>319</v>
      </c>
      <c r="C1062" s="75" t="s">
        <v>321</v>
      </c>
      <c r="D1062" s="75">
        <v>2022.0</v>
      </c>
      <c r="E1062" s="75">
        <v>8.60369054168446E14</v>
      </c>
      <c r="F1062" s="76" t="s">
        <v>326</v>
      </c>
      <c r="G1062" s="68" t="s">
        <v>328</v>
      </c>
      <c r="H1062" s="69">
        <v>45658.0</v>
      </c>
      <c r="I1062" s="78" t="s">
        <v>337</v>
      </c>
      <c r="J1062" s="78"/>
      <c r="K1062" s="79"/>
      <c r="L1062" s="80"/>
      <c r="M1062" s="81"/>
    </row>
    <row r="1063">
      <c r="A1063" s="75" t="s">
        <v>3215</v>
      </c>
      <c r="B1063" s="75" t="s">
        <v>319</v>
      </c>
      <c r="C1063" s="75" t="s">
        <v>321</v>
      </c>
      <c r="D1063" s="75">
        <v>2022.0</v>
      </c>
      <c r="E1063" s="75">
        <v>8.60369052701438E14</v>
      </c>
      <c r="F1063" s="76" t="s">
        <v>326</v>
      </c>
      <c r="G1063" s="68" t="s">
        <v>328</v>
      </c>
      <c r="H1063" s="69">
        <v>45658.0</v>
      </c>
      <c r="I1063" s="78" t="s">
        <v>337</v>
      </c>
      <c r="J1063" s="78"/>
      <c r="K1063" s="79"/>
      <c r="L1063" s="80"/>
      <c r="M1063" s="81"/>
    </row>
    <row r="1064">
      <c r="A1064" s="75" t="s">
        <v>3216</v>
      </c>
      <c r="B1064" s="75" t="s">
        <v>319</v>
      </c>
      <c r="C1064" s="75" t="s">
        <v>321</v>
      </c>
      <c r="D1064" s="75">
        <v>2022.0</v>
      </c>
      <c r="E1064" s="75">
        <v>8.60369054177157E14</v>
      </c>
      <c r="F1064" s="76" t="s">
        <v>326</v>
      </c>
      <c r="G1064" s="68" t="s">
        <v>328</v>
      </c>
      <c r="H1064" s="69">
        <v>45658.0</v>
      </c>
      <c r="I1064" s="78" t="s">
        <v>337</v>
      </c>
      <c r="J1064" s="78"/>
      <c r="K1064" s="79"/>
      <c r="L1064" s="80"/>
      <c r="M1064" s="81"/>
    </row>
    <row r="1065">
      <c r="A1065" s="75" t="s">
        <v>3217</v>
      </c>
      <c r="B1065" s="75" t="s">
        <v>319</v>
      </c>
      <c r="C1065" s="75" t="s">
        <v>321</v>
      </c>
      <c r="D1065" s="75">
        <v>2022.0</v>
      </c>
      <c r="E1065" s="75">
        <v>8.60369054168677E14</v>
      </c>
      <c r="F1065" s="76" t="s">
        <v>326</v>
      </c>
      <c r="G1065" s="68" t="s">
        <v>328</v>
      </c>
      <c r="H1065" s="69">
        <v>45658.0</v>
      </c>
      <c r="I1065" s="78" t="s">
        <v>337</v>
      </c>
      <c r="J1065" s="78"/>
      <c r="K1065" s="79"/>
      <c r="L1065" s="80"/>
      <c r="M1065" s="81"/>
    </row>
    <row r="1066">
      <c r="A1066" s="75" t="s">
        <v>3218</v>
      </c>
      <c r="B1066" s="75" t="s">
        <v>319</v>
      </c>
      <c r="C1066" s="75" t="s">
        <v>321</v>
      </c>
      <c r="D1066" s="75">
        <v>2022.0</v>
      </c>
      <c r="E1066" s="75">
        <v>8.60369054406853E14</v>
      </c>
      <c r="F1066" s="76" t="s">
        <v>326</v>
      </c>
      <c r="G1066" s="68" t="s">
        <v>328</v>
      </c>
      <c r="H1066" s="69">
        <v>45658.0</v>
      </c>
      <c r="I1066" s="78" t="s">
        <v>337</v>
      </c>
      <c r="J1066" s="78"/>
      <c r="K1066" s="79"/>
      <c r="L1066" s="80"/>
      <c r="M1066" s="81"/>
    </row>
    <row r="1067">
      <c r="A1067" s="75" t="s">
        <v>3219</v>
      </c>
      <c r="B1067" s="75" t="s">
        <v>319</v>
      </c>
      <c r="C1067" s="75" t="s">
        <v>321</v>
      </c>
      <c r="D1067" s="75">
        <v>2022.0</v>
      </c>
      <c r="E1067" s="75">
        <v>8.60369054154131E14</v>
      </c>
      <c r="F1067" s="76" t="s">
        <v>326</v>
      </c>
      <c r="G1067" s="68" t="s">
        <v>328</v>
      </c>
      <c r="H1067" s="69">
        <v>45658.0</v>
      </c>
      <c r="I1067" s="78" t="s">
        <v>337</v>
      </c>
      <c r="J1067" s="78"/>
      <c r="K1067" s="79"/>
      <c r="L1067" s="80"/>
      <c r="M1067" s="81"/>
    </row>
    <row r="1068">
      <c r="A1068" s="75" t="s">
        <v>3220</v>
      </c>
      <c r="B1068" s="75" t="s">
        <v>389</v>
      </c>
      <c r="C1068" s="75" t="s">
        <v>1292</v>
      </c>
      <c r="D1068" s="75">
        <v>2022.0</v>
      </c>
      <c r="E1068" s="75">
        <v>8.60369052168992E14</v>
      </c>
      <c r="F1068" s="76" t="s">
        <v>398</v>
      </c>
      <c r="G1068" s="68" t="s">
        <v>328</v>
      </c>
      <c r="H1068" s="69">
        <v>45658.0</v>
      </c>
      <c r="I1068" s="78" t="s">
        <v>337</v>
      </c>
      <c r="J1068" s="78"/>
      <c r="K1068" s="79"/>
      <c r="L1068" s="80"/>
      <c r="M1068" s="81"/>
      <c r="N1068" s="83" t="s">
        <v>380</v>
      </c>
    </row>
    <row r="1069">
      <c r="A1069" s="75" t="s">
        <v>3221</v>
      </c>
      <c r="B1069" s="75" t="s">
        <v>319</v>
      </c>
      <c r="C1069" s="75" t="s">
        <v>321</v>
      </c>
      <c r="D1069" s="75">
        <v>2026.0</v>
      </c>
      <c r="E1069" s="75">
        <v>8.60369052142948E14</v>
      </c>
      <c r="F1069" s="76" t="s">
        <v>326</v>
      </c>
      <c r="G1069" s="68" t="s">
        <v>328</v>
      </c>
      <c r="H1069" s="69">
        <v>45658.0</v>
      </c>
      <c r="I1069" s="78" t="s">
        <v>337</v>
      </c>
      <c r="J1069" s="78"/>
      <c r="K1069" s="79"/>
      <c r="L1069" s="80"/>
      <c r="M1069" s="81"/>
    </row>
    <row r="1070">
      <c r="A1070" s="75" t="s">
        <v>3222</v>
      </c>
      <c r="B1070" s="75" t="s">
        <v>389</v>
      </c>
      <c r="C1070" s="75" t="s">
        <v>1292</v>
      </c>
      <c r="D1070" s="75">
        <v>2022.0</v>
      </c>
      <c r="E1070" s="75">
        <v>8.60369052142815E14</v>
      </c>
      <c r="F1070" s="76" t="s">
        <v>398</v>
      </c>
      <c r="G1070" s="68" t="s">
        <v>328</v>
      </c>
      <c r="H1070" s="69">
        <v>45658.0</v>
      </c>
      <c r="I1070" s="78" t="s">
        <v>337</v>
      </c>
      <c r="J1070" s="78"/>
      <c r="K1070" s="79"/>
      <c r="L1070" s="80"/>
      <c r="M1070" s="81"/>
      <c r="N1070" s="83" t="s">
        <v>380</v>
      </c>
    </row>
    <row r="1071">
      <c r="A1071" s="75" t="s">
        <v>3223</v>
      </c>
      <c r="B1071" s="75" t="s">
        <v>389</v>
      </c>
      <c r="C1071" s="75" t="s">
        <v>1292</v>
      </c>
      <c r="D1071" s="75">
        <v>2022.0</v>
      </c>
      <c r="E1071" s="75">
        <v>8.60369054158256E14</v>
      </c>
      <c r="F1071" s="76" t="s">
        <v>326</v>
      </c>
      <c r="G1071" s="68" t="s">
        <v>328</v>
      </c>
      <c r="H1071" s="69">
        <v>45658.0</v>
      </c>
      <c r="I1071" s="78" t="s">
        <v>337</v>
      </c>
      <c r="J1071" s="78"/>
      <c r="K1071" s="79"/>
      <c r="L1071" s="80"/>
      <c r="M1071" s="81"/>
      <c r="N1071" s="83" t="s">
        <v>380</v>
      </c>
    </row>
    <row r="1072">
      <c r="A1072" s="75" t="s">
        <v>3224</v>
      </c>
      <c r="B1072" s="75" t="s">
        <v>319</v>
      </c>
      <c r="C1072" s="75" t="s">
        <v>321</v>
      </c>
      <c r="D1072" s="75">
        <v>2022.0</v>
      </c>
      <c r="E1072" s="75">
        <v>8.603690526952E14</v>
      </c>
      <c r="F1072" s="76" t="s">
        <v>326</v>
      </c>
      <c r="G1072" s="68" t="s">
        <v>328</v>
      </c>
      <c r="H1072" s="69">
        <v>45658.0</v>
      </c>
      <c r="I1072" s="78" t="s">
        <v>337</v>
      </c>
      <c r="J1072" s="78"/>
      <c r="K1072" s="79"/>
      <c r="L1072" s="80"/>
      <c r="M1072" s="81"/>
    </row>
    <row r="1073">
      <c r="A1073" s="75" t="s">
        <v>3225</v>
      </c>
      <c r="B1073" s="75" t="s">
        <v>319</v>
      </c>
      <c r="C1073" s="75" t="s">
        <v>321</v>
      </c>
      <c r="D1073" s="75">
        <v>2022.0</v>
      </c>
      <c r="E1073" s="75">
        <v>8.60369054739832E14</v>
      </c>
      <c r="F1073" s="76" t="s">
        <v>326</v>
      </c>
      <c r="G1073" s="68" t="s">
        <v>328</v>
      </c>
      <c r="H1073" s="69">
        <v>45658.0</v>
      </c>
      <c r="I1073" s="78" t="s">
        <v>337</v>
      </c>
      <c r="J1073" s="78"/>
      <c r="K1073" s="79"/>
      <c r="L1073" s="80"/>
      <c r="M1073" s="81"/>
    </row>
    <row r="1074">
      <c r="A1074" s="75" t="s">
        <v>3226</v>
      </c>
      <c r="B1074" s="75" t="s">
        <v>319</v>
      </c>
      <c r="C1074" s="75" t="s">
        <v>321</v>
      </c>
      <c r="D1074" s="75">
        <v>2022.0</v>
      </c>
      <c r="E1074" s="75">
        <v>8.6036905419807E14</v>
      </c>
      <c r="F1074" s="76" t="s">
        <v>326</v>
      </c>
      <c r="G1074" s="68" t="s">
        <v>328</v>
      </c>
      <c r="H1074" s="69">
        <v>45658.0</v>
      </c>
      <c r="I1074" s="78" t="s">
        <v>337</v>
      </c>
      <c r="J1074" s="78"/>
      <c r="K1074" s="79"/>
      <c r="L1074" s="80"/>
      <c r="M1074" s="81"/>
    </row>
    <row r="1075">
      <c r="A1075" s="75" t="s">
        <v>3227</v>
      </c>
      <c r="B1075" s="75" t="s">
        <v>319</v>
      </c>
      <c r="C1075" s="75" t="s">
        <v>321</v>
      </c>
      <c r="D1075" s="75">
        <v>2022.0</v>
      </c>
      <c r="E1075" s="75">
        <v>8.60369052696174E14</v>
      </c>
      <c r="F1075" s="76" t="s">
        <v>326</v>
      </c>
      <c r="G1075" s="68" t="s">
        <v>328</v>
      </c>
      <c r="H1075" s="69">
        <v>45658.0</v>
      </c>
      <c r="I1075" s="78" t="s">
        <v>337</v>
      </c>
      <c r="J1075" s="78"/>
      <c r="K1075" s="79"/>
      <c r="L1075" s="80"/>
      <c r="M1075" s="81"/>
    </row>
    <row r="1076">
      <c r="A1076" s="75" t="s">
        <v>3228</v>
      </c>
      <c r="B1076" s="75" t="s">
        <v>319</v>
      </c>
      <c r="C1076" s="75" t="s">
        <v>321</v>
      </c>
      <c r="D1076" s="75">
        <v>2022.0</v>
      </c>
      <c r="E1076" s="75">
        <v>8.60369052696117E14</v>
      </c>
      <c r="F1076" s="76" t="s">
        <v>326</v>
      </c>
      <c r="G1076" s="68" t="s">
        <v>328</v>
      </c>
      <c r="H1076" s="69">
        <v>45658.0</v>
      </c>
      <c r="I1076" s="78" t="s">
        <v>337</v>
      </c>
      <c r="J1076" s="78"/>
      <c r="K1076" s="79"/>
      <c r="L1076" s="80"/>
      <c r="M1076" s="81"/>
    </row>
    <row r="1077">
      <c r="A1077" s="75" t="s">
        <v>3229</v>
      </c>
      <c r="B1077" s="75" t="s">
        <v>319</v>
      </c>
      <c r="C1077" s="75" t="s">
        <v>321</v>
      </c>
      <c r="D1077" s="75">
        <v>2022.0</v>
      </c>
      <c r="E1077" s="75">
        <v>8.60369052705322E14</v>
      </c>
      <c r="F1077" s="76" t="s">
        <v>326</v>
      </c>
      <c r="G1077" s="68" t="s">
        <v>328</v>
      </c>
      <c r="H1077" s="69">
        <v>45658.0</v>
      </c>
      <c r="I1077" s="78" t="s">
        <v>337</v>
      </c>
      <c r="J1077" s="78"/>
      <c r="K1077" s="79"/>
      <c r="L1077" s="80"/>
      <c r="M1077" s="81"/>
    </row>
    <row r="1078">
      <c r="A1078" s="75" t="s">
        <v>3230</v>
      </c>
      <c r="B1078" s="75" t="s">
        <v>319</v>
      </c>
      <c r="C1078" s="75" t="s">
        <v>321</v>
      </c>
      <c r="D1078" s="75">
        <v>2022.0</v>
      </c>
      <c r="E1078" s="75">
        <v>8.60369053336101E14</v>
      </c>
      <c r="F1078" s="76" t="s">
        <v>326</v>
      </c>
      <c r="G1078" s="68" t="s">
        <v>328</v>
      </c>
      <c r="H1078" s="69">
        <v>45658.0</v>
      </c>
      <c r="I1078" s="78" t="s">
        <v>337</v>
      </c>
      <c r="J1078" s="78"/>
      <c r="K1078" s="79"/>
      <c r="L1078" s="80"/>
      <c r="M1078" s="81"/>
    </row>
    <row r="1079">
      <c r="A1079" s="75" t="s">
        <v>3231</v>
      </c>
      <c r="B1079" s="75" t="s">
        <v>319</v>
      </c>
      <c r="C1079" s="75" t="s">
        <v>321</v>
      </c>
      <c r="D1079" s="75">
        <v>2022.0</v>
      </c>
      <c r="E1079" s="75">
        <v>8.60369054187289E14</v>
      </c>
      <c r="F1079" s="76" t="s">
        <v>326</v>
      </c>
      <c r="G1079" s="68" t="s">
        <v>328</v>
      </c>
      <c r="H1079" s="69">
        <v>45658.0</v>
      </c>
      <c r="I1079" s="78" t="s">
        <v>337</v>
      </c>
      <c r="J1079" s="78"/>
      <c r="K1079" s="79"/>
      <c r="L1079" s="80"/>
      <c r="M1079" s="81"/>
    </row>
    <row r="1080">
      <c r="A1080" s="75" t="s">
        <v>3232</v>
      </c>
      <c r="B1080" s="75" t="s">
        <v>319</v>
      </c>
      <c r="C1080" s="75" t="s">
        <v>321</v>
      </c>
      <c r="D1080" s="75">
        <v>2022.0</v>
      </c>
      <c r="E1080" s="75">
        <v>8.60369054188048E14</v>
      </c>
      <c r="F1080" s="76" t="s">
        <v>326</v>
      </c>
      <c r="G1080" s="68" t="s">
        <v>328</v>
      </c>
      <c r="H1080" s="69">
        <v>45658.0</v>
      </c>
      <c r="I1080" s="78" t="s">
        <v>337</v>
      </c>
      <c r="J1080" s="78"/>
      <c r="K1080" s="79"/>
      <c r="L1080" s="80"/>
      <c r="M1080" s="81"/>
    </row>
    <row r="1081">
      <c r="A1081" s="75" t="s">
        <v>3233</v>
      </c>
      <c r="B1081" s="75" t="s">
        <v>319</v>
      </c>
      <c r="C1081" s="75" t="s">
        <v>321</v>
      </c>
      <c r="D1081" s="75">
        <v>2022.0</v>
      </c>
      <c r="E1081" s="75">
        <v>8.60369054178171E14</v>
      </c>
      <c r="F1081" s="76" t="s">
        <v>326</v>
      </c>
      <c r="G1081" s="68" t="s">
        <v>328</v>
      </c>
      <c r="H1081" s="69">
        <v>45658.0</v>
      </c>
      <c r="I1081" s="78" t="s">
        <v>337</v>
      </c>
      <c r="J1081" s="78"/>
      <c r="K1081" s="79"/>
      <c r="L1081" s="80"/>
      <c r="M1081" s="81"/>
    </row>
    <row r="1082">
      <c r="A1082" s="75" t="s">
        <v>3234</v>
      </c>
      <c r="B1082" s="75" t="s">
        <v>319</v>
      </c>
      <c r="C1082" s="75" t="s">
        <v>321</v>
      </c>
      <c r="D1082" s="75">
        <v>2022.0</v>
      </c>
      <c r="E1082" s="75">
        <v>8.60369054169832E14</v>
      </c>
      <c r="F1082" s="76" t="s">
        <v>326</v>
      </c>
      <c r="G1082" s="68" t="s">
        <v>328</v>
      </c>
      <c r="H1082" s="69">
        <v>45658.0</v>
      </c>
      <c r="I1082" s="78" t="s">
        <v>337</v>
      </c>
      <c r="J1082" s="78"/>
      <c r="K1082" s="79"/>
      <c r="L1082" s="80"/>
      <c r="M1082" s="81"/>
    </row>
    <row r="1083">
      <c r="A1083" s="75" t="s">
        <v>3235</v>
      </c>
      <c r="B1083" s="75" t="s">
        <v>319</v>
      </c>
      <c r="C1083" s="75" t="s">
        <v>321</v>
      </c>
      <c r="D1083" s="75">
        <v>2022.0</v>
      </c>
      <c r="E1083" s="75">
        <v>8.60369052703129E14</v>
      </c>
      <c r="F1083" s="76" t="s">
        <v>326</v>
      </c>
      <c r="G1083" s="68" t="s">
        <v>328</v>
      </c>
      <c r="H1083" s="69">
        <v>45658.0</v>
      </c>
      <c r="I1083" s="78" t="s">
        <v>337</v>
      </c>
      <c r="J1083" s="78"/>
      <c r="K1083" s="79"/>
      <c r="L1083" s="80"/>
      <c r="M1083" s="81"/>
    </row>
    <row r="1084">
      <c r="A1084" s="75" t="s">
        <v>3236</v>
      </c>
      <c r="B1084" s="75" t="s">
        <v>319</v>
      </c>
      <c r="C1084" s="75" t="s">
        <v>321</v>
      </c>
      <c r="D1084" s="75">
        <v>2022.0</v>
      </c>
      <c r="E1084" s="75">
        <v>8.60369052434048E14</v>
      </c>
      <c r="F1084" s="76" t="s">
        <v>326</v>
      </c>
      <c r="G1084" s="68" t="s">
        <v>328</v>
      </c>
      <c r="H1084" s="69">
        <v>45658.0</v>
      </c>
      <c r="I1084" s="78" t="s">
        <v>337</v>
      </c>
      <c r="J1084" s="78"/>
      <c r="K1084" s="79"/>
      <c r="L1084" s="80"/>
      <c r="M1084" s="81"/>
    </row>
    <row r="1085">
      <c r="A1085" s="75" t="s">
        <v>3237</v>
      </c>
      <c r="B1085" s="75" t="s">
        <v>319</v>
      </c>
      <c r="C1085" s="75" t="s">
        <v>321</v>
      </c>
      <c r="D1085" s="75">
        <v>2022.0</v>
      </c>
      <c r="E1085" s="75">
        <v>8.60369052446281E14</v>
      </c>
      <c r="F1085" s="76" t="s">
        <v>326</v>
      </c>
      <c r="G1085" s="68" t="s">
        <v>328</v>
      </c>
      <c r="H1085" s="69">
        <v>45658.0</v>
      </c>
      <c r="I1085" s="78" t="s">
        <v>337</v>
      </c>
      <c r="J1085" s="78"/>
      <c r="K1085" s="79"/>
      <c r="L1085" s="80"/>
      <c r="M1085" s="81"/>
    </row>
    <row r="1086">
      <c r="A1086" s="75" t="s">
        <v>3238</v>
      </c>
      <c r="B1086" s="75" t="s">
        <v>319</v>
      </c>
      <c r="C1086" s="75" t="s">
        <v>321</v>
      </c>
      <c r="D1086" s="75">
        <v>2022.0</v>
      </c>
      <c r="E1086" s="75">
        <v>8.60369054155237E14</v>
      </c>
      <c r="F1086" s="76" t="s">
        <v>326</v>
      </c>
      <c r="G1086" s="68" t="s">
        <v>328</v>
      </c>
      <c r="H1086" s="69">
        <v>45658.0</v>
      </c>
      <c r="I1086" s="78" t="s">
        <v>337</v>
      </c>
      <c r="J1086" s="78"/>
      <c r="K1086" s="79"/>
      <c r="L1086" s="80"/>
      <c r="M1086" s="81"/>
    </row>
    <row r="1087">
      <c r="A1087" s="75" t="s">
        <v>3239</v>
      </c>
      <c r="B1087" s="75" t="s">
        <v>319</v>
      </c>
      <c r="C1087" s="75" t="s">
        <v>321</v>
      </c>
      <c r="D1087" s="75">
        <v>2022.0</v>
      </c>
      <c r="E1087" s="75">
        <v>8.603690524262E14</v>
      </c>
      <c r="F1087" s="76" t="s">
        <v>326</v>
      </c>
      <c r="G1087" s="68" t="s">
        <v>328</v>
      </c>
      <c r="H1087" s="69">
        <v>45658.0</v>
      </c>
      <c r="I1087" s="78" t="s">
        <v>337</v>
      </c>
      <c r="J1087" s="78"/>
      <c r="K1087" s="79"/>
      <c r="L1087" s="80"/>
      <c r="M1087" s="81"/>
    </row>
    <row r="1088">
      <c r="A1088" s="75" t="s">
        <v>3240</v>
      </c>
      <c r="B1088" s="75" t="s">
        <v>319</v>
      </c>
      <c r="C1088" s="75" t="s">
        <v>321</v>
      </c>
      <c r="D1088" s="75">
        <v>2022.0</v>
      </c>
      <c r="E1088" s="75">
        <v>8.60369054153968E14</v>
      </c>
      <c r="F1088" s="76" t="s">
        <v>326</v>
      </c>
      <c r="G1088" s="68" t="s">
        <v>328</v>
      </c>
      <c r="H1088" s="69">
        <v>45658.0</v>
      </c>
      <c r="I1088" s="78" t="s">
        <v>337</v>
      </c>
      <c r="J1088" s="78"/>
      <c r="K1088" s="79"/>
      <c r="L1088" s="80"/>
      <c r="M1088" s="81"/>
    </row>
    <row r="1089">
      <c r="A1089" s="75" t="s">
        <v>3241</v>
      </c>
      <c r="B1089" s="75" t="s">
        <v>319</v>
      </c>
      <c r="C1089" s="75" t="s">
        <v>321</v>
      </c>
      <c r="D1089" s="75">
        <v>2022.0</v>
      </c>
      <c r="E1089" s="75">
        <v>8.60369054122815E14</v>
      </c>
      <c r="F1089" s="76" t="s">
        <v>326</v>
      </c>
      <c r="G1089" s="68" t="s">
        <v>471</v>
      </c>
      <c r="H1089" s="69">
        <v>45658.0</v>
      </c>
      <c r="I1089" s="78" t="s">
        <v>337</v>
      </c>
      <c r="J1089" s="78"/>
      <c r="K1089" s="79"/>
      <c r="L1089" s="80"/>
      <c r="M1089" s="81"/>
    </row>
    <row r="1090">
      <c r="A1090" s="75" t="s">
        <v>3242</v>
      </c>
      <c r="B1090" s="75" t="s">
        <v>319</v>
      </c>
      <c r="C1090" s="75" t="s">
        <v>321</v>
      </c>
      <c r="D1090" s="75">
        <v>2022.0</v>
      </c>
      <c r="E1090" s="75">
        <v>8.60369054180714E14</v>
      </c>
      <c r="F1090" s="76" t="s">
        <v>326</v>
      </c>
      <c r="G1090" s="68" t="s">
        <v>328</v>
      </c>
      <c r="H1090" s="69">
        <v>45658.0</v>
      </c>
      <c r="I1090" s="78" t="s">
        <v>337</v>
      </c>
      <c r="J1090" s="78"/>
      <c r="K1090" s="79"/>
      <c r="L1090" s="80"/>
      <c r="M1090" s="81"/>
    </row>
    <row r="1091">
      <c r="A1091" s="75" t="s">
        <v>3243</v>
      </c>
      <c r="B1091" s="75" t="s">
        <v>319</v>
      </c>
      <c r="C1091" s="75" t="s">
        <v>723</v>
      </c>
      <c r="D1091" s="75">
        <v>2022.0</v>
      </c>
      <c r="E1091" s="75">
        <v>8.60369054177009E14</v>
      </c>
      <c r="F1091" s="76" t="s">
        <v>326</v>
      </c>
      <c r="G1091" s="68" t="s">
        <v>328</v>
      </c>
      <c r="H1091" s="69">
        <v>45658.0</v>
      </c>
      <c r="I1091" s="78" t="s">
        <v>337</v>
      </c>
      <c r="J1091" s="78"/>
      <c r="K1091" s="79"/>
      <c r="L1091" s="80"/>
      <c r="M1091" s="81"/>
    </row>
    <row r="1092">
      <c r="A1092" s="75" t="s">
        <v>3244</v>
      </c>
      <c r="B1092" s="75" t="s">
        <v>319</v>
      </c>
      <c r="C1092" s="75" t="s">
        <v>723</v>
      </c>
      <c r="D1092" s="78">
        <v>2022.0</v>
      </c>
      <c r="E1092" s="75">
        <v>8.60369054159825E14</v>
      </c>
      <c r="F1092" s="76" t="s">
        <v>326</v>
      </c>
      <c r="G1092" s="68" t="s">
        <v>328</v>
      </c>
      <c r="H1092" s="69">
        <v>45658.0</v>
      </c>
      <c r="I1092" s="78" t="s">
        <v>337</v>
      </c>
      <c r="J1092" s="78"/>
      <c r="K1092" s="79"/>
      <c r="L1092" s="80"/>
      <c r="M1092" s="81"/>
    </row>
    <row r="1093">
      <c r="A1093" s="75" t="s">
        <v>3245</v>
      </c>
      <c r="B1093" s="75" t="s">
        <v>319</v>
      </c>
      <c r="C1093" s="75" t="s">
        <v>723</v>
      </c>
      <c r="D1093" s="75">
        <v>2022.0</v>
      </c>
      <c r="E1093" s="75">
        <v>8.60369054198088E14</v>
      </c>
      <c r="F1093" s="76" t="s">
        <v>326</v>
      </c>
      <c r="G1093" s="68" t="s">
        <v>328</v>
      </c>
      <c r="H1093" s="69">
        <v>45658.0</v>
      </c>
      <c r="I1093" s="78" t="s">
        <v>337</v>
      </c>
      <c r="J1093" s="78"/>
      <c r="K1093" s="79"/>
      <c r="L1093" s="80"/>
      <c r="M1093" s="81"/>
    </row>
    <row r="1094">
      <c r="A1094" s="75" t="s">
        <v>3246</v>
      </c>
      <c r="B1094" s="75" t="s">
        <v>319</v>
      </c>
      <c r="C1094" s="75" t="s">
        <v>321</v>
      </c>
      <c r="D1094" s="75">
        <v>2022.0</v>
      </c>
      <c r="E1094" s="75">
        <v>8.60369052142609E14</v>
      </c>
      <c r="F1094" s="76" t="s">
        <v>326</v>
      </c>
      <c r="G1094" s="68" t="s">
        <v>328</v>
      </c>
      <c r="H1094" s="69">
        <v>45658.0</v>
      </c>
      <c r="I1094" s="78" t="s">
        <v>337</v>
      </c>
      <c r="J1094" s="78"/>
      <c r="K1094" s="79"/>
      <c r="L1094" s="80"/>
      <c r="M1094" s="81"/>
    </row>
    <row r="1095">
      <c r="A1095" s="75" t="s">
        <v>3247</v>
      </c>
      <c r="B1095" s="75" t="s">
        <v>319</v>
      </c>
      <c r="C1095" s="75" t="s">
        <v>723</v>
      </c>
      <c r="D1095" s="75">
        <v>2022.0</v>
      </c>
      <c r="E1095" s="75">
        <v>8.60369052708904E14</v>
      </c>
      <c r="F1095" s="76" t="s">
        <v>326</v>
      </c>
      <c r="G1095" s="68" t="s">
        <v>328</v>
      </c>
      <c r="H1095" s="69">
        <v>45658.0</v>
      </c>
      <c r="I1095" s="78" t="s">
        <v>337</v>
      </c>
      <c r="J1095" s="78"/>
      <c r="K1095" s="79"/>
      <c r="L1095" s="80"/>
      <c r="M1095" s="81"/>
    </row>
    <row r="1096">
      <c r="A1096" s="75" t="s">
        <v>3248</v>
      </c>
      <c r="B1096" s="75" t="s">
        <v>319</v>
      </c>
      <c r="C1096" s="75" t="s">
        <v>723</v>
      </c>
      <c r="D1096" s="75">
        <v>2022.0</v>
      </c>
      <c r="E1096" s="75">
        <v>8.60369052409115E14</v>
      </c>
      <c r="F1096" s="76" t="s">
        <v>326</v>
      </c>
      <c r="G1096" s="68" t="s">
        <v>328</v>
      </c>
      <c r="H1096" s="69">
        <v>45658.0</v>
      </c>
      <c r="I1096" s="78" t="s">
        <v>337</v>
      </c>
      <c r="J1096" s="78"/>
      <c r="K1096" s="79"/>
      <c r="L1096" s="80"/>
      <c r="M1096" s="81"/>
    </row>
    <row r="1097">
      <c r="A1097" s="75" t="s">
        <v>3249</v>
      </c>
      <c r="B1097" s="75" t="s">
        <v>319</v>
      </c>
      <c r="C1097" s="75" t="s">
        <v>723</v>
      </c>
      <c r="D1097" s="75">
        <v>2022.0</v>
      </c>
      <c r="E1097" s="75">
        <v>8.603690541704E14</v>
      </c>
      <c r="F1097" s="76" t="s">
        <v>326</v>
      </c>
      <c r="G1097" s="68" t="s">
        <v>328</v>
      </c>
      <c r="H1097" s="69">
        <v>45658.0</v>
      </c>
      <c r="I1097" s="78" t="s">
        <v>337</v>
      </c>
      <c r="J1097" s="78"/>
      <c r="K1097" s="79"/>
      <c r="L1097" s="80"/>
      <c r="M1097" s="81"/>
    </row>
    <row r="1098">
      <c r="A1098" s="75" t="s">
        <v>3250</v>
      </c>
      <c r="B1098" s="75" t="s">
        <v>319</v>
      </c>
      <c r="C1098" s="75" t="s">
        <v>321</v>
      </c>
      <c r="D1098" s="75">
        <v>2022.0</v>
      </c>
      <c r="E1098" s="75">
        <v>8.60369054135718E14</v>
      </c>
      <c r="F1098" s="76" t="s">
        <v>326</v>
      </c>
      <c r="G1098" s="68" t="s">
        <v>328</v>
      </c>
      <c r="H1098" s="69">
        <v>45658.0</v>
      </c>
      <c r="I1098" s="78" t="s">
        <v>337</v>
      </c>
      <c r="J1098" s="78"/>
      <c r="K1098" s="79"/>
      <c r="L1098" s="80"/>
      <c r="M1098" s="81"/>
    </row>
    <row r="1099">
      <c r="A1099" s="75" t="s">
        <v>3251</v>
      </c>
      <c r="B1099" s="75" t="s">
        <v>319</v>
      </c>
      <c r="C1099" s="75" t="s">
        <v>321</v>
      </c>
      <c r="D1099" s="75">
        <v>2022.0</v>
      </c>
      <c r="E1099" s="75">
        <v>8.60369053345508E14</v>
      </c>
      <c r="F1099" s="76" t="s">
        <v>326</v>
      </c>
      <c r="G1099" s="68" t="s">
        <v>328</v>
      </c>
      <c r="H1099" s="69">
        <v>45658.0</v>
      </c>
      <c r="I1099" s="78" t="s">
        <v>337</v>
      </c>
      <c r="J1099" s="78"/>
      <c r="K1099" s="79"/>
      <c r="L1099" s="80"/>
      <c r="M1099" s="81"/>
    </row>
    <row r="1100">
      <c r="A1100" s="75" t="s">
        <v>3252</v>
      </c>
      <c r="B1100" s="75" t="s">
        <v>319</v>
      </c>
      <c r="C1100" s="75" t="s">
        <v>723</v>
      </c>
      <c r="D1100" s="75">
        <v>2022.0</v>
      </c>
      <c r="E1100" s="75">
        <v>8.60369053345912E14</v>
      </c>
      <c r="F1100" s="76" t="s">
        <v>326</v>
      </c>
      <c r="G1100" s="68" t="s">
        <v>328</v>
      </c>
      <c r="H1100" s="69">
        <v>45658.0</v>
      </c>
      <c r="I1100" s="78" t="s">
        <v>337</v>
      </c>
      <c r="J1100" s="78"/>
      <c r="K1100" s="79"/>
      <c r="L1100" s="80"/>
      <c r="M1100" s="81"/>
    </row>
    <row r="1101">
      <c r="A1101" s="75" t="s">
        <v>3253</v>
      </c>
      <c r="B1101" s="75" t="s">
        <v>319</v>
      </c>
      <c r="C1101" s="75" t="s">
        <v>321</v>
      </c>
      <c r="D1101" s="75">
        <v>2022.0</v>
      </c>
      <c r="E1101" s="75">
        <v>8.60369054179617E14</v>
      </c>
      <c r="F1101" s="76" t="s">
        <v>326</v>
      </c>
      <c r="G1101" s="68" t="s">
        <v>328</v>
      </c>
      <c r="H1101" s="69">
        <v>45658.0</v>
      </c>
      <c r="I1101" s="78" t="s">
        <v>337</v>
      </c>
      <c r="J1101" s="78"/>
      <c r="K1101" s="79"/>
      <c r="L1101" s="80"/>
      <c r="M1101" s="81"/>
    </row>
    <row r="1102">
      <c r="A1102" s="75" t="s">
        <v>3254</v>
      </c>
      <c r="B1102" s="75" t="s">
        <v>319</v>
      </c>
      <c r="C1102" s="75" t="s">
        <v>321</v>
      </c>
      <c r="D1102" s="75">
        <v>2022.0</v>
      </c>
      <c r="E1102" s="75">
        <v>8.60369052706601E14</v>
      </c>
      <c r="F1102" s="76" t="s">
        <v>326</v>
      </c>
      <c r="G1102" s="68" t="s">
        <v>328</v>
      </c>
      <c r="H1102" s="69">
        <v>45658.0</v>
      </c>
      <c r="I1102" s="78" t="s">
        <v>337</v>
      </c>
      <c r="J1102" s="78"/>
      <c r="K1102" s="79"/>
      <c r="L1102" s="80"/>
      <c r="M1102" s="81"/>
    </row>
    <row r="1103">
      <c r="A1103" s="75" t="s">
        <v>3255</v>
      </c>
      <c r="B1103" s="75" t="s">
        <v>319</v>
      </c>
      <c r="C1103" s="75" t="s">
        <v>723</v>
      </c>
      <c r="D1103" s="75">
        <v>2022.0</v>
      </c>
      <c r="E1103" s="75">
        <v>8.60369054740681E14</v>
      </c>
      <c r="F1103" s="76" t="s">
        <v>326</v>
      </c>
      <c r="G1103" s="68" t="s">
        <v>328</v>
      </c>
      <c r="H1103" s="69">
        <v>45658.0</v>
      </c>
      <c r="I1103" s="78" t="s">
        <v>337</v>
      </c>
      <c r="J1103" s="78"/>
      <c r="K1103" s="79"/>
      <c r="L1103" s="80"/>
      <c r="M1103" s="81"/>
    </row>
    <row r="1104">
      <c r="A1104" s="75" t="s">
        <v>3256</v>
      </c>
      <c r="B1104" s="75" t="s">
        <v>319</v>
      </c>
      <c r="C1104" s="75" t="s">
        <v>321</v>
      </c>
      <c r="D1104" s="75">
        <v>2022.0</v>
      </c>
      <c r="E1104" s="75">
        <v>8.60369052193974E14</v>
      </c>
      <c r="F1104" s="76" t="s">
        <v>326</v>
      </c>
      <c r="G1104" s="68" t="s">
        <v>328</v>
      </c>
      <c r="H1104" s="69">
        <v>45658.0</v>
      </c>
      <c r="I1104" s="78" t="s">
        <v>337</v>
      </c>
      <c r="J1104" s="78"/>
      <c r="K1104" s="79"/>
      <c r="L1104" s="80"/>
      <c r="M1104" s="81"/>
    </row>
    <row r="1105">
      <c r="A1105" s="75" t="s">
        <v>3257</v>
      </c>
      <c r="B1105" s="75" t="s">
        <v>319</v>
      </c>
      <c r="C1105" s="75" t="s">
        <v>321</v>
      </c>
      <c r="D1105" s="75">
        <v>2022.0</v>
      </c>
      <c r="E1105" s="75">
        <v>8.60369054170285E14</v>
      </c>
      <c r="F1105" s="76" t="s">
        <v>326</v>
      </c>
      <c r="G1105" s="68" t="s">
        <v>328</v>
      </c>
      <c r="H1105" s="69">
        <v>45658.0</v>
      </c>
      <c r="I1105" s="78" t="s">
        <v>337</v>
      </c>
      <c r="J1105" s="78"/>
      <c r="K1105" s="79"/>
      <c r="L1105" s="80"/>
      <c r="M1105" s="81"/>
    </row>
    <row r="1106">
      <c r="A1106" s="75" t="s">
        <v>3258</v>
      </c>
      <c r="B1106" s="75" t="s">
        <v>319</v>
      </c>
      <c r="C1106" s="75" t="s">
        <v>321</v>
      </c>
      <c r="D1106" s="75">
        <v>2022.0</v>
      </c>
      <c r="E1106" s="75">
        <v>8.60369052426382E14</v>
      </c>
      <c r="F1106" s="76" t="s">
        <v>326</v>
      </c>
      <c r="G1106" s="68" t="s">
        <v>328</v>
      </c>
      <c r="H1106" s="69">
        <v>45658.0</v>
      </c>
      <c r="I1106" s="78" t="s">
        <v>337</v>
      </c>
      <c r="J1106" s="78"/>
      <c r="K1106" s="79"/>
      <c r="L1106" s="80"/>
      <c r="M1106" s="81"/>
    </row>
    <row r="1107">
      <c r="A1107" s="75" t="s">
        <v>3259</v>
      </c>
      <c r="B1107" s="75" t="s">
        <v>319</v>
      </c>
      <c r="C1107" s="75" t="s">
        <v>321</v>
      </c>
      <c r="D1107" s="75">
        <v>2022.0</v>
      </c>
      <c r="E1107" s="75">
        <v>8.6036905334587E14</v>
      </c>
      <c r="F1107" s="76" t="s">
        <v>326</v>
      </c>
      <c r="G1107" s="68" t="s">
        <v>328</v>
      </c>
      <c r="H1107" s="69">
        <v>45658.0</v>
      </c>
      <c r="I1107" s="78" t="s">
        <v>337</v>
      </c>
      <c r="J1107" s="78"/>
      <c r="K1107" s="79"/>
      <c r="L1107" s="80"/>
      <c r="M1107" s="81"/>
    </row>
    <row r="1108">
      <c r="A1108" s="75" t="s">
        <v>3260</v>
      </c>
      <c r="B1108" s="75" t="s">
        <v>319</v>
      </c>
      <c r="C1108" s="75" t="s">
        <v>321</v>
      </c>
      <c r="D1108" s="75">
        <v>2022.0</v>
      </c>
      <c r="E1108" s="75">
        <v>8.60369052703863E14</v>
      </c>
      <c r="F1108" s="76" t="s">
        <v>326</v>
      </c>
      <c r="G1108" s="68" t="s">
        <v>328</v>
      </c>
      <c r="H1108" s="69">
        <v>45658.0</v>
      </c>
      <c r="I1108" s="78" t="s">
        <v>337</v>
      </c>
      <c r="J1108" s="78"/>
      <c r="K1108" s="79"/>
      <c r="L1108" s="80"/>
      <c r="M1108" s="81"/>
    </row>
    <row r="1109">
      <c r="A1109" s="75" t="s">
        <v>3261</v>
      </c>
      <c r="B1109" s="75" t="s">
        <v>319</v>
      </c>
      <c r="C1109" s="75" t="s">
        <v>321</v>
      </c>
      <c r="D1109" s="75">
        <v>2022.0</v>
      </c>
      <c r="E1109" s="75">
        <v>8.60369054180425E14</v>
      </c>
      <c r="F1109" s="76" t="s">
        <v>326</v>
      </c>
      <c r="G1109" s="68" t="s">
        <v>328</v>
      </c>
      <c r="H1109" s="69">
        <v>45658.0</v>
      </c>
      <c r="I1109" s="78" t="s">
        <v>337</v>
      </c>
      <c r="J1109" s="78"/>
      <c r="K1109" s="79"/>
      <c r="L1109" s="80"/>
      <c r="M1109" s="81"/>
    </row>
    <row r="1110">
      <c r="A1110" s="75" t="s">
        <v>3262</v>
      </c>
      <c r="B1110" s="75" t="s">
        <v>319</v>
      </c>
      <c r="C1110" s="75" t="s">
        <v>321</v>
      </c>
      <c r="D1110" s="75">
        <v>2022.0</v>
      </c>
      <c r="E1110" s="75">
        <v>8.60369054168248E14</v>
      </c>
      <c r="F1110" s="76" t="s">
        <v>326</v>
      </c>
      <c r="G1110" s="68" t="s">
        <v>328</v>
      </c>
      <c r="H1110" s="69">
        <v>45658.0</v>
      </c>
      <c r="I1110" s="78" t="s">
        <v>337</v>
      </c>
      <c r="J1110" s="78"/>
      <c r="K1110" s="79"/>
      <c r="L1110" s="80"/>
      <c r="M1110" s="81"/>
    </row>
    <row r="1111">
      <c r="A1111" s="75" t="s">
        <v>3263</v>
      </c>
      <c r="B1111" s="75" t="s">
        <v>319</v>
      </c>
      <c r="C1111" s="75" t="s">
        <v>723</v>
      </c>
      <c r="D1111" s="75">
        <v>2022.0</v>
      </c>
      <c r="E1111" s="75">
        <v>8.60369054197015E14</v>
      </c>
      <c r="F1111" s="76" t="s">
        <v>326</v>
      </c>
      <c r="G1111" s="68" t="s">
        <v>328</v>
      </c>
      <c r="H1111" s="69">
        <v>45658.0</v>
      </c>
      <c r="I1111" s="78" t="s">
        <v>337</v>
      </c>
      <c r="J1111" s="78"/>
      <c r="K1111" s="79"/>
      <c r="L1111" s="80"/>
      <c r="M1111" s="81"/>
    </row>
    <row r="1112">
      <c r="A1112" s="75" t="s">
        <v>3264</v>
      </c>
      <c r="B1112" s="75" t="s">
        <v>319</v>
      </c>
      <c r="C1112" s="75" t="s">
        <v>321</v>
      </c>
      <c r="D1112" s="75">
        <v>2022.0</v>
      </c>
      <c r="E1112" s="75">
        <v>8.60369052696166E14</v>
      </c>
      <c r="F1112" s="76" t="s">
        <v>326</v>
      </c>
      <c r="G1112" s="68" t="s">
        <v>328</v>
      </c>
      <c r="H1112" s="69">
        <v>45658.0</v>
      </c>
      <c r="I1112" s="78" t="s">
        <v>337</v>
      </c>
      <c r="J1112" s="78"/>
      <c r="K1112" s="79"/>
      <c r="L1112" s="80"/>
      <c r="M1112" s="81"/>
    </row>
    <row r="1113">
      <c r="A1113" s="75" t="s">
        <v>3265</v>
      </c>
      <c r="B1113" s="75" t="s">
        <v>319</v>
      </c>
      <c r="C1113" s="75" t="s">
        <v>321</v>
      </c>
      <c r="D1113" s="75">
        <v>2022.0</v>
      </c>
      <c r="E1113" s="75">
        <v>8.6036905212369E14</v>
      </c>
      <c r="F1113" s="76" t="s">
        <v>398</v>
      </c>
      <c r="G1113" s="68" t="s">
        <v>328</v>
      </c>
      <c r="H1113" s="69">
        <v>45658.0</v>
      </c>
      <c r="I1113" s="78" t="s">
        <v>337</v>
      </c>
      <c r="J1113" s="78"/>
      <c r="K1113" s="79"/>
      <c r="L1113" s="80"/>
      <c r="M1113" s="81"/>
    </row>
    <row r="1114">
      <c r="A1114" s="75" t="s">
        <v>3266</v>
      </c>
      <c r="B1114" s="75" t="s">
        <v>389</v>
      </c>
      <c r="C1114" s="75" t="s">
        <v>1292</v>
      </c>
      <c r="D1114" s="75">
        <v>2022.0</v>
      </c>
      <c r="E1114" s="75">
        <v>8.60369052145206E14</v>
      </c>
      <c r="F1114" s="76" t="s">
        <v>398</v>
      </c>
      <c r="G1114" s="68" t="s">
        <v>328</v>
      </c>
      <c r="H1114" s="69">
        <v>45658.0</v>
      </c>
      <c r="I1114" s="78" t="s">
        <v>337</v>
      </c>
      <c r="J1114" s="78"/>
      <c r="K1114" s="79"/>
      <c r="L1114" s="80"/>
      <c r="M1114" s="81"/>
      <c r="N1114" s="83" t="s">
        <v>380</v>
      </c>
    </row>
    <row r="1115">
      <c r="A1115" s="75" t="s">
        <v>3267</v>
      </c>
      <c r="B1115" s="75" t="s">
        <v>319</v>
      </c>
      <c r="C1115" s="75" t="s">
        <v>321</v>
      </c>
      <c r="D1115" s="75">
        <v>2022.0</v>
      </c>
      <c r="E1115" s="75">
        <v>8.60369053345649E14</v>
      </c>
      <c r="F1115" s="76" t="s">
        <v>326</v>
      </c>
      <c r="G1115" s="68" t="s">
        <v>328</v>
      </c>
      <c r="H1115" s="69">
        <v>45658.0</v>
      </c>
      <c r="I1115" s="78" t="s">
        <v>337</v>
      </c>
      <c r="J1115" s="78"/>
      <c r="K1115" s="79"/>
      <c r="L1115" s="80"/>
      <c r="M1115" s="81"/>
    </row>
    <row r="1116">
      <c r="A1116" s="75" t="s">
        <v>3268</v>
      </c>
      <c r="B1116" s="75" t="s">
        <v>389</v>
      </c>
      <c r="C1116" s="75" t="s">
        <v>1292</v>
      </c>
      <c r="D1116" s="75">
        <v>2022.0</v>
      </c>
      <c r="E1116" s="75">
        <v>8.60369052481056E14</v>
      </c>
      <c r="F1116" s="76" t="s">
        <v>398</v>
      </c>
      <c r="G1116" s="68" t="s">
        <v>328</v>
      </c>
      <c r="H1116" s="69">
        <v>45658.0</v>
      </c>
      <c r="I1116" s="78" t="s">
        <v>337</v>
      </c>
      <c r="J1116" s="78"/>
      <c r="K1116" s="79"/>
      <c r="L1116" s="80"/>
      <c r="M1116" s="81"/>
      <c r="N1116" s="83" t="s">
        <v>380</v>
      </c>
    </row>
    <row r="1117">
      <c r="A1117" s="75" t="s">
        <v>3269</v>
      </c>
      <c r="B1117" s="75" t="s">
        <v>389</v>
      </c>
      <c r="C1117" s="75" t="s">
        <v>1292</v>
      </c>
      <c r="D1117" s="75">
        <v>2022.0</v>
      </c>
      <c r="E1117" s="75">
        <v>8.60369052145271E14</v>
      </c>
      <c r="F1117" s="76" t="s">
        <v>398</v>
      </c>
      <c r="G1117" s="68" t="s">
        <v>328</v>
      </c>
      <c r="H1117" s="69">
        <v>45658.0</v>
      </c>
      <c r="I1117" s="78" t="s">
        <v>337</v>
      </c>
      <c r="J1117" s="78"/>
      <c r="K1117" s="79"/>
      <c r="L1117" s="80"/>
      <c r="M1117" s="81"/>
      <c r="N1117" s="83" t="s">
        <v>380</v>
      </c>
    </row>
    <row r="1118">
      <c r="A1118" s="75" t="s">
        <v>3270</v>
      </c>
      <c r="B1118" s="75" t="s">
        <v>389</v>
      </c>
      <c r="C1118" s="75" t="s">
        <v>1292</v>
      </c>
      <c r="D1118" s="75">
        <v>2022.0</v>
      </c>
      <c r="E1118" s="75">
        <v>8.60369052154679E14</v>
      </c>
      <c r="F1118" s="76" t="s">
        <v>326</v>
      </c>
      <c r="G1118" s="68" t="s">
        <v>328</v>
      </c>
      <c r="H1118" s="69">
        <v>45658.0</v>
      </c>
      <c r="I1118" s="78" t="s">
        <v>337</v>
      </c>
      <c r="J1118" s="78"/>
      <c r="K1118" s="79"/>
      <c r="L1118" s="80"/>
      <c r="M1118" s="81"/>
      <c r="N1118" s="83" t="s">
        <v>380</v>
      </c>
    </row>
    <row r="1119">
      <c r="A1119" s="75" t="s">
        <v>3271</v>
      </c>
      <c r="B1119" s="75" t="s">
        <v>389</v>
      </c>
      <c r="C1119" s="75" t="s">
        <v>1292</v>
      </c>
      <c r="D1119" s="75">
        <v>2022.0</v>
      </c>
      <c r="E1119" s="75">
        <v>8.60369052470299E14</v>
      </c>
      <c r="F1119" s="76" t="s">
        <v>398</v>
      </c>
      <c r="G1119" s="68" t="s">
        <v>328</v>
      </c>
      <c r="H1119" s="69">
        <v>45658.0</v>
      </c>
      <c r="I1119" s="78" t="s">
        <v>337</v>
      </c>
      <c r="J1119" s="78"/>
      <c r="K1119" s="79"/>
      <c r="L1119" s="80"/>
      <c r="M1119" s="81"/>
      <c r="N1119" s="83" t="s">
        <v>380</v>
      </c>
    </row>
    <row r="1120">
      <c r="A1120" s="75" t="s">
        <v>3272</v>
      </c>
      <c r="B1120" s="75" t="s">
        <v>319</v>
      </c>
      <c r="C1120" s="75" t="s">
        <v>321</v>
      </c>
      <c r="D1120" s="75">
        <v>2022.0</v>
      </c>
      <c r="E1120" s="75">
        <v>8.60369054161383E14</v>
      </c>
      <c r="F1120" s="76" t="s">
        <v>326</v>
      </c>
      <c r="G1120" s="68" t="s">
        <v>328</v>
      </c>
      <c r="H1120" s="69">
        <v>45658.0</v>
      </c>
      <c r="I1120" s="78" t="s">
        <v>337</v>
      </c>
      <c r="J1120" s="78"/>
      <c r="K1120" s="79"/>
      <c r="L1120" s="80"/>
      <c r="M1120" s="81"/>
    </row>
    <row r="1121">
      <c r="A1121" s="75" t="s">
        <v>3273</v>
      </c>
      <c r="B1121" s="75" t="s">
        <v>319</v>
      </c>
      <c r="C1121" s="75" t="s">
        <v>321</v>
      </c>
      <c r="D1121" s="75">
        <v>2022.0</v>
      </c>
      <c r="E1121" s="75">
        <v>8.60369054173073E14</v>
      </c>
      <c r="F1121" s="76" t="s">
        <v>326</v>
      </c>
      <c r="G1121" s="68" t="s">
        <v>328</v>
      </c>
      <c r="H1121" s="69">
        <v>45658.0</v>
      </c>
      <c r="I1121" s="78" t="s">
        <v>337</v>
      </c>
      <c r="J1121" s="78"/>
      <c r="K1121" s="79"/>
      <c r="L1121" s="80"/>
      <c r="M1121" s="81"/>
    </row>
    <row r="1122">
      <c r="A1122" s="75" t="s">
        <v>3274</v>
      </c>
      <c r="B1122" s="75" t="s">
        <v>319</v>
      </c>
      <c r="C1122" s="75" t="s">
        <v>321</v>
      </c>
      <c r="D1122" s="75">
        <v>2022.0</v>
      </c>
      <c r="E1122" s="75">
        <v>8.603690510592E14</v>
      </c>
      <c r="F1122" s="76" t="s">
        <v>398</v>
      </c>
      <c r="G1122" s="68" t="s">
        <v>328</v>
      </c>
      <c r="H1122" s="69">
        <v>45658.0</v>
      </c>
      <c r="I1122" s="78" t="s">
        <v>337</v>
      </c>
      <c r="J1122" s="78"/>
      <c r="K1122" s="79"/>
      <c r="L1122" s="80"/>
      <c r="M1122" s="81"/>
    </row>
    <row r="1123">
      <c r="A1123" s="75" t="s">
        <v>3275</v>
      </c>
      <c r="B1123" s="75" t="s">
        <v>319</v>
      </c>
      <c r="C1123" s="75" t="s">
        <v>321</v>
      </c>
      <c r="D1123" s="75">
        <v>2022.0</v>
      </c>
      <c r="E1123" s="75">
        <v>8.60369052415955E14</v>
      </c>
      <c r="F1123" s="76" t="s">
        <v>326</v>
      </c>
      <c r="G1123" s="68" t="s">
        <v>328</v>
      </c>
      <c r="H1123" s="69">
        <v>45658.0</v>
      </c>
      <c r="I1123" s="78" t="s">
        <v>337</v>
      </c>
      <c r="J1123" s="78"/>
      <c r="K1123" s="79"/>
      <c r="L1123" s="80"/>
      <c r="M1123" s="81"/>
    </row>
    <row r="1124">
      <c r="A1124" s="75" t="s">
        <v>3276</v>
      </c>
      <c r="B1124" s="75" t="s">
        <v>319</v>
      </c>
      <c r="C1124" s="75" t="s">
        <v>321</v>
      </c>
      <c r="D1124" s="75">
        <v>2022.0</v>
      </c>
      <c r="E1124" s="75">
        <v>8.60369054171838E14</v>
      </c>
      <c r="F1124" s="76" t="s">
        <v>326</v>
      </c>
      <c r="G1124" s="68" t="s">
        <v>328</v>
      </c>
      <c r="H1124" s="69">
        <v>45658.0</v>
      </c>
      <c r="I1124" s="78" t="s">
        <v>337</v>
      </c>
      <c r="J1124" s="78"/>
      <c r="K1124" s="79"/>
      <c r="L1124" s="80"/>
      <c r="M1124" s="81"/>
    </row>
    <row r="1125">
      <c r="A1125" s="75" t="s">
        <v>3277</v>
      </c>
      <c r="B1125" s="75" t="s">
        <v>319</v>
      </c>
      <c r="C1125" s="75" t="s">
        <v>321</v>
      </c>
      <c r="D1125" s="75">
        <v>2022.0</v>
      </c>
      <c r="E1125" s="75">
        <v>8.60369054194723E14</v>
      </c>
      <c r="F1125" s="76" t="s">
        <v>326</v>
      </c>
      <c r="G1125" s="68" t="s">
        <v>328</v>
      </c>
      <c r="H1125" s="69">
        <v>45658.0</v>
      </c>
      <c r="I1125" s="78" t="s">
        <v>337</v>
      </c>
      <c r="J1125" s="78"/>
      <c r="K1125" s="79"/>
      <c r="L1125" s="80"/>
      <c r="M1125" s="81"/>
    </row>
    <row r="1126">
      <c r="A1126" s="75" t="s">
        <v>3278</v>
      </c>
      <c r="B1126" s="75" t="s">
        <v>319</v>
      </c>
      <c r="C1126" s="75" t="s">
        <v>321</v>
      </c>
      <c r="D1126" s="75">
        <v>2022.0</v>
      </c>
      <c r="E1126" s="75">
        <v>8.60369054154297E14</v>
      </c>
      <c r="F1126" s="76" t="s">
        <v>326</v>
      </c>
      <c r="G1126" s="68" t="s">
        <v>328</v>
      </c>
      <c r="H1126" s="69">
        <v>45658.0</v>
      </c>
      <c r="I1126" s="78" t="s">
        <v>337</v>
      </c>
      <c r="J1126" s="78"/>
      <c r="K1126" s="79"/>
      <c r="L1126" s="80"/>
      <c r="M1126" s="81"/>
    </row>
    <row r="1127">
      <c r="A1127" s="75" t="s">
        <v>3279</v>
      </c>
      <c r="B1127" s="75" t="s">
        <v>319</v>
      </c>
      <c r="C1127" s="75" t="s">
        <v>321</v>
      </c>
      <c r="D1127" s="75">
        <v>2022.0</v>
      </c>
      <c r="E1127" s="75">
        <v>8.60369054170459E14</v>
      </c>
      <c r="F1127" s="76" t="s">
        <v>326</v>
      </c>
      <c r="G1127" s="68" t="s">
        <v>328</v>
      </c>
      <c r="H1127" s="69">
        <v>45658.0</v>
      </c>
      <c r="I1127" s="78" t="s">
        <v>337</v>
      </c>
      <c r="J1127" s="78"/>
      <c r="K1127" s="79"/>
      <c r="L1127" s="80"/>
      <c r="M1127" s="81"/>
    </row>
    <row r="1128">
      <c r="A1128" s="75" t="s">
        <v>3280</v>
      </c>
      <c r="B1128" s="75" t="s">
        <v>319</v>
      </c>
      <c r="C1128" s="75" t="s">
        <v>321</v>
      </c>
      <c r="D1128" s="75">
        <v>2022.0</v>
      </c>
      <c r="E1128" s="75">
        <v>8.60369052701792E14</v>
      </c>
      <c r="F1128" s="76" t="s">
        <v>326</v>
      </c>
      <c r="G1128" s="68" t="s">
        <v>328</v>
      </c>
      <c r="H1128" s="69">
        <v>45658.0</v>
      </c>
      <c r="I1128" s="78" t="s">
        <v>337</v>
      </c>
      <c r="J1128" s="78"/>
      <c r="K1128" s="79"/>
      <c r="L1128" s="80"/>
      <c r="M1128" s="81"/>
    </row>
    <row r="1129">
      <c r="A1129" s="75" t="s">
        <v>3281</v>
      </c>
      <c r="B1129" s="75" t="s">
        <v>319</v>
      </c>
      <c r="C1129" s="75" t="s">
        <v>321</v>
      </c>
      <c r="D1129" s="75">
        <v>2022.0</v>
      </c>
      <c r="E1129" s="75">
        <v>8.60369052142807E14</v>
      </c>
      <c r="F1129" s="76" t="s">
        <v>398</v>
      </c>
      <c r="G1129" s="68" t="s">
        <v>328</v>
      </c>
      <c r="H1129" s="69">
        <v>45658.0</v>
      </c>
      <c r="I1129" s="78" t="s">
        <v>337</v>
      </c>
      <c r="J1129" s="78"/>
      <c r="K1129" s="79"/>
      <c r="L1129" s="80"/>
      <c r="M1129" s="81"/>
    </row>
    <row r="1130">
      <c r="A1130" s="75" t="s">
        <v>3282</v>
      </c>
      <c r="B1130" s="75" t="s">
        <v>319</v>
      </c>
      <c r="C1130" s="75" t="s">
        <v>321</v>
      </c>
      <c r="D1130" s="75">
        <v>2022.0</v>
      </c>
      <c r="E1130" s="75">
        <v>8.60369052193685E14</v>
      </c>
      <c r="F1130" s="76" t="s">
        <v>326</v>
      </c>
      <c r="G1130" s="68" t="s">
        <v>328</v>
      </c>
      <c r="H1130" s="69">
        <v>45658.0</v>
      </c>
      <c r="I1130" s="78" t="s">
        <v>337</v>
      </c>
      <c r="J1130" s="78"/>
      <c r="K1130" s="79"/>
      <c r="L1130" s="80"/>
      <c r="M1130" s="81"/>
    </row>
    <row r="1131">
      <c r="A1131" s="75" t="s">
        <v>3283</v>
      </c>
      <c r="B1131" s="75" t="s">
        <v>319</v>
      </c>
      <c r="C1131" s="75" t="s">
        <v>321</v>
      </c>
      <c r="D1131" s="75">
        <v>2022.0</v>
      </c>
      <c r="E1131" s="75">
        <v>8.60369052688965E14</v>
      </c>
      <c r="F1131" s="76" t="s">
        <v>326</v>
      </c>
      <c r="G1131" s="68" t="s">
        <v>328</v>
      </c>
      <c r="H1131" s="69">
        <v>45658.0</v>
      </c>
      <c r="I1131" s="78" t="s">
        <v>337</v>
      </c>
      <c r="J1131" s="78"/>
      <c r="K1131" s="79"/>
      <c r="L1131" s="80"/>
      <c r="M1131" s="81"/>
    </row>
    <row r="1132">
      <c r="A1132" s="75" t="s">
        <v>3284</v>
      </c>
      <c r="B1132" s="75" t="s">
        <v>319</v>
      </c>
      <c r="C1132" s="75" t="s">
        <v>321</v>
      </c>
      <c r="D1132" s="75">
        <v>2022.0</v>
      </c>
      <c r="E1132" s="75">
        <v>8.60369052708938E14</v>
      </c>
      <c r="F1132" s="76" t="s">
        <v>326</v>
      </c>
      <c r="G1132" s="68" t="s">
        <v>328</v>
      </c>
      <c r="H1132" s="69">
        <v>45658.0</v>
      </c>
      <c r="I1132" s="78" t="s">
        <v>337</v>
      </c>
      <c r="J1132" s="78"/>
      <c r="K1132" s="79"/>
      <c r="L1132" s="80"/>
      <c r="M1132" s="81"/>
    </row>
    <row r="1133">
      <c r="A1133" s="75" t="s">
        <v>3285</v>
      </c>
      <c r="B1133" s="75" t="s">
        <v>319</v>
      </c>
      <c r="C1133" s="75" t="s">
        <v>321</v>
      </c>
      <c r="D1133" s="75">
        <v>2022.0</v>
      </c>
      <c r="E1133" s="75">
        <v>8.60369054171416E14</v>
      </c>
      <c r="F1133" s="76" t="s">
        <v>326</v>
      </c>
      <c r="G1133" s="68" t="s">
        <v>328</v>
      </c>
      <c r="H1133" s="69">
        <v>45658.0</v>
      </c>
      <c r="I1133" s="78" t="s">
        <v>337</v>
      </c>
      <c r="J1133" s="78"/>
      <c r="K1133" s="79"/>
      <c r="L1133" s="80"/>
      <c r="M1133" s="81"/>
    </row>
    <row r="1134">
      <c r="A1134" s="75" t="s">
        <v>3286</v>
      </c>
      <c r="B1134" s="75" t="s">
        <v>319</v>
      </c>
      <c r="C1134" s="75" t="s">
        <v>321</v>
      </c>
      <c r="D1134" s="75">
        <v>2022.0</v>
      </c>
      <c r="E1134" s="75">
        <v>8.6036905269619E14</v>
      </c>
      <c r="F1134" s="76" t="s">
        <v>326</v>
      </c>
      <c r="G1134" s="68" t="s">
        <v>328</v>
      </c>
      <c r="H1134" s="69">
        <v>45658.0</v>
      </c>
      <c r="I1134" s="78" t="s">
        <v>337</v>
      </c>
      <c r="J1134" s="78"/>
      <c r="K1134" s="79"/>
      <c r="L1134" s="80"/>
      <c r="M1134" s="81"/>
    </row>
    <row r="1135">
      <c r="A1135" s="75" t="s">
        <v>3287</v>
      </c>
      <c r="B1135" s="75" t="s">
        <v>319</v>
      </c>
      <c r="C1135" s="75" t="s">
        <v>321</v>
      </c>
      <c r="D1135" s="75">
        <v>2022.0</v>
      </c>
      <c r="E1135" s="75">
        <v>8.6036905269209E14</v>
      </c>
      <c r="F1135" s="76" t="s">
        <v>326</v>
      </c>
      <c r="G1135" s="68" t="s">
        <v>328</v>
      </c>
      <c r="H1135" s="69">
        <v>45658.0</v>
      </c>
      <c r="I1135" s="78" t="s">
        <v>337</v>
      </c>
      <c r="J1135" s="78"/>
      <c r="K1135" s="79"/>
      <c r="L1135" s="80"/>
      <c r="M1135" s="81"/>
    </row>
    <row r="1136">
      <c r="A1136" s="75" t="s">
        <v>3288</v>
      </c>
      <c r="B1136" s="75" t="s">
        <v>319</v>
      </c>
      <c r="C1136" s="75" t="s">
        <v>321</v>
      </c>
      <c r="D1136" s="75">
        <v>2022.0</v>
      </c>
      <c r="E1136" s="75">
        <v>8.60369054154495E14</v>
      </c>
      <c r="F1136" s="76" t="s">
        <v>326</v>
      </c>
      <c r="G1136" s="68" t="s">
        <v>328</v>
      </c>
      <c r="H1136" s="69">
        <v>45658.0</v>
      </c>
      <c r="I1136" s="78" t="s">
        <v>337</v>
      </c>
      <c r="J1136" s="78"/>
      <c r="K1136" s="79"/>
      <c r="L1136" s="80"/>
      <c r="M1136" s="81"/>
    </row>
    <row r="1137">
      <c r="A1137" s="75" t="s">
        <v>3289</v>
      </c>
      <c r="B1137" s="75" t="s">
        <v>319</v>
      </c>
      <c r="C1137" s="75" t="s">
        <v>321</v>
      </c>
      <c r="D1137" s="75">
        <v>2022.0</v>
      </c>
      <c r="E1137" s="75">
        <v>8.60369052707336E14</v>
      </c>
      <c r="F1137" s="76" t="s">
        <v>326</v>
      </c>
      <c r="G1137" s="68" t="s">
        <v>328</v>
      </c>
      <c r="H1137" s="69">
        <v>45658.0</v>
      </c>
      <c r="I1137" s="78" t="s">
        <v>337</v>
      </c>
      <c r="J1137" s="78"/>
      <c r="K1137" s="79"/>
      <c r="L1137" s="80"/>
      <c r="M1137" s="81"/>
    </row>
    <row r="1138">
      <c r="A1138" s="75" t="s">
        <v>3290</v>
      </c>
      <c r="B1138" s="75" t="s">
        <v>319</v>
      </c>
      <c r="C1138" s="75" t="s">
        <v>321</v>
      </c>
      <c r="D1138" s="75">
        <v>2022.0</v>
      </c>
      <c r="E1138" s="75">
        <v>8.60369054160302E14</v>
      </c>
      <c r="F1138" s="76" t="s">
        <v>326</v>
      </c>
      <c r="G1138" s="68" t="s">
        <v>328</v>
      </c>
      <c r="H1138" s="69">
        <v>45658.0</v>
      </c>
      <c r="I1138" s="78" t="s">
        <v>337</v>
      </c>
      <c r="J1138" s="78"/>
      <c r="K1138" s="79"/>
      <c r="L1138" s="80"/>
      <c r="M1138" s="81"/>
    </row>
    <row r="1139">
      <c r="A1139" s="75" t="s">
        <v>3291</v>
      </c>
      <c r="B1139" s="75" t="s">
        <v>319</v>
      </c>
      <c r="C1139" s="75" t="s">
        <v>321</v>
      </c>
      <c r="D1139" s="75">
        <v>2022.0</v>
      </c>
      <c r="E1139" s="75">
        <v>8.60369054408909E14</v>
      </c>
      <c r="F1139" s="76" t="s">
        <v>326</v>
      </c>
      <c r="G1139" s="68" t="s">
        <v>328</v>
      </c>
      <c r="H1139" s="69">
        <v>45658.0</v>
      </c>
      <c r="I1139" s="78" t="s">
        <v>337</v>
      </c>
      <c r="J1139" s="78"/>
      <c r="K1139" s="79"/>
      <c r="L1139" s="80"/>
      <c r="M1139" s="81"/>
    </row>
    <row r="1140">
      <c r="A1140" s="75" t="s">
        <v>3292</v>
      </c>
      <c r="B1140" s="75" t="s">
        <v>319</v>
      </c>
      <c r="C1140" s="75" t="s">
        <v>321</v>
      </c>
      <c r="D1140" s="75">
        <v>2022.0</v>
      </c>
      <c r="E1140" s="75">
        <v>8.60369054181431E14</v>
      </c>
      <c r="F1140" s="76" t="s">
        <v>326</v>
      </c>
      <c r="G1140" s="68" t="s">
        <v>328</v>
      </c>
      <c r="H1140" s="69">
        <v>45658.0</v>
      </c>
      <c r="I1140" s="78" t="s">
        <v>337</v>
      </c>
      <c r="J1140" s="78"/>
      <c r="K1140" s="79"/>
      <c r="L1140" s="80"/>
      <c r="M1140" s="81"/>
    </row>
    <row r="1141">
      <c r="A1141" s="75" t="s">
        <v>3293</v>
      </c>
      <c r="B1141" s="75" t="s">
        <v>319</v>
      </c>
      <c r="C1141" s="75" t="s">
        <v>321</v>
      </c>
      <c r="D1141" s="75">
        <v>2022.0</v>
      </c>
      <c r="E1141" s="75">
        <v>8.60369054155492E14</v>
      </c>
      <c r="F1141" s="76" t="s">
        <v>326</v>
      </c>
      <c r="G1141" s="68" t="s">
        <v>328</v>
      </c>
      <c r="H1141" s="69">
        <v>45658.0</v>
      </c>
      <c r="I1141" s="78" t="s">
        <v>337</v>
      </c>
      <c r="J1141" s="78"/>
      <c r="K1141" s="79"/>
      <c r="L1141" s="80"/>
      <c r="M1141" s="81"/>
    </row>
    <row r="1142">
      <c r="A1142" s="75" t="s">
        <v>3294</v>
      </c>
      <c r="B1142" s="75" t="s">
        <v>319</v>
      </c>
      <c r="C1142" s="75" t="s">
        <v>321</v>
      </c>
      <c r="D1142" s="75">
        <v>2022.0</v>
      </c>
      <c r="E1142" s="75">
        <v>8.60369052701115E14</v>
      </c>
      <c r="F1142" s="76" t="s">
        <v>326</v>
      </c>
      <c r="G1142" s="68" t="s">
        <v>328</v>
      </c>
      <c r="H1142" s="69">
        <v>45658.0</v>
      </c>
      <c r="I1142" s="78" t="s">
        <v>337</v>
      </c>
      <c r="J1142" s="78"/>
      <c r="K1142" s="79"/>
      <c r="L1142" s="80"/>
      <c r="M1142" s="81"/>
    </row>
    <row r="1143">
      <c r="A1143" s="75" t="s">
        <v>3295</v>
      </c>
      <c r="B1143" s="75" t="s">
        <v>319</v>
      </c>
      <c r="C1143" s="75" t="s">
        <v>321</v>
      </c>
      <c r="D1143" s="75">
        <v>2022.0</v>
      </c>
      <c r="E1143" s="75">
        <v>8.60369054154008E14</v>
      </c>
      <c r="F1143" s="76" t="s">
        <v>326</v>
      </c>
      <c r="G1143" s="68" t="s">
        <v>328</v>
      </c>
      <c r="H1143" s="69">
        <v>45658.0</v>
      </c>
      <c r="I1143" s="78" t="s">
        <v>337</v>
      </c>
      <c r="J1143" s="78"/>
      <c r="K1143" s="79"/>
      <c r="L1143" s="80"/>
      <c r="M1143" s="81"/>
    </row>
    <row r="1144">
      <c r="A1144" s="75" t="s">
        <v>3296</v>
      </c>
      <c r="B1144" s="75" t="s">
        <v>319</v>
      </c>
      <c r="C1144" s="75" t="s">
        <v>321</v>
      </c>
      <c r="D1144" s="75">
        <v>2022.0</v>
      </c>
      <c r="E1144" s="75">
        <v>8.60369052425913E14</v>
      </c>
      <c r="F1144" s="76" t="s">
        <v>326</v>
      </c>
      <c r="G1144" s="68" t="s">
        <v>328</v>
      </c>
      <c r="H1144" s="69">
        <v>45658.0</v>
      </c>
      <c r="I1144" s="78" t="s">
        <v>337</v>
      </c>
      <c r="J1144" s="78"/>
      <c r="K1144" s="79"/>
      <c r="L1144" s="80"/>
      <c r="M1144" s="81"/>
    </row>
    <row r="1145">
      <c r="A1145" s="75" t="s">
        <v>3297</v>
      </c>
      <c r="B1145" s="75" t="s">
        <v>319</v>
      </c>
      <c r="C1145" s="75" t="s">
        <v>321</v>
      </c>
      <c r="D1145" s="75">
        <v>2022.0</v>
      </c>
      <c r="E1145" s="75">
        <v>8.60369052440375E14</v>
      </c>
      <c r="F1145" s="76" t="s">
        <v>326</v>
      </c>
      <c r="G1145" s="68" t="s">
        <v>328</v>
      </c>
      <c r="H1145" s="69">
        <v>45658.0</v>
      </c>
      <c r="I1145" s="78" t="s">
        <v>337</v>
      </c>
      <c r="J1145" s="78"/>
      <c r="K1145" s="79"/>
      <c r="L1145" s="80"/>
      <c r="M1145" s="81"/>
    </row>
    <row r="1146">
      <c r="A1146" s="75" t="s">
        <v>3298</v>
      </c>
      <c r="B1146" s="75" t="s">
        <v>319</v>
      </c>
      <c r="C1146" s="75" t="s">
        <v>321</v>
      </c>
      <c r="D1146" s="75">
        <v>2022.0</v>
      </c>
      <c r="E1146" s="75">
        <v>8.60369054164718E14</v>
      </c>
      <c r="F1146" s="76" t="s">
        <v>326</v>
      </c>
      <c r="G1146" s="68" t="s">
        <v>328</v>
      </c>
      <c r="H1146" s="69">
        <v>45658.0</v>
      </c>
      <c r="I1146" s="78" t="s">
        <v>337</v>
      </c>
      <c r="J1146" s="78"/>
      <c r="K1146" s="79"/>
      <c r="L1146" s="80"/>
      <c r="M1146" s="81"/>
    </row>
    <row r="1147">
      <c r="A1147" s="75" t="s">
        <v>3299</v>
      </c>
      <c r="B1147" s="75" t="s">
        <v>319</v>
      </c>
      <c r="C1147" s="75" t="s">
        <v>321</v>
      </c>
      <c r="D1147" s="75">
        <v>2022.0</v>
      </c>
      <c r="E1147" s="75">
        <v>8.60369054165947E14</v>
      </c>
      <c r="F1147" s="76" t="s">
        <v>326</v>
      </c>
      <c r="G1147" s="68" t="s">
        <v>328</v>
      </c>
      <c r="H1147" s="69">
        <v>45658.0</v>
      </c>
      <c r="I1147" s="78" t="s">
        <v>337</v>
      </c>
      <c r="J1147" s="78"/>
      <c r="K1147" s="79"/>
      <c r="L1147" s="80"/>
      <c r="M1147" s="81"/>
    </row>
    <row r="1148">
      <c r="A1148" s="75" t="s">
        <v>3300</v>
      </c>
      <c r="B1148" s="75" t="s">
        <v>319</v>
      </c>
      <c r="C1148" s="75" t="s">
        <v>723</v>
      </c>
      <c r="D1148" s="75">
        <v>2022.0</v>
      </c>
      <c r="E1148" s="75">
        <v>8.60369054178858E14</v>
      </c>
      <c r="F1148" s="76" t="s">
        <v>326</v>
      </c>
      <c r="G1148" s="68" t="s">
        <v>328</v>
      </c>
      <c r="H1148" s="69">
        <v>45658.0</v>
      </c>
      <c r="I1148" s="78" t="s">
        <v>337</v>
      </c>
      <c r="J1148" s="78"/>
      <c r="K1148" s="79"/>
      <c r="L1148" s="80"/>
      <c r="M1148" s="81"/>
    </row>
    <row r="1149">
      <c r="A1149" s="75" t="s">
        <v>3301</v>
      </c>
      <c r="B1149" s="75" t="s">
        <v>319</v>
      </c>
      <c r="C1149" s="75" t="s">
        <v>321</v>
      </c>
      <c r="D1149" s="75">
        <v>2022.0</v>
      </c>
      <c r="E1149" s="75">
        <v>8.60369054178189E14</v>
      </c>
      <c r="F1149" s="76" t="s">
        <v>326</v>
      </c>
      <c r="G1149" s="68" t="s">
        <v>328</v>
      </c>
      <c r="H1149" s="69">
        <v>45658.0</v>
      </c>
      <c r="I1149" s="78" t="s">
        <v>337</v>
      </c>
      <c r="J1149" s="78"/>
      <c r="K1149" s="79"/>
      <c r="L1149" s="80"/>
      <c r="M1149" s="81"/>
    </row>
    <row r="1150">
      <c r="A1150" s="75" t="s">
        <v>3302</v>
      </c>
      <c r="B1150" s="75" t="s">
        <v>319</v>
      </c>
      <c r="C1150" s="75" t="s">
        <v>321</v>
      </c>
      <c r="D1150" s="75">
        <v>2022.0</v>
      </c>
      <c r="E1150" s="75">
        <v>8.60369054122781E14</v>
      </c>
      <c r="F1150" s="76" t="s">
        <v>326</v>
      </c>
      <c r="G1150" s="68" t="s">
        <v>328</v>
      </c>
      <c r="H1150" s="69">
        <v>45658.0</v>
      </c>
      <c r="I1150" s="78" t="s">
        <v>337</v>
      </c>
      <c r="J1150" s="78"/>
      <c r="K1150" s="79"/>
      <c r="L1150" s="80"/>
      <c r="M1150" s="81"/>
    </row>
    <row r="1151">
      <c r="A1151" s="75" t="s">
        <v>3303</v>
      </c>
      <c r="B1151" s="75" t="s">
        <v>319</v>
      </c>
      <c r="C1151" s="75" t="s">
        <v>321</v>
      </c>
      <c r="D1151" s="75">
        <v>2022.0</v>
      </c>
      <c r="E1151" s="75">
        <v>8.6036905417375E14</v>
      </c>
      <c r="F1151" s="76" t="s">
        <v>326</v>
      </c>
      <c r="G1151" s="68" t="s">
        <v>328</v>
      </c>
      <c r="H1151" s="69">
        <v>45658.0</v>
      </c>
      <c r="I1151" s="78" t="s">
        <v>337</v>
      </c>
      <c r="J1151" s="78"/>
      <c r="K1151" s="79"/>
      <c r="L1151" s="80"/>
      <c r="M1151" s="81"/>
    </row>
    <row r="1152">
      <c r="A1152" s="75" t="s">
        <v>3304</v>
      </c>
      <c r="B1152" s="75" t="s">
        <v>319</v>
      </c>
      <c r="C1152" s="75" t="s">
        <v>321</v>
      </c>
      <c r="D1152" s="75">
        <v>2022.0</v>
      </c>
      <c r="E1152" s="75">
        <v>8.60369052444476E14</v>
      </c>
      <c r="F1152" s="76" t="s">
        <v>326</v>
      </c>
      <c r="G1152" s="68" t="s">
        <v>328</v>
      </c>
      <c r="H1152" s="69">
        <v>45658.0</v>
      </c>
      <c r="I1152" s="78" t="s">
        <v>337</v>
      </c>
      <c r="J1152" s="78"/>
      <c r="K1152" s="79"/>
      <c r="L1152" s="80"/>
      <c r="M1152" s="81"/>
    </row>
    <row r="1153">
      <c r="A1153" s="75" t="s">
        <v>3305</v>
      </c>
      <c r="B1153" s="75" t="s">
        <v>319</v>
      </c>
      <c r="C1153" s="75" t="s">
        <v>321</v>
      </c>
      <c r="D1153" s="75">
        <v>2022.0</v>
      </c>
      <c r="E1153" s="75">
        <v>8.60369054190374E14</v>
      </c>
      <c r="F1153" s="76" t="s">
        <v>326</v>
      </c>
      <c r="G1153" s="68" t="s">
        <v>328</v>
      </c>
      <c r="H1153" s="69">
        <v>45658.0</v>
      </c>
      <c r="I1153" s="78" t="s">
        <v>337</v>
      </c>
      <c r="J1153" s="78"/>
      <c r="K1153" s="79"/>
      <c r="L1153" s="80"/>
      <c r="M1153" s="81"/>
    </row>
    <row r="1154">
      <c r="A1154" s="75" t="s">
        <v>3306</v>
      </c>
      <c r="B1154" s="75" t="s">
        <v>319</v>
      </c>
      <c r="C1154" s="75" t="s">
        <v>321</v>
      </c>
      <c r="D1154" s="75">
        <v>2022.0</v>
      </c>
      <c r="E1154" s="75">
        <v>8.60369052439856E14</v>
      </c>
      <c r="F1154" s="76" t="s">
        <v>326</v>
      </c>
      <c r="G1154" s="68" t="s">
        <v>328</v>
      </c>
      <c r="H1154" s="69">
        <v>45658.0</v>
      </c>
      <c r="I1154" s="78" t="s">
        <v>337</v>
      </c>
      <c r="J1154" s="78"/>
      <c r="K1154" s="79"/>
      <c r="L1154" s="80"/>
      <c r="M1154" s="81"/>
    </row>
    <row r="1155">
      <c r="A1155" s="75" t="s">
        <v>3307</v>
      </c>
      <c r="B1155" s="75" t="s">
        <v>319</v>
      </c>
      <c r="C1155" s="75" t="s">
        <v>321</v>
      </c>
      <c r="D1155" s="75">
        <v>2022.0</v>
      </c>
      <c r="E1155" s="75">
        <v>8.60369052435664E14</v>
      </c>
      <c r="F1155" s="76" t="s">
        <v>326</v>
      </c>
      <c r="G1155" s="68" t="s">
        <v>328</v>
      </c>
      <c r="H1155" s="69">
        <v>45658.0</v>
      </c>
      <c r="I1155" s="78" t="s">
        <v>337</v>
      </c>
      <c r="J1155" s="78"/>
      <c r="K1155" s="79"/>
      <c r="L1155" s="80"/>
      <c r="M1155" s="81"/>
    </row>
    <row r="1156">
      <c r="A1156" s="75" t="s">
        <v>3308</v>
      </c>
      <c r="B1156" s="75" t="s">
        <v>319</v>
      </c>
      <c r="C1156" s="75" t="s">
        <v>321</v>
      </c>
      <c r="D1156" s="75">
        <v>2022.0</v>
      </c>
      <c r="E1156" s="75">
        <v>8.6036905215462E14</v>
      </c>
      <c r="F1156" s="76" t="s">
        <v>398</v>
      </c>
      <c r="G1156" s="68" t="s">
        <v>328</v>
      </c>
      <c r="H1156" s="69">
        <v>45658.0</v>
      </c>
      <c r="I1156" s="78" t="s">
        <v>337</v>
      </c>
      <c r="J1156" s="78"/>
      <c r="K1156" s="79"/>
      <c r="L1156" s="80"/>
      <c r="M1156" s="81"/>
    </row>
    <row r="1157">
      <c r="A1157" s="75" t="s">
        <v>3309</v>
      </c>
      <c r="B1157" s="75" t="s">
        <v>319</v>
      </c>
      <c r="C1157" s="75" t="s">
        <v>321</v>
      </c>
      <c r="D1157" s="75">
        <v>2022.0</v>
      </c>
      <c r="E1157" s="75">
        <v>8.6036905270279E14</v>
      </c>
      <c r="F1157" s="76" t="s">
        <v>326</v>
      </c>
      <c r="G1157" s="68" t="s">
        <v>328</v>
      </c>
      <c r="H1157" s="69">
        <v>45658.0</v>
      </c>
      <c r="I1157" s="78" t="s">
        <v>337</v>
      </c>
      <c r="J1157" s="78"/>
      <c r="K1157" s="79"/>
      <c r="L1157" s="80"/>
      <c r="M1157" s="81"/>
    </row>
    <row r="1158">
      <c r="A1158" s="75" t="s">
        <v>3310</v>
      </c>
      <c r="B1158" s="75" t="s">
        <v>319</v>
      </c>
      <c r="C1158" s="75" t="s">
        <v>321</v>
      </c>
      <c r="D1158" s="75">
        <v>2022.0</v>
      </c>
      <c r="E1158" s="75">
        <v>8.60369054122922E14</v>
      </c>
      <c r="F1158" s="76" t="s">
        <v>326</v>
      </c>
      <c r="G1158" s="68" t="s">
        <v>328</v>
      </c>
      <c r="H1158" s="69">
        <v>45658.0</v>
      </c>
      <c r="I1158" s="78" t="s">
        <v>337</v>
      </c>
      <c r="J1158" s="78"/>
      <c r="K1158" s="79"/>
      <c r="L1158" s="80"/>
      <c r="M1158" s="81"/>
    </row>
    <row r="1159">
      <c r="A1159" s="75" t="s">
        <v>3311</v>
      </c>
      <c r="B1159" s="75" t="s">
        <v>389</v>
      </c>
      <c r="C1159" s="75" t="s">
        <v>1292</v>
      </c>
      <c r="D1159" s="75">
        <v>2022.0</v>
      </c>
      <c r="E1159" s="75">
        <v>8.60369052154349E14</v>
      </c>
      <c r="F1159" s="76" t="s">
        <v>398</v>
      </c>
      <c r="G1159" s="68" t="s">
        <v>328</v>
      </c>
      <c r="H1159" s="69">
        <v>45658.0</v>
      </c>
      <c r="I1159" s="78" t="s">
        <v>337</v>
      </c>
      <c r="J1159" s="78"/>
      <c r="K1159" s="79"/>
      <c r="L1159" s="80"/>
      <c r="M1159" s="81"/>
      <c r="N1159" s="83" t="s">
        <v>380</v>
      </c>
    </row>
    <row r="1160">
      <c r="A1160" s="75" t="s">
        <v>3312</v>
      </c>
      <c r="B1160" s="75" t="s">
        <v>389</v>
      </c>
      <c r="C1160" s="75" t="s">
        <v>1292</v>
      </c>
      <c r="D1160" s="75">
        <v>2022.0</v>
      </c>
      <c r="E1160" s="75">
        <v>8.60369052124037E14</v>
      </c>
      <c r="F1160" s="76" t="s">
        <v>398</v>
      </c>
      <c r="G1160" s="68" t="s">
        <v>328</v>
      </c>
      <c r="H1160" s="69">
        <v>45658.0</v>
      </c>
      <c r="I1160" s="78" t="s">
        <v>337</v>
      </c>
      <c r="J1160" s="78"/>
      <c r="K1160" s="79"/>
      <c r="L1160" s="80"/>
      <c r="M1160" s="81"/>
      <c r="N1160" s="83" t="s">
        <v>380</v>
      </c>
    </row>
    <row r="1161">
      <c r="A1161" s="75" t="s">
        <v>3313</v>
      </c>
      <c r="B1161" s="75" t="s">
        <v>319</v>
      </c>
      <c r="C1161" s="75" t="s">
        <v>321</v>
      </c>
      <c r="D1161" s="75">
        <v>2022.0</v>
      </c>
      <c r="E1161" s="75">
        <v>8.60369053334262E14</v>
      </c>
      <c r="F1161" s="76" t="s">
        <v>326</v>
      </c>
      <c r="G1161" s="68" t="s">
        <v>328</v>
      </c>
      <c r="H1161" s="69">
        <v>45658.0</v>
      </c>
      <c r="I1161" s="78" t="s">
        <v>337</v>
      </c>
      <c r="J1161" s="78"/>
      <c r="K1161" s="79"/>
      <c r="L1161" s="80"/>
      <c r="M1161" s="81"/>
    </row>
    <row r="1162">
      <c r="A1162" s="75" t="s">
        <v>3314</v>
      </c>
      <c r="B1162" s="75" t="s">
        <v>319</v>
      </c>
      <c r="C1162" s="75" t="s">
        <v>321</v>
      </c>
      <c r="D1162" s="75">
        <v>2022.0</v>
      </c>
      <c r="E1162" s="75">
        <v>8.60369054155435E14</v>
      </c>
      <c r="F1162" s="76" t="s">
        <v>326</v>
      </c>
      <c r="G1162" s="68" t="s">
        <v>328</v>
      </c>
      <c r="H1162" s="69">
        <v>45658.0</v>
      </c>
      <c r="I1162" s="78" t="s">
        <v>337</v>
      </c>
      <c r="J1162" s="78"/>
      <c r="K1162" s="79"/>
      <c r="L1162" s="80"/>
      <c r="M1162" s="81"/>
    </row>
    <row r="1163">
      <c r="A1163" s="75" t="s">
        <v>3315</v>
      </c>
      <c r="B1163" s="75" t="s">
        <v>319</v>
      </c>
      <c r="C1163" s="75" t="s">
        <v>321</v>
      </c>
      <c r="D1163" s="75">
        <v>2022.0</v>
      </c>
      <c r="E1163" s="75">
        <v>8.60369051057253E14</v>
      </c>
      <c r="F1163" s="76" t="s">
        <v>398</v>
      </c>
      <c r="G1163" s="68" t="s">
        <v>328</v>
      </c>
      <c r="H1163" s="69">
        <v>45658.0</v>
      </c>
      <c r="I1163" s="78" t="s">
        <v>337</v>
      </c>
      <c r="J1163" s="78"/>
      <c r="K1163" s="79"/>
      <c r="L1163" s="80"/>
      <c r="M1163" s="81"/>
    </row>
    <row r="1164">
      <c r="A1164" s="75" t="s">
        <v>3316</v>
      </c>
      <c r="B1164" s="75" t="s">
        <v>319</v>
      </c>
      <c r="C1164" s="75" t="s">
        <v>321</v>
      </c>
      <c r="D1164" s="75">
        <v>2022.0</v>
      </c>
      <c r="E1164" s="75">
        <v>8.60369054169147E14</v>
      </c>
      <c r="F1164" s="76" t="s">
        <v>326</v>
      </c>
      <c r="G1164" s="68" t="s">
        <v>328</v>
      </c>
      <c r="H1164" s="69">
        <v>45658.0</v>
      </c>
      <c r="I1164" s="78" t="s">
        <v>337</v>
      </c>
      <c r="J1164" s="78"/>
      <c r="K1164" s="79"/>
      <c r="L1164" s="80"/>
      <c r="M1164" s="81"/>
    </row>
    <row r="1165">
      <c r="A1165" s="75" t="s">
        <v>3317</v>
      </c>
      <c r="B1165" s="75" t="s">
        <v>319</v>
      </c>
      <c r="C1165" s="75" t="s">
        <v>321</v>
      </c>
      <c r="D1165" s="75">
        <v>2022.0</v>
      </c>
      <c r="E1165" s="75">
        <v>8.60369052706502E14</v>
      </c>
      <c r="F1165" s="76" t="s">
        <v>326</v>
      </c>
      <c r="G1165" s="68" t="s">
        <v>328</v>
      </c>
      <c r="H1165" s="69">
        <v>45658.0</v>
      </c>
      <c r="I1165" s="78" t="s">
        <v>337</v>
      </c>
      <c r="J1165" s="78"/>
      <c r="K1165" s="79"/>
      <c r="L1165" s="80"/>
      <c r="M1165" s="81"/>
    </row>
    <row r="1166">
      <c r="A1166" s="75" t="s">
        <v>3318</v>
      </c>
      <c r="B1166" s="75" t="s">
        <v>319</v>
      </c>
      <c r="C1166" s="75" t="s">
        <v>321</v>
      </c>
      <c r="D1166" s="75">
        <v>2022.0</v>
      </c>
      <c r="E1166" s="75">
        <v>8.60369054161672E14</v>
      </c>
      <c r="F1166" s="76" t="s">
        <v>326</v>
      </c>
      <c r="G1166" s="68" t="s">
        <v>328</v>
      </c>
      <c r="H1166" s="69">
        <v>45658.0</v>
      </c>
      <c r="I1166" s="78" t="s">
        <v>337</v>
      </c>
      <c r="J1166" s="78"/>
      <c r="K1166" s="79"/>
      <c r="L1166" s="80"/>
      <c r="M1166" s="81"/>
    </row>
    <row r="1167">
      <c r="A1167" s="75" t="s">
        <v>3319</v>
      </c>
      <c r="B1167" s="75" t="s">
        <v>319</v>
      </c>
      <c r="C1167" s="75" t="s">
        <v>321</v>
      </c>
      <c r="D1167" s="75">
        <v>2022.0</v>
      </c>
      <c r="E1167" s="75">
        <v>8.60369052157664E14</v>
      </c>
      <c r="F1167" s="76" t="s">
        <v>398</v>
      </c>
      <c r="G1167" s="68" t="s">
        <v>328</v>
      </c>
      <c r="H1167" s="69">
        <v>45658.0</v>
      </c>
      <c r="I1167" s="78" t="s">
        <v>337</v>
      </c>
      <c r="J1167" s="78"/>
      <c r="K1167" s="79"/>
      <c r="L1167" s="80"/>
      <c r="M1167" s="81"/>
    </row>
    <row r="1168">
      <c r="A1168" s="75" t="s">
        <v>3320</v>
      </c>
      <c r="B1168" s="75" t="s">
        <v>319</v>
      </c>
      <c r="C1168" s="75" t="s">
        <v>321</v>
      </c>
      <c r="D1168" s="75">
        <v>2022.0</v>
      </c>
      <c r="E1168" s="75">
        <v>8.60369054165343E14</v>
      </c>
      <c r="F1168" s="76" t="s">
        <v>326</v>
      </c>
      <c r="G1168" s="68" t="s">
        <v>328</v>
      </c>
      <c r="H1168" s="69">
        <v>45658.0</v>
      </c>
      <c r="I1168" s="78" t="s">
        <v>337</v>
      </c>
      <c r="J1168" s="78"/>
      <c r="K1168" s="79"/>
      <c r="L1168" s="80"/>
      <c r="M1168" s="81"/>
    </row>
    <row r="1169">
      <c r="A1169" s="75" t="s">
        <v>3321</v>
      </c>
      <c r="B1169" s="75" t="s">
        <v>319</v>
      </c>
      <c r="C1169" s="75" t="s">
        <v>723</v>
      </c>
      <c r="D1169" s="75">
        <v>2022.0</v>
      </c>
      <c r="E1169" s="75">
        <v>8.60369052695358E14</v>
      </c>
      <c r="F1169" s="76" t="s">
        <v>326</v>
      </c>
      <c r="G1169" s="68" t="s">
        <v>328</v>
      </c>
      <c r="H1169" s="69">
        <v>45658.0</v>
      </c>
      <c r="I1169" s="78" t="s">
        <v>337</v>
      </c>
      <c r="J1169" s="78"/>
      <c r="K1169" s="79"/>
      <c r="L1169" s="80"/>
      <c r="M1169" s="81"/>
    </row>
    <row r="1170">
      <c r="A1170" s="75" t="s">
        <v>3322</v>
      </c>
      <c r="B1170" s="75" t="s">
        <v>319</v>
      </c>
      <c r="C1170" s="75" t="s">
        <v>723</v>
      </c>
      <c r="D1170" s="75">
        <v>2022.0</v>
      </c>
      <c r="E1170" s="75">
        <v>8.60369054152051E14</v>
      </c>
      <c r="F1170" s="76" t="s">
        <v>326</v>
      </c>
      <c r="G1170" s="68" t="s">
        <v>328</v>
      </c>
      <c r="H1170" s="69">
        <v>45658.0</v>
      </c>
      <c r="I1170" s="78" t="s">
        <v>1240</v>
      </c>
      <c r="J1170" s="78" t="s">
        <v>3323</v>
      </c>
      <c r="K1170" s="79"/>
      <c r="L1170" s="80"/>
      <c r="M1170" s="81"/>
    </row>
    <row r="1171">
      <c r="A1171" s="75" t="s">
        <v>3324</v>
      </c>
      <c r="B1171" s="75" t="s">
        <v>319</v>
      </c>
      <c r="C1171" s="75" t="s">
        <v>321</v>
      </c>
      <c r="D1171" s="75">
        <v>2022.0</v>
      </c>
      <c r="E1171" s="75">
        <v>8.6036905417709E14</v>
      </c>
      <c r="F1171" s="76" t="s">
        <v>326</v>
      </c>
      <c r="G1171" s="68" t="s">
        <v>328</v>
      </c>
      <c r="H1171" s="69">
        <v>45658.0</v>
      </c>
      <c r="I1171" s="78" t="s">
        <v>337</v>
      </c>
      <c r="J1171" s="78"/>
      <c r="K1171" s="79"/>
      <c r="L1171" s="80"/>
      <c r="M1171" s="81"/>
    </row>
    <row r="1172">
      <c r="A1172" s="75" t="s">
        <v>3325</v>
      </c>
      <c r="B1172" s="75" t="s">
        <v>319</v>
      </c>
      <c r="C1172" s="75" t="s">
        <v>321</v>
      </c>
      <c r="D1172" s="75">
        <v>2022.0</v>
      </c>
      <c r="E1172" s="75">
        <v>8.60369053334551E14</v>
      </c>
      <c r="F1172" s="76" t="s">
        <v>326</v>
      </c>
      <c r="G1172" s="68" t="s">
        <v>328</v>
      </c>
      <c r="H1172" s="69">
        <v>45658.0</v>
      </c>
      <c r="I1172" s="78" t="s">
        <v>337</v>
      </c>
      <c r="J1172" s="78"/>
      <c r="K1172" s="79"/>
      <c r="L1172" s="80"/>
      <c r="M1172" s="81"/>
    </row>
    <row r="1173">
      <c r="A1173" s="75" t="s">
        <v>3326</v>
      </c>
      <c r="B1173" s="75" t="s">
        <v>319</v>
      </c>
      <c r="C1173" s="75" t="s">
        <v>321</v>
      </c>
      <c r="D1173" s="75">
        <v>2022.0</v>
      </c>
      <c r="E1173" s="75">
        <v>8.60369054166192E14</v>
      </c>
      <c r="F1173" s="76" t="s">
        <v>326</v>
      </c>
      <c r="G1173" s="68" t="s">
        <v>328</v>
      </c>
      <c r="H1173" s="69">
        <v>45658.0</v>
      </c>
      <c r="I1173" s="78" t="s">
        <v>337</v>
      </c>
      <c r="J1173" s="78"/>
      <c r="K1173" s="79"/>
      <c r="L1173" s="80"/>
      <c r="M1173" s="81"/>
    </row>
    <row r="1174">
      <c r="A1174" s="75" t="s">
        <v>3327</v>
      </c>
      <c r="B1174" s="75" t="s">
        <v>319</v>
      </c>
      <c r="C1174" s="75" t="s">
        <v>321</v>
      </c>
      <c r="D1174" s="75">
        <v>2022.0</v>
      </c>
      <c r="E1174" s="75">
        <v>8.60369054178759E14</v>
      </c>
      <c r="F1174" s="76" t="s">
        <v>326</v>
      </c>
      <c r="G1174" s="68" t="s">
        <v>328</v>
      </c>
      <c r="H1174" s="69">
        <v>45658.0</v>
      </c>
      <c r="I1174" s="78" t="s">
        <v>337</v>
      </c>
      <c r="J1174" s="78"/>
      <c r="K1174" s="79"/>
      <c r="L1174" s="80"/>
      <c r="M1174" s="81"/>
    </row>
    <row r="1175">
      <c r="A1175" s="75" t="s">
        <v>3328</v>
      </c>
      <c r="B1175" s="75" t="s">
        <v>319</v>
      </c>
      <c r="C1175" s="75" t="s">
        <v>321</v>
      </c>
      <c r="D1175" s="75">
        <v>2022.0</v>
      </c>
      <c r="E1175" s="75">
        <v>8.60369052154893E14</v>
      </c>
      <c r="F1175" s="76" t="s">
        <v>398</v>
      </c>
      <c r="G1175" s="68" t="s">
        <v>328</v>
      </c>
      <c r="H1175" s="69">
        <v>45658.0</v>
      </c>
      <c r="I1175" s="78" t="s">
        <v>337</v>
      </c>
      <c r="J1175" s="78"/>
      <c r="K1175" s="79"/>
      <c r="L1175" s="80"/>
      <c r="M1175" s="81"/>
    </row>
    <row r="1176">
      <c r="A1176" s="75" t="s">
        <v>3329</v>
      </c>
      <c r="B1176" s="75" t="s">
        <v>319</v>
      </c>
      <c r="C1176" s="75" t="s">
        <v>321</v>
      </c>
      <c r="D1176" s="75">
        <v>2022.0</v>
      </c>
      <c r="E1176" s="75">
        <v>8.60369054168727E14</v>
      </c>
      <c r="F1176" s="76" t="s">
        <v>326</v>
      </c>
      <c r="G1176" s="68" t="s">
        <v>328</v>
      </c>
      <c r="H1176" s="69">
        <v>45658.0</v>
      </c>
      <c r="I1176" s="78" t="s">
        <v>337</v>
      </c>
      <c r="J1176" s="78"/>
      <c r="K1176" s="79"/>
      <c r="L1176" s="80"/>
      <c r="M1176" s="81"/>
    </row>
    <row r="1177">
      <c r="A1177" s="75" t="s">
        <v>3330</v>
      </c>
      <c r="B1177" s="75" t="s">
        <v>319</v>
      </c>
      <c r="C1177" s="75" t="s">
        <v>723</v>
      </c>
      <c r="D1177" s="75">
        <v>2022.0</v>
      </c>
      <c r="E1177" s="75">
        <v>8.60369054190309E14</v>
      </c>
      <c r="F1177" s="76" t="s">
        <v>326</v>
      </c>
      <c r="G1177" s="68" t="s">
        <v>328</v>
      </c>
      <c r="H1177" s="69">
        <v>45658.0</v>
      </c>
      <c r="I1177" s="78" t="s">
        <v>337</v>
      </c>
      <c r="J1177" s="78"/>
      <c r="K1177" s="79"/>
      <c r="L1177" s="80"/>
      <c r="M1177" s="81"/>
    </row>
    <row r="1178">
      <c r="A1178" s="75" t="s">
        <v>3331</v>
      </c>
      <c r="B1178" s="75" t="s">
        <v>319</v>
      </c>
      <c r="C1178" s="75" t="s">
        <v>723</v>
      </c>
      <c r="D1178" s="75">
        <v>2022.0</v>
      </c>
      <c r="E1178" s="75">
        <v>8.60369052693262E14</v>
      </c>
      <c r="F1178" s="76" t="s">
        <v>326</v>
      </c>
      <c r="G1178" s="68" t="s">
        <v>328</v>
      </c>
      <c r="H1178" s="69">
        <v>45658.0</v>
      </c>
      <c r="I1178" s="78" t="s">
        <v>337</v>
      </c>
      <c r="J1178" s="78"/>
      <c r="K1178" s="79"/>
      <c r="L1178" s="80"/>
      <c r="M1178" s="81"/>
    </row>
    <row r="1179">
      <c r="A1179" s="75" t="s">
        <v>3332</v>
      </c>
      <c r="B1179" s="75" t="s">
        <v>319</v>
      </c>
      <c r="C1179" s="75" t="s">
        <v>723</v>
      </c>
      <c r="D1179" s="75">
        <v>2022.0</v>
      </c>
      <c r="E1179" s="75">
        <v>8.60369054155427E14</v>
      </c>
      <c r="F1179" s="76" t="s">
        <v>326</v>
      </c>
      <c r="G1179" s="68" t="s">
        <v>328</v>
      </c>
      <c r="H1179" s="69">
        <v>45658.0</v>
      </c>
      <c r="I1179" s="78" t="s">
        <v>337</v>
      </c>
      <c r="J1179" s="78"/>
      <c r="K1179" s="79"/>
      <c r="L1179" s="80"/>
      <c r="M1179" s="81"/>
    </row>
    <row r="1180">
      <c r="A1180" s="75" t="s">
        <v>3333</v>
      </c>
      <c r="B1180" s="75" t="s">
        <v>319</v>
      </c>
      <c r="C1180" s="75" t="s">
        <v>723</v>
      </c>
      <c r="D1180" s="75">
        <v>2022.0</v>
      </c>
      <c r="E1180" s="75">
        <v>8.60369052696042E14</v>
      </c>
      <c r="F1180" s="76" t="s">
        <v>326</v>
      </c>
      <c r="G1180" s="68" t="s">
        <v>328</v>
      </c>
      <c r="H1180" s="69">
        <v>45658.0</v>
      </c>
      <c r="I1180" s="78" t="s">
        <v>337</v>
      </c>
      <c r="J1180" s="78"/>
      <c r="K1180" s="79"/>
      <c r="L1180" s="80"/>
      <c r="M1180" s="81"/>
    </row>
    <row r="1181">
      <c r="A1181" s="75" t="s">
        <v>3334</v>
      </c>
      <c r="B1181" s="75" t="s">
        <v>319</v>
      </c>
      <c r="C1181" s="75" t="s">
        <v>723</v>
      </c>
      <c r="D1181" s="75">
        <v>2022.0</v>
      </c>
      <c r="E1181" s="75">
        <v>8.60369054160617E14</v>
      </c>
      <c r="F1181" s="76" t="s">
        <v>326</v>
      </c>
      <c r="G1181" s="68" t="s">
        <v>328</v>
      </c>
      <c r="H1181" s="69">
        <v>45658.0</v>
      </c>
      <c r="I1181" s="78" t="s">
        <v>337</v>
      </c>
      <c r="J1181" s="78"/>
      <c r="K1181" s="79"/>
      <c r="L1181" s="80"/>
      <c r="M1181" s="81"/>
    </row>
    <row r="1182">
      <c r="A1182" s="75" t="s">
        <v>3335</v>
      </c>
      <c r="B1182" s="75" t="s">
        <v>319</v>
      </c>
      <c r="C1182" s="75" t="s">
        <v>723</v>
      </c>
      <c r="D1182" s="75">
        <v>2022.0</v>
      </c>
      <c r="E1182" s="75">
        <v>8.60369054189434E14</v>
      </c>
      <c r="F1182" s="76" t="s">
        <v>326</v>
      </c>
      <c r="G1182" s="68" t="s">
        <v>328</v>
      </c>
      <c r="H1182" s="69">
        <v>45658.0</v>
      </c>
      <c r="I1182" s="78" t="s">
        <v>337</v>
      </c>
      <c r="J1182" s="78"/>
      <c r="K1182" s="79"/>
      <c r="L1182" s="80"/>
      <c r="M1182" s="81"/>
    </row>
    <row r="1183">
      <c r="A1183" s="75" t="s">
        <v>3336</v>
      </c>
      <c r="B1183" s="75" t="s">
        <v>319</v>
      </c>
      <c r="C1183" s="75" t="s">
        <v>321</v>
      </c>
      <c r="D1183" s="75">
        <v>2022.0</v>
      </c>
      <c r="E1183" s="75">
        <v>8.6036905416578E14</v>
      </c>
      <c r="F1183" s="76" t="s">
        <v>326</v>
      </c>
      <c r="G1183" s="68" t="s">
        <v>328</v>
      </c>
      <c r="H1183" s="69">
        <v>45658.0</v>
      </c>
      <c r="I1183" s="78" t="s">
        <v>337</v>
      </c>
      <c r="J1183" s="78"/>
      <c r="K1183" s="79"/>
      <c r="L1183" s="80"/>
      <c r="M1183" s="81"/>
    </row>
    <row r="1184">
      <c r="A1184" s="75" t="s">
        <v>3337</v>
      </c>
      <c r="B1184" s="75" t="s">
        <v>319</v>
      </c>
      <c r="C1184" s="75" t="s">
        <v>723</v>
      </c>
      <c r="D1184" s="75">
        <v>2022.0</v>
      </c>
      <c r="E1184" s="75">
        <v>8.60369054156417E14</v>
      </c>
      <c r="F1184" s="76" t="s">
        <v>326</v>
      </c>
      <c r="G1184" s="68" t="s">
        <v>328</v>
      </c>
      <c r="H1184" s="69">
        <v>45658.0</v>
      </c>
      <c r="I1184" s="78" t="s">
        <v>337</v>
      </c>
      <c r="J1184" s="78"/>
      <c r="K1184" s="79"/>
      <c r="L1184" s="80"/>
      <c r="M1184" s="81"/>
    </row>
    <row r="1185">
      <c r="A1185" s="75" t="s">
        <v>3338</v>
      </c>
      <c r="B1185" s="75" t="s">
        <v>319</v>
      </c>
      <c r="C1185" s="75" t="s">
        <v>723</v>
      </c>
      <c r="D1185" s="75">
        <v>2022.0</v>
      </c>
      <c r="E1185" s="75">
        <v>8.60369054159643E14</v>
      </c>
      <c r="F1185" s="76" t="s">
        <v>326</v>
      </c>
      <c r="G1185" s="68" t="s">
        <v>328</v>
      </c>
      <c r="H1185" s="69">
        <v>45658.0</v>
      </c>
      <c r="I1185" s="78" t="s">
        <v>337</v>
      </c>
      <c r="J1185" s="78"/>
      <c r="K1185" s="79"/>
      <c r="L1185" s="80"/>
      <c r="M1185" s="81"/>
    </row>
    <row r="1186">
      <c r="A1186" s="75" t="s">
        <v>3339</v>
      </c>
      <c r="B1186" s="75" t="s">
        <v>319</v>
      </c>
      <c r="C1186" s="75" t="s">
        <v>723</v>
      </c>
      <c r="D1186" s="75">
        <v>2022.0</v>
      </c>
      <c r="E1186" s="75">
        <v>8.60369052692884E14</v>
      </c>
      <c r="F1186" s="76" t="s">
        <v>326</v>
      </c>
      <c r="G1186" s="68" t="s">
        <v>328</v>
      </c>
      <c r="H1186" s="69">
        <v>45658.0</v>
      </c>
      <c r="I1186" s="78" t="s">
        <v>337</v>
      </c>
      <c r="J1186" s="78"/>
      <c r="K1186" s="79"/>
      <c r="L1186" s="80"/>
      <c r="M1186" s="81"/>
    </row>
    <row r="1187">
      <c r="A1187" s="75" t="s">
        <v>3340</v>
      </c>
      <c r="B1187" s="75" t="s">
        <v>319</v>
      </c>
      <c r="C1187" s="75" t="s">
        <v>723</v>
      </c>
      <c r="D1187" s="75">
        <v>2022.0</v>
      </c>
      <c r="E1187" s="75">
        <v>8.60369052434196E14</v>
      </c>
      <c r="F1187" s="76" t="s">
        <v>326</v>
      </c>
      <c r="G1187" s="68" t="s">
        <v>328</v>
      </c>
      <c r="H1187" s="69">
        <v>45658.0</v>
      </c>
      <c r="I1187" s="78" t="s">
        <v>337</v>
      </c>
      <c r="J1187" s="78"/>
      <c r="K1187" s="79"/>
      <c r="L1187" s="80"/>
      <c r="M1187" s="81"/>
    </row>
    <row r="1188">
      <c r="A1188" s="75" t="s">
        <v>3341</v>
      </c>
      <c r="B1188" s="75" t="s">
        <v>319</v>
      </c>
      <c r="C1188" s="75" t="s">
        <v>723</v>
      </c>
      <c r="D1188" s="75">
        <v>2022.0</v>
      </c>
      <c r="E1188" s="75">
        <v>8.60369052141221E14</v>
      </c>
      <c r="F1188" s="76" t="s">
        <v>326</v>
      </c>
      <c r="G1188" s="68" t="s">
        <v>328</v>
      </c>
      <c r="H1188" s="69">
        <v>45658.0</v>
      </c>
      <c r="I1188" s="78" t="s">
        <v>337</v>
      </c>
      <c r="J1188" s="78"/>
      <c r="K1188" s="79"/>
      <c r="L1188" s="80"/>
      <c r="M1188" s="81"/>
    </row>
    <row r="1189">
      <c r="A1189" s="75" t="s">
        <v>3342</v>
      </c>
      <c r="B1189" s="75" t="s">
        <v>319</v>
      </c>
      <c r="C1189" s="75" t="s">
        <v>723</v>
      </c>
      <c r="D1189" s="75">
        <v>2022.0</v>
      </c>
      <c r="E1189" s="75">
        <v>8.60369051066403E14</v>
      </c>
      <c r="F1189" s="76" t="s">
        <v>398</v>
      </c>
      <c r="G1189" s="68" t="s">
        <v>328</v>
      </c>
      <c r="H1189" s="69">
        <v>45658.0</v>
      </c>
      <c r="I1189" s="78" t="s">
        <v>337</v>
      </c>
      <c r="J1189" s="78"/>
      <c r="K1189" s="79"/>
      <c r="L1189" s="80"/>
      <c r="M1189" s="81"/>
    </row>
    <row r="1190">
      <c r="A1190" s="75" t="s">
        <v>3343</v>
      </c>
      <c r="B1190" s="75" t="s">
        <v>319</v>
      </c>
      <c r="C1190" s="75" t="s">
        <v>723</v>
      </c>
      <c r="D1190" s="75">
        <v>2022.0</v>
      </c>
      <c r="E1190" s="75">
        <v>8.60369054177868E14</v>
      </c>
      <c r="F1190" s="76" t="s">
        <v>326</v>
      </c>
      <c r="G1190" s="68" t="s">
        <v>328</v>
      </c>
      <c r="H1190" s="69">
        <v>45658.0</v>
      </c>
      <c r="I1190" s="78" t="s">
        <v>337</v>
      </c>
      <c r="J1190" s="78"/>
      <c r="K1190" s="79"/>
      <c r="L1190" s="80"/>
      <c r="M1190" s="81"/>
    </row>
    <row r="1191">
      <c r="A1191" s="75" t="s">
        <v>3344</v>
      </c>
      <c r="B1191" s="75" t="s">
        <v>319</v>
      </c>
      <c r="C1191" s="75" t="s">
        <v>723</v>
      </c>
      <c r="D1191" s="75">
        <v>2022.0</v>
      </c>
      <c r="E1191" s="75">
        <v>8.60369054416431E14</v>
      </c>
      <c r="F1191" s="76" t="s">
        <v>326</v>
      </c>
      <c r="G1191" s="68" t="s">
        <v>328</v>
      </c>
      <c r="H1191" s="69">
        <v>45658.0</v>
      </c>
      <c r="I1191" s="78" t="s">
        <v>337</v>
      </c>
      <c r="J1191" s="78"/>
      <c r="K1191" s="79"/>
      <c r="L1191" s="80"/>
      <c r="M1191" s="81"/>
    </row>
    <row r="1192">
      <c r="A1192" s="75" t="s">
        <v>3345</v>
      </c>
      <c r="B1192" s="75" t="s">
        <v>319</v>
      </c>
      <c r="C1192" s="75" t="s">
        <v>723</v>
      </c>
      <c r="D1192" s="75">
        <v>2022.0</v>
      </c>
      <c r="E1192" s="75">
        <v>8.60369052174008E14</v>
      </c>
      <c r="F1192" s="76" t="s">
        <v>326</v>
      </c>
      <c r="G1192" s="68" t="s">
        <v>328</v>
      </c>
      <c r="H1192" s="69">
        <v>45658.0</v>
      </c>
      <c r="I1192" s="78" t="s">
        <v>337</v>
      </c>
      <c r="J1192" s="78"/>
      <c r="K1192" s="79"/>
      <c r="L1192" s="80"/>
      <c r="M1192" s="81"/>
    </row>
    <row r="1193">
      <c r="A1193" s="75" t="s">
        <v>3346</v>
      </c>
      <c r="B1193" s="75" t="s">
        <v>319</v>
      </c>
      <c r="C1193" s="75" t="s">
        <v>723</v>
      </c>
      <c r="D1193" s="75">
        <v>2022.0</v>
      </c>
      <c r="E1193" s="75">
        <v>8.6036905415729E14</v>
      </c>
      <c r="F1193" s="76" t="s">
        <v>326</v>
      </c>
      <c r="G1193" s="68" t="s">
        <v>328</v>
      </c>
      <c r="H1193" s="69">
        <v>45658.0</v>
      </c>
      <c r="I1193" s="78" t="s">
        <v>337</v>
      </c>
      <c r="J1193" s="78"/>
      <c r="K1193" s="79"/>
      <c r="L1193" s="80"/>
      <c r="M1193" s="81"/>
    </row>
    <row r="1194">
      <c r="A1194" s="75" t="s">
        <v>3347</v>
      </c>
      <c r="B1194" s="75" t="s">
        <v>319</v>
      </c>
      <c r="C1194" s="75" t="s">
        <v>723</v>
      </c>
      <c r="D1194" s="75">
        <v>2022.0</v>
      </c>
      <c r="E1194" s="75">
        <v>8.60369052696067E14</v>
      </c>
      <c r="F1194" s="76" t="s">
        <v>326</v>
      </c>
      <c r="G1194" s="68" t="s">
        <v>328</v>
      </c>
      <c r="H1194" s="69">
        <v>45658.0</v>
      </c>
      <c r="I1194" s="78" t="s">
        <v>337</v>
      </c>
      <c r="J1194" s="78"/>
      <c r="K1194" s="79"/>
      <c r="L1194" s="80"/>
      <c r="M1194" s="81"/>
    </row>
    <row r="1195">
      <c r="A1195" s="75" t="s">
        <v>3348</v>
      </c>
      <c r="B1195" s="75" t="s">
        <v>319</v>
      </c>
      <c r="C1195" s="75" t="s">
        <v>723</v>
      </c>
      <c r="D1195" s="75">
        <v>2022.0</v>
      </c>
      <c r="E1195" s="75">
        <v>8.60369052194899E14</v>
      </c>
      <c r="F1195" s="76" t="s">
        <v>326</v>
      </c>
      <c r="G1195" s="68" t="s">
        <v>328</v>
      </c>
      <c r="H1195" s="69">
        <v>45658.0</v>
      </c>
      <c r="I1195" s="78" t="s">
        <v>337</v>
      </c>
      <c r="J1195" s="78"/>
      <c r="K1195" s="79"/>
      <c r="L1195" s="80"/>
      <c r="M1195" s="81"/>
    </row>
    <row r="1196">
      <c r="A1196" s="75" t="s">
        <v>3349</v>
      </c>
      <c r="B1196" s="75" t="s">
        <v>319</v>
      </c>
      <c r="C1196" s="75" t="s">
        <v>321</v>
      </c>
      <c r="D1196" s="75">
        <v>2022.0</v>
      </c>
      <c r="E1196" s="75">
        <v>8.60369054162506E14</v>
      </c>
      <c r="F1196" s="76" t="s">
        <v>326</v>
      </c>
      <c r="G1196" s="68" t="s">
        <v>328</v>
      </c>
      <c r="H1196" s="69">
        <v>45658.0</v>
      </c>
      <c r="I1196" s="78" t="s">
        <v>337</v>
      </c>
      <c r="J1196" s="78"/>
      <c r="K1196" s="79"/>
      <c r="L1196" s="80"/>
      <c r="M1196" s="81"/>
    </row>
    <row r="1197">
      <c r="A1197" s="75" t="s">
        <v>3350</v>
      </c>
      <c r="B1197" s="75" t="s">
        <v>319</v>
      </c>
      <c r="C1197" s="75" t="s">
        <v>321</v>
      </c>
      <c r="D1197" s="75">
        <v>2022.0</v>
      </c>
      <c r="E1197" s="75">
        <v>8.60369052696877E14</v>
      </c>
      <c r="F1197" s="76" t="s">
        <v>326</v>
      </c>
      <c r="G1197" s="68" t="s">
        <v>328</v>
      </c>
      <c r="H1197" s="69">
        <v>45658.0</v>
      </c>
      <c r="I1197" s="78" t="s">
        <v>337</v>
      </c>
      <c r="J1197" s="78"/>
      <c r="K1197" s="79"/>
      <c r="L1197" s="80"/>
      <c r="M1197" s="81"/>
    </row>
    <row r="1198">
      <c r="A1198" s="75" t="s">
        <v>3351</v>
      </c>
      <c r="B1198" s="75" t="s">
        <v>319</v>
      </c>
      <c r="C1198" s="75" t="s">
        <v>321</v>
      </c>
      <c r="D1198" s="75">
        <v>2022.0</v>
      </c>
      <c r="E1198" s="75">
        <v>8.60369054169303E14</v>
      </c>
      <c r="F1198" s="76" t="s">
        <v>326</v>
      </c>
      <c r="G1198" s="68" t="s">
        <v>328</v>
      </c>
      <c r="H1198" s="69">
        <v>45658.0</v>
      </c>
      <c r="I1198" s="78" t="s">
        <v>337</v>
      </c>
      <c r="J1198" s="78"/>
      <c r="K1198" s="79"/>
      <c r="L1198" s="80"/>
      <c r="M1198" s="81"/>
    </row>
    <row r="1199">
      <c r="A1199" s="75" t="s">
        <v>3352</v>
      </c>
      <c r="B1199" s="75" t="s">
        <v>319</v>
      </c>
      <c r="C1199" s="75" t="s">
        <v>321</v>
      </c>
      <c r="D1199" s="75">
        <v>2022.0</v>
      </c>
      <c r="E1199" s="75">
        <v>8.6036905269676E14</v>
      </c>
      <c r="F1199" s="76" t="s">
        <v>326</v>
      </c>
      <c r="G1199" s="68" t="s">
        <v>328</v>
      </c>
      <c r="H1199" s="69">
        <v>45658.0</v>
      </c>
      <c r="I1199" s="78" t="s">
        <v>337</v>
      </c>
      <c r="J1199" s="78"/>
      <c r="K1199" s="79"/>
      <c r="L1199" s="80"/>
      <c r="M1199" s="81"/>
    </row>
    <row r="1200">
      <c r="A1200" s="75" t="s">
        <v>3353</v>
      </c>
      <c r="B1200" s="75" t="s">
        <v>319</v>
      </c>
      <c r="C1200" s="75" t="s">
        <v>723</v>
      </c>
      <c r="D1200" s="75">
        <v>2022.0</v>
      </c>
      <c r="E1200" s="75">
        <v>8.60369054160054E14</v>
      </c>
      <c r="F1200" s="76" t="s">
        <v>326</v>
      </c>
      <c r="G1200" s="68" t="s">
        <v>328</v>
      </c>
      <c r="H1200" s="69">
        <v>45658.0</v>
      </c>
      <c r="I1200" s="78" t="s">
        <v>337</v>
      </c>
      <c r="J1200" s="78"/>
      <c r="K1200" s="75" t="s">
        <v>3354</v>
      </c>
      <c r="L1200" s="80"/>
      <c r="M1200" s="81"/>
    </row>
    <row r="1201">
      <c r="A1201" s="75" t="s">
        <v>3355</v>
      </c>
      <c r="B1201" s="75" t="s">
        <v>319</v>
      </c>
      <c r="C1201" s="75" t="s">
        <v>321</v>
      </c>
      <c r="D1201" s="75">
        <v>2022.0</v>
      </c>
      <c r="E1201" s="75">
        <v>8.60369054157274E14</v>
      </c>
      <c r="F1201" s="76" t="s">
        <v>326</v>
      </c>
      <c r="G1201" s="68" t="s">
        <v>328</v>
      </c>
      <c r="H1201" s="69">
        <v>45658.0</v>
      </c>
      <c r="I1201" s="78" t="s">
        <v>337</v>
      </c>
      <c r="J1201" s="78"/>
      <c r="K1201" s="79"/>
      <c r="L1201" s="80"/>
      <c r="M1201" s="81"/>
    </row>
    <row r="1202">
      <c r="A1202" s="75">
        <v>8.603690527034E14</v>
      </c>
      <c r="B1202" s="75" t="s">
        <v>319</v>
      </c>
      <c r="C1202" s="75" t="s">
        <v>321</v>
      </c>
      <c r="D1202" s="75">
        <v>2022.0</v>
      </c>
      <c r="E1202" s="75">
        <v>8.603690527034E14</v>
      </c>
      <c r="F1202" s="76" t="s">
        <v>326</v>
      </c>
      <c r="G1202" s="68" t="s">
        <v>328</v>
      </c>
      <c r="H1202" s="69">
        <v>45658.0</v>
      </c>
      <c r="I1202" s="78" t="s">
        <v>2065</v>
      </c>
      <c r="J1202" s="78"/>
      <c r="K1202" s="79"/>
      <c r="L1202" s="80"/>
      <c r="M1202" s="81"/>
    </row>
    <row r="1203">
      <c r="A1203" s="75" t="s">
        <v>3356</v>
      </c>
      <c r="B1203" s="75" t="s">
        <v>389</v>
      </c>
      <c r="C1203" s="75" t="s">
        <v>1292</v>
      </c>
      <c r="D1203" s="75">
        <v>2022.0</v>
      </c>
      <c r="E1203" s="75">
        <v>8.60369052117221E14</v>
      </c>
      <c r="F1203" s="76" t="s">
        <v>398</v>
      </c>
      <c r="G1203" s="68" t="s">
        <v>328</v>
      </c>
      <c r="H1203" s="69">
        <v>45658.0</v>
      </c>
      <c r="I1203" s="78" t="s">
        <v>337</v>
      </c>
      <c r="J1203" s="78"/>
      <c r="K1203" s="79"/>
      <c r="L1203" s="80"/>
      <c r="M1203" s="81"/>
    </row>
    <row r="1204">
      <c r="A1204" s="75" t="s">
        <v>3357</v>
      </c>
      <c r="B1204" s="75" t="s">
        <v>319</v>
      </c>
      <c r="C1204" s="75" t="s">
        <v>321</v>
      </c>
      <c r="D1204" s="75">
        <v>2022.0</v>
      </c>
      <c r="E1204" s="75">
        <v>8.6036905243993E14</v>
      </c>
      <c r="F1204" s="76" t="s">
        <v>326</v>
      </c>
      <c r="G1204" s="68" t="s">
        <v>328</v>
      </c>
      <c r="H1204" s="69">
        <v>45658.0</v>
      </c>
      <c r="I1204" s="78" t="s">
        <v>337</v>
      </c>
      <c r="J1204" s="78"/>
      <c r="K1204" s="79"/>
      <c r="L1204" s="80"/>
      <c r="M1204" s="81"/>
    </row>
    <row r="1205">
      <c r="A1205" s="75" t="s">
        <v>3358</v>
      </c>
      <c r="B1205" s="75" t="s">
        <v>319</v>
      </c>
      <c r="C1205" s="75" t="s">
        <v>321</v>
      </c>
      <c r="D1205" s="75">
        <v>2022.0</v>
      </c>
      <c r="E1205" s="75">
        <v>8.60369054407034E14</v>
      </c>
      <c r="F1205" s="76" t="s">
        <v>326</v>
      </c>
      <c r="G1205" s="68" t="s">
        <v>328</v>
      </c>
      <c r="H1205" s="69">
        <v>45658.0</v>
      </c>
      <c r="I1205" s="78" t="s">
        <v>337</v>
      </c>
      <c r="J1205" s="78"/>
      <c r="K1205" s="79"/>
      <c r="L1205" s="80"/>
      <c r="M1205" s="81"/>
    </row>
    <row r="1206">
      <c r="A1206" s="75" t="s">
        <v>3359</v>
      </c>
      <c r="B1206" s="75" t="s">
        <v>319</v>
      </c>
      <c r="C1206" s="75" t="s">
        <v>321</v>
      </c>
      <c r="D1206" s="75">
        <v>2021.0</v>
      </c>
      <c r="E1206" s="75">
        <v>8.60369054157365E14</v>
      </c>
      <c r="F1206" s="76" t="s">
        <v>326</v>
      </c>
      <c r="G1206" s="68" t="s">
        <v>328</v>
      </c>
      <c r="H1206" s="69">
        <v>45658.0</v>
      </c>
      <c r="I1206" s="78" t="s">
        <v>337</v>
      </c>
      <c r="J1206" s="78"/>
      <c r="K1206" s="79"/>
      <c r="L1206" s="80"/>
      <c r="M1206" s="81"/>
    </row>
    <row r="1207">
      <c r="A1207" s="75" t="s">
        <v>3360</v>
      </c>
      <c r="B1207" s="75" t="s">
        <v>319</v>
      </c>
      <c r="C1207" s="75" t="s">
        <v>321</v>
      </c>
      <c r="D1207" s="75">
        <v>2021.0</v>
      </c>
      <c r="E1207" s="75">
        <v>8.60369052445994E14</v>
      </c>
      <c r="F1207" s="76" t="s">
        <v>326</v>
      </c>
      <c r="G1207" s="68" t="s">
        <v>328</v>
      </c>
      <c r="H1207" s="69">
        <v>45658.0</v>
      </c>
      <c r="I1207" s="78" t="s">
        <v>337</v>
      </c>
      <c r="J1207" s="78"/>
      <c r="K1207" s="79"/>
      <c r="L1207" s="80"/>
      <c r="M1207" s="81"/>
    </row>
    <row r="1208">
      <c r="A1208" s="75" t="s">
        <v>3361</v>
      </c>
      <c r="B1208" s="75" t="s">
        <v>319</v>
      </c>
      <c r="C1208" s="75" t="s">
        <v>321</v>
      </c>
      <c r="D1208" s="75">
        <v>2022.0</v>
      </c>
      <c r="E1208" s="75">
        <v>8.60369052701206E14</v>
      </c>
      <c r="F1208" s="76" t="s">
        <v>326</v>
      </c>
      <c r="G1208" s="68" t="s">
        <v>328</v>
      </c>
      <c r="H1208" s="69">
        <v>45658.0</v>
      </c>
      <c r="I1208" s="78" t="s">
        <v>337</v>
      </c>
      <c r="J1208" s="78"/>
      <c r="K1208" s="79"/>
      <c r="L1208" s="80"/>
      <c r="M1208" s="81"/>
    </row>
    <row r="1209">
      <c r="A1209" s="75" t="s">
        <v>3362</v>
      </c>
      <c r="B1209" s="75" t="s">
        <v>319</v>
      </c>
      <c r="C1209" s="75" t="s">
        <v>321</v>
      </c>
      <c r="D1209" s="75">
        <v>2022.0</v>
      </c>
      <c r="E1209" s="75">
        <v>8.60369052705439E14</v>
      </c>
      <c r="F1209" s="76" t="s">
        <v>326</v>
      </c>
      <c r="G1209" s="68" t="s">
        <v>328</v>
      </c>
      <c r="H1209" s="69">
        <v>45658.0</v>
      </c>
      <c r="I1209" s="78" t="s">
        <v>337</v>
      </c>
      <c r="J1209" s="78"/>
      <c r="K1209" s="79"/>
      <c r="L1209" s="80"/>
      <c r="M1209" s="81"/>
    </row>
    <row r="1210">
      <c r="A1210" s="75" t="s">
        <v>3363</v>
      </c>
      <c r="B1210" s="75" t="s">
        <v>319</v>
      </c>
      <c r="C1210" s="75" t="s">
        <v>321</v>
      </c>
      <c r="D1210" s="75">
        <v>2022.0</v>
      </c>
      <c r="E1210" s="75">
        <v>8.60369054185655E14</v>
      </c>
      <c r="F1210" s="76" t="s">
        <v>326</v>
      </c>
      <c r="G1210" s="68" t="s">
        <v>328</v>
      </c>
      <c r="H1210" s="69">
        <v>45658.0</v>
      </c>
      <c r="I1210" s="78" t="s">
        <v>337</v>
      </c>
      <c r="J1210" s="78"/>
      <c r="K1210" s="79"/>
      <c r="L1210" s="110" t="s">
        <v>3364</v>
      </c>
      <c r="M1210" s="81"/>
    </row>
    <row r="1211">
      <c r="A1211" s="75" t="s">
        <v>3365</v>
      </c>
      <c r="B1211" s="75" t="s">
        <v>319</v>
      </c>
      <c r="C1211" s="75" t="s">
        <v>321</v>
      </c>
      <c r="D1211" s="75">
        <v>2022.0</v>
      </c>
      <c r="E1211" s="75">
        <v>8.6036905270533E14</v>
      </c>
      <c r="F1211" s="76" t="s">
        <v>326</v>
      </c>
      <c r="G1211" s="68" t="s">
        <v>328</v>
      </c>
      <c r="H1211" s="69">
        <v>45658.0</v>
      </c>
      <c r="I1211" s="78" t="s">
        <v>337</v>
      </c>
      <c r="J1211" s="78"/>
      <c r="K1211" s="75" t="s">
        <v>3354</v>
      </c>
      <c r="L1211" s="80"/>
      <c r="M1211" s="81"/>
    </row>
    <row r="1212">
      <c r="A1212" s="75" t="s">
        <v>3366</v>
      </c>
      <c r="B1212" s="75" t="s">
        <v>319</v>
      </c>
      <c r="C1212" s="75" t="s">
        <v>321</v>
      </c>
      <c r="D1212" s="75">
        <v>2022.0</v>
      </c>
      <c r="E1212" s="75">
        <v>8.6036905440842E14</v>
      </c>
      <c r="F1212" s="76" t="s">
        <v>326</v>
      </c>
      <c r="G1212" s="68" t="s">
        <v>328</v>
      </c>
      <c r="H1212" s="69">
        <v>45658.0</v>
      </c>
      <c r="I1212" s="78" t="s">
        <v>337</v>
      </c>
      <c r="J1212" s="78"/>
      <c r="K1212" s="79"/>
      <c r="L1212" s="80"/>
      <c r="M1212" s="81"/>
    </row>
    <row r="1213">
      <c r="A1213" s="75" t="s">
        <v>3367</v>
      </c>
      <c r="B1213" s="75" t="s">
        <v>319</v>
      </c>
      <c r="C1213" s="75" t="s">
        <v>321</v>
      </c>
      <c r="D1213" s="75">
        <v>2022.0</v>
      </c>
      <c r="E1213" s="75">
        <v>8.6036905240904E14</v>
      </c>
      <c r="F1213" s="76" t="s">
        <v>398</v>
      </c>
      <c r="G1213" s="68" t="s">
        <v>328</v>
      </c>
      <c r="H1213" s="69">
        <v>45658.0</v>
      </c>
      <c r="I1213" s="78" t="s">
        <v>337</v>
      </c>
      <c r="J1213" s="78"/>
      <c r="K1213" s="79"/>
      <c r="L1213" s="80"/>
      <c r="M1213" s="81"/>
    </row>
    <row r="1214">
      <c r="A1214" s="75" t="s">
        <v>3368</v>
      </c>
      <c r="B1214" s="75" t="s">
        <v>319</v>
      </c>
      <c r="C1214" s="75" t="s">
        <v>321</v>
      </c>
      <c r="D1214" s="75">
        <v>2022.0</v>
      </c>
      <c r="E1214" s="75">
        <v>8.60369052172606E14</v>
      </c>
      <c r="F1214" s="76" t="s">
        <v>398</v>
      </c>
      <c r="G1214" s="68" t="s">
        <v>328</v>
      </c>
      <c r="H1214" s="69">
        <v>45658.0</v>
      </c>
      <c r="I1214" s="78" t="s">
        <v>337</v>
      </c>
      <c r="J1214" s="78"/>
      <c r="K1214" s="79"/>
      <c r="L1214" s="80"/>
      <c r="M1214" s="81"/>
    </row>
    <row r="1215">
      <c r="A1215" s="75" t="s">
        <v>3369</v>
      </c>
      <c r="B1215" s="75" t="s">
        <v>319</v>
      </c>
      <c r="C1215" s="75" t="s">
        <v>321</v>
      </c>
      <c r="D1215" s="75">
        <v>2022.0</v>
      </c>
      <c r="E1215" s="75">
        <v>8.60369054171192E14</v>
      </c>
      <c r="F1215" s="76" t="s">
        <v>326</v>
      </c>
      <c r="G1215" s="68" t="s">
        <v>328</v>
      </c>
      <c r="H1215" s="69">
        <v>45658.0</v>
      </c>
      <c r="I1215" s="78" t="s">
        <v>337</v>
      </c>
      <c r="J1215" s="78"/>
      <c r="K1215" s="79"/>
      <c r="L1215" s="80"/>
      <c r="M1215" s="81"/>
    </row>
    <row r="1216">
      <c r="A1216" s="75" t="s">
        <v>3370</v>
      </c>
      <c r="B1216" s="75" t="s">
        <v>319</v>
      </c>
      <c r="C1216" s="75" t="s">
        <v>321</v>
      </c>
      <c r="D1216" s="75">
        <v>2022.0</v>
      </c>
      <c r="E1216" s="75">
        <v>8.60369054165913E14</v>
      </c>
      <c r="F1216" s="76" t="s">
        <v>326</v>
      </c>
      <c r="G1216" s="68" t="s">
        <v>328</v>
      </c>
      <c r="H1216" s="69">
        <v>45658.0</v>
      </c>
      <c r="I1216" s="78" t="s">
        <v>337</v>
      </c>
      <c r="J1216" s="78"/>
      <c r="K1216" s="79"/>
      <c r="L1216" s="80"/>
      <c r="M1216" s="81"/>
    </row>
    <row r="1217">
      <c r="A1217" s="75" t="s">
        <v>3371</v>
      </c>
      <c r="B1217" s="75" t="s">
        <v>319</v>
      </c>
      <c r="C1217" s="75" t="s">
        <v>321</v>
      </c>
      <c r="D1217" s="75">
        <v>2022.0</v>
      </c>
      <c r="E1217" s="75">
        <v>8.60369053334817E14</v>
      </c>
      <c r="F1217" s="76" t="s">
        <v>326</v>
      </c>
      <c r="G1217" s="68" t="s">
        <v>328</v>
      </c>
      <c r="H1217" s="69">
        <v>45658.0</v>
      </c>
      <c r="I1217" s="78" t="s">
        <v>337</v>
      </c>
      <c r="J1217" s="78"/>
      <c r="K1217" s="75"/>
      <c r="L1217" s="80"/>
      <c r="M1217" s="81"/>
    </row>
    <row r="1218">
      <c r="A1218" s="75" t="s">
        <v>3372</v>
      </c>
      <c r="B1218" s="75" t="s">
        <v>319</v>
      </c>
      <c r="C1218" s="75" t="s">
        <v>321</v>
      </c>
      <c r="D1218" s="75">
        <v>2022.0</v>
      </c>
      <c r="E1218" s="75">
        <v>8.60369052448667E14</v>
      </c>
      <c r="F1218" s="76" t="s">
        <v>326</v>
      </c>
      <c r="G1218" s="68" t="s">
        <v>328</v>
      </c>
      <c r="H1218" s="69">
        <v>45658.0</v>
      </c>
      <c r="I1218" s="78" t="s">
        <v>337</v>
      </c>
      <c r="J1218" s="78"/>
      <c r="K1218" s="75" t="s">
        <v>3373</v>
      </c>
      <c r="L1218" s="80"/>
      <c r="M1218" s="81"/>
    </row>
    <row r="1219">
      <c r="A1219" s="75" t="s">
        <v>3374</v>
      </c>
      <c r="B1219" s="75" t="s">
        <v>319</v>
      </c>
      <c r="C1219" s="75" t="s">
        <v>321</v>
      </c>
      <c r="D1219" s="75">
        <v>2022.0</v>
      </c>
      <c r="E1219" s="75">
        <v>8.60369054157662E14</v>
      </c>
      <c r="F1219" s="76" t="s">
        <v>326</v>
      </c>
      <c r="G1219" s="68" t="s">
        <v>328</v>
      </c>
      <c r="H1219" s="69">
        <v>45658.0</v>
      </c>
      <c r="I1219" s="78" t="s">
        <v>337</v>
      </c>
      <c r="J1219" s="78"/>
      <c r="K1219" s="79"/>
      <c r="L1219" s="80"/>
      <c r="M1219" s="81"/>
    </row>
    <row r="1220">
      <c r="A1220" s="75" t="s">
        <v>3375</v>
      </c>
      <c r="B1220" s="75" t="s">
        <v>319</v>
      </c>
      <c r="C1220" s="75" t="s">
        <v>321</v>
      </c>
      <c r="D1220" s="75">
        <v>2021.0</v>
      </c>
      <c r="E1220" s="75">
        <v>8.60369054160328E14</v>
      </c>
      <c r="F1220" s="76" t="s">
        <v>326</v>
      </c>
      <c r="G1220" s="68" t="s">
        <v>328</v>
      </c>
      <c r="H1220" s="69">
        <v>45658.0</v>
      </c>
      <c r="I1220" s="78" t="s">
        <v>337</v>
      </c>
      <c r="J1220" s="78"/>
      <c r="K1220" s="79"/>
      <c r="L1220" s="80"/>
      <c r="M1220" s="81"/>
    </row>
    <row r="1221">
      <c r="A1221" s="75" t="s">
        <v>3376</v>
      </c>
      <c r="B1221" s="75" t="s">
        <v>319</v>
      </c>
      <c r="C1221" s="75" t="s">
        <v>321</v>
      </c>
      <c r="D1221" s="75">
        <v>2022.0</v>
      </c>
      <c r="E1221" s="75">
        <v>8.60369053336143E14</v>
      </c>
      <c r="F1221" s="76" t="s">
        <v>326</v>
      </c>
      <c r="G1221" s="68" t="s">
        <v>328</v>
      </c>
      <c r="H1221" s="69">
        <v>45658.0</v>
      </c>
      <c r="I1221" s="78" t="s">
        <v>337</v>
      </c>
      <c r="J1221" s="78"/>
      <c r="K1221" s="79"/>
      <c r="L1221" s="80"/>
      <c r="M1221" s="81"/>
    </row>
    <row r="1222">
      <c r="A1222" s="75" t="s">
        <v>3377</v>
      </c>
      <c r="B1222" s="75" t="s">
        <v>319</v>
      </c>
      <c r="C1222" s="75" t="s">
        <v>321</v>
      </c>
      <c r="D1222" s="75">
        <v>2022.0</v>
      </c>
      <c r="E1222" s="75">
        <v>8.60369052170006E14</v>
      </c>
      <c r="F1222" s="76" t="s">
        <v>398</v>
      </c>
      <c r="G1222" s="68" t="s">
        <v>328</v>
      </c>
      <c r="H1222" s="69">
        <v>45658.0</v>
      </c>
      <c r="I1222" s="78" t="s">
        <v>337</v>
      </c>
      <c r="J1222" s="78"/>
      <c r="K1222" s="79"/>
      <c r="L1222" s="80"/>
      <c r="M1222" s="81"/>
    </row>
    <row r="1223">
      <c r="A1223" s="75" t="s">
        <v>3378</v>
      </c>
      <c r="B1223" s="75" t="s">
        <v>319</v>
      </c>
      <c r="C1223" s="75" t="s">
        <v>321</v>
      </c>
      <c r="D1223" s="75">
        <v>2022.0</v>
      </c>
      <c r="E1223" s="75">
        <v>8.6036905269327E14</v>
      </c>
      <c r="F1223" s="76" t="s">
        <v>326</v>
      </c>
      <c r="G1223" s="68" t="s">
        <v>328</v>
      </c>
      <c r="H1223" s="69">
        <v>45658.0</v>
      </c>
      <c r="I1223" s="78" t="s">
        <v>337</v>
      </c>
      <c r="J1223" s="78"/>
      <c r="K1223" s="79"/>
      <c r="L1223" s="80"/>
      <c r="M1223" s="81"/>
    </row>
    <row r="1224">
      <c r="A1224" s="75" t="s">
        <v>3379</v>
      </c>
      <c r="B1224" s="75" t="s">
        <v>319</v>
      </c>
      <c r="C1224" s="75" t="s">
        <v>321</v>
      </c>
      <c r="D1224" s="75">
        <v>2022.0</v>
      </c>
      <c r="E1224" s="75">
        <v>8.60369052444112E14</v>
      </c>
      <c r="F1224" s="76" t="s">
        <v>326</v>
      </c>
      <c r="G1224" s="68" t="s">
        <v>328</v>
      </c>
      <c r="H1224" s="69">
        <v>45658.0</v>
      </c>
      <c r="I1224" s="78" t="s">
        <v>337</v>
      </c>
      <c r="J1224" s="78"/>
      <c r="K1224" s="79"/>
      <c r="L1224" s="80"/>
      <c r="M1224" s="81"/>
    </row>
    <row r="1225">
      <c r="A1225" s="75" t="s">
        <v>3380</v>
      </c>
      <c r="B1225" s="75" t="s">
        <v>319</v>
      </c>
      <c r="C1225" s="75" t="s">
        <v>321</v>
      </c>
      <c r="D1225" s="75">
        <v>2022.0</v>
      </c>
      <c r="E1225" s="75">
        <v>8.6036905242979E14</v>
      </c>
      <c r="F1225" s="76" t="s">
        <v>326</v>
      </c>
      <c r="G1225" s="68" t="s">
        <v>328</v>
      </c>
      <c r="H1225" s="69">
        <v>45658.0</v>
      </c>
      <c r="I1225" s="78" t="s">
        <v>337</v>
      </c>
      <c r="J1225" s="78"/>
      <c r="K1225" s="79"/>
      <c r="L1225" s="80"/>
      <c r="M1225" s="81"/>
    </row>
    <row r="1226">
      <c r="A1226" s="75" t="s">
        <v>3381</v>
      </c>
      <c r="B1226" s="75" t="s">
        <v>319</v>
      </c>
      <c r="C1226" s="75" t="s">
        <v>321</v>
      </c>
      <c r="D1226" s="75">
        <v>2022.0</v>
      </c>
      <c r="E1226" s="75">
        <v>8.60369054165889E14</v>
      </c>
      <c r="F1226" s="76" t="s">
        <v>326</v>
      </c>
      <c r="G1226" s="68" t="s">
        <v>328</v>
      </c>
      <c r="H1226" s="69">
        <v>45658.0</v>
      </c>
      <c r="I1226" s="78" t="s">
        <v>337</v>
      </c>
      <c r="J1226" s="78"/>
      <c r="K1226" s="79"/>
      <c r="L1226" s="80"/>
      <c r="M1226" s="81"/>
    </row>
    <row r="1227">
      <c r="A1227" s="75" t="s">
        <v>3382</v>
      </c>
      <c r="B1227" s="75" t="s">
        <v>319</v>
      </c>
      <c r="C1227" s="75" t="s">
        <v>321</v>
      </c>
      <c r="D1227" s="75">
        <v>2022.0</v>
      </c>
      <c r="E1227" s="75">
        <v>8.60369054159841E14</v>
      </c>
      <c r="F1227" s="76" t="s">
        <v>326</v>
      </c>
      <c r="G1227" s="68" t="s">
        <v>328</v>
      </c>
      <c r="H1227" s="69">
        <v>45658.0</v>
      </c>
      <c r="I1227" s="78" t="s">
        <v>337</v>
      </c>
      <c r="J1227" s="78"/>
      <c r="K1227" s="79"/>
      <c r="L1227" s="80"/>
      <c r="M1227" s="81"/>
    </row>
    <row r="1228">
      <c r="A1228" s="75" t="s">
        <v>3383</v>
      </c>
      <c r="B1228" s="75" t="s">
        <v>319</v>
      </c>
      <c r="C1228" s="75" t="s">
        <v>321</v>
      </c>
      <c r="D1228" s="75">
        <v>2022.0</v>
      </c>
      <c r="E1228" s="75">
        <v>8.6036905247076E14</v>
      </c>
      <c r="F1228" s="76" t="s">
        <v>398</v>
      </c>
      <c r="G1228" s="68" t="s">
        <v>328</v>
      </c>
      <c r="H1228" s="69">
        <v>45658.0</v>
      </c>
      <c r="I1228" s="78" t="s">
        <v>337</v>
      </c>
      <c r="J1228" s="78"/>
      <c r="K1228" s="79"/>
      <c r="L1228" s="80"/>
      <c r="M1228" s="81"/>
    </row>
    <row r="1229">
      <c r="A1229" s="75" t="s">
        <v>3384</v>
      </c>
      <c r="B1229" s="75" t="s">
        <v>319</v>
      </c>
      <c r="C1229" s="75" t="s">
        <v>321</v>
      </c>
      <c r="D1229" s="75">
        <v>2022.0</v>
      </c>
      <c r="E1229" s="75">
        <v>8.60369054190325E14</v>
      </c>
      <c r="F1229" s="76" t="s">
        <v>326</v>
      </c>
      <c r="G1229" s="68" t="s">
        <v>328</v>
      </c>
      <c r="H1229" s="69">
        <v>45658.0</v>
      </c>
      <c r="I1229" s="78" t="s">
        <v>337</v>
      </c>
      <c r="J1229" s="78"/>
      <c r="K1229" s="79"/>
      <c r="L1229" s="80"/>
      <c r="M1229" s="81"/>
    </row>
    <row r="1230">
      <c r="A1230" s="75" t="s">
        <v>3385</v>
      </c>
      <c r="B1230" s="75" t="s">
        <v>319</v>
      </c>
      <c r="C1230" s="75" t="s">
        <v>321</v>
      </c>
      <c r="D1230" s="75">
        <v>2022.0</v>
      </c>
      <c r="E1230" s="75">
        <v>8.60369054177496E14</v>
      </c>
      <c r="F1230" s="76" t="s">
        <v>326</v>
      </c>
      <c r="G1230" s="68" t="s">
        <v>328</v>
      </c>
      <c r="H1230" s="69">
        <v>45658.0</v>
      </c>
      <c r="I1230" s="78" t="s">
        <v>337</v>
      </c>
      <c r="J1230" s="78"/>
      <c r="K1230" s="79"/>
      <c r="L1230" s="80"/>
      <c r="M1230" s="81"/>
    </row>
    <row r="1231">
      <c r="A1231" s="75" t="s">
        <v>3386</v>
      </c>
      <c r="B1231" s="75" t="s">
        <v>319</v>
      </c>
      <c r="C1231" s="75" t="s">
        <v>321</v>
      </c>
      <c r="D1231" s="75">
        <v>2022.0</v>
      </c>
      <c r="E1231" s="75">
        <v>8.60369054199888E14</v>
      </c>
      <c r="F1231" s="76" t="s">
        <v>326</v>
      </c>
      <c r="G1231" s="68" t="s">
        <v>328</v>
      </c>
      <c r="H1231" s="69">
        <v>45658.0</v>
      </c>
      <c r="I1231" s="78" t="s">
        <v>337</v>
      </c>
      <c r="J1231" s="78"/>
      <c r="K1231" s="79"/>
      <c r="L1231" s="80"/>
      <c r="M1231" s="81"/>
    </row>
    <row r="1232">
      <c r="A1232" s="75" t="s">
        <v>3387</v>
      </c>
      <c r="B1232" s="75" t="s">
        <v>319</v>
      </c>
      <c r="C1232" s="75" t="s">
        <v>351</v>
      </c>
      <c r="D1232" s="75">
        <v>2022.0</v>
      </c>
      <c r="E1232" s="75">
        <v>8.60369052695499E14</v>
      </c>
      <c r="F1232" s="76" t="s">
        <v>326</v>
      </c>
      <c r="G1232" s="68" t="s">
        <v>328</v>
      </c>
      <c r="H1232" s="69">
        <v>45658.0</v>
      </c>
      <c r="I1232" s="78" t="s">
        <v>337</v>
      </c>
      <c r="J1232" s="78"/>
      <c r="K1232" s="79"/>
      <c r="L1232" s="80"/>
      <c r="M1232" s="81"/>
    </row>
    <row r="1233">
      <c r="A1233" s="75" t="s">
        <v>3388</v>
      </c>
      <c r="B1233" s="75" t="s">
        <v>319</v>
      </c>
      <c r="C1233" s="75" t="s">
        <v>351</v>
      </c>
      <c r="D1233" s="75">
        <v>2022.0</v>
      </c>
      <c r="E1233" s="75">
        <v>8.60369054170731E14</v>
      </c>
      <c r="F1233" s="76" t="s">
        <v>326</v>
      </c>
      <c r="G1233" s="68" t="s">
        <v>328</v>
      </c>
      <c r="H1233" s="69">
        <v>45658.0</v>
      </c>
      <c r="I1233" s="78" t="s">
        <v>337</v>
      </c>
      <c r="J1233" s="78"/>
      <c r="K1233" s="79"/>
      <c r="L1233" s="80"/>
      <c r="M1233" s="81"/>
    </row>
    <row r="1234">
      <c r="A1234" s="75" t="s">
        <v>3389</v>
      </c>
      <c r="B1234" s="75" t="s">
        <v>319</v>
      </c>
      <c r="C1234" s="75" t="s">
        <v>351</v>
      </c>
      <c r="D1234" s="75">
        <v>2022.0</v>
      </c>
      <c r="E1234" s="75">
        <v>8.60369054177819E14</v>
      </c>
      <c r="F1234" s="76" t="s">
        <v>326</v>
      </c>
      <c r="G1234" s="68" t="s">
        <v>328</v>
      </c>
      <c r="H1234" s="69">
        <v>45658.0</v>
      </c>
      <c r="I1234" s="78" t="s">
        <v>337</v>
      </c>
      <c r="J1234" s="78"/>
      <c r="K1234" s="79"/>
      <c r="L1234" s="80"/>
      <c r="M1234" s="81"/>
    </row>
    <row r="1235">
      <c r="A1235" s="75" t="s">
        <v>3390</v>
      </c>
      <c r="B1235" s="75" t="s">
        <v>319</v>
      </c>
      <c r="C1235" s="75" t="s">
        <v>351</v>
      </c>
      <c r="D1235" s="75">
        <v>2022.0</v>
      </c>
      <c r="E1235" s="75">
        <v>8.60369054177686E14</v>
      </c>
      <c r="F1235" s="76" t="s">
        <v>326</v>
      </c>
      <c r="G1235" s="68" t="s">
        <v>328</v>
      </c>
      <c r="H1235" s="69">
        <v>45658.0</v>
      </c>
      <c r="I1235" s="78" t="s">
        <v>337</v>
      </c>
      <c r="J1235" s="78"/>
      <c r="K1235" s="79"/>
      <c r="L1235" s="80"/>
      <c r="M1235" s="81"/>
    </row>
    <row r="1236">
      <c r="A1236" s="75" t="s">
        <v>3391</v>
      </c>
      <c r="B1236" s="75" t="s">
        <v>319</v>
      </c>
      <c r="C1236" s="75" t="s">
        <v>351</v>
      </c>
      <c r="D1236" s="75">
        <v>2022.0</v>
      </c>
      <c r="E1236" s="75">
        <v>8.60369054739881E14</v>
      </c>
      <c r="F1236" s="76" t="s">
        <v>326</v>
      </c>
      <c r="G1236" s="68" t="s">
        <v>328</v>
      </c>
      <c r="H1236" s="69">
        <v>45658.0</v>
      </c>
      <c r="I1236" s="78" t="s">
        <v>337</v>
      </c>
      <c r="J1236" s="78"/>
      <c r="K1236" s="79"/>
      <c r="L1236" s="80"/>
      <c r="M1236" s="81"/>
    </row>
    <row r="1237">
      <c r="A1237" s="75" t="s">
        <v>3392</v>
      </c>
      <c r="B1237" s="75" t="s">
        <v>319</v>
      </c>
      <c r="C1237" s="75" t="s">
        <v>321</v>
      </c>
      <c r="D1237" s="75">
        <v>2022.0</v>
      </c>
      <c r="E1237" s="75">
        <v>8.60369054155609E14</v>
      </c>
      <c r="F1237" s="76" t="s">
        <v>326</v>
      </c>
      <c r="G1237" s="68" t="s">
        <v>328</v>
      </c>
      <c r="H1237" s="69">
        <v>45658.0</v>
      </c>
      <c r="I1237" s="78" t="s">
        <v>337</v>
      </c>
      <c r="J1237" s="78"/>
      <c r="K1237" s="79"/>
      <c r="L1237" s="80"/>
      <c r="M1237" s="81"/>
    </row>
    <row r="1238">
      <c r="A1238" s="75" t="s">
        <v>3393</v>
      </c>
      <c r="B1238" s="75" t="s">
        <v>319</v>
      </c>
      <c r="C1238" s="75" t="s">
        <v>351</v>
      </c>
      <c r="D1238" s="75">
        <v>2022.0</v>
      </c>
      <c r="E1238" s="75">
        <v>8.6036905333451E14</v>
      </c>
      <c r="F1238" s="76" t="s">
        <v>326</v>
      </c>
      <c r="G1238" s="68" t="s">
        <v>328</v>
      </c>
      <c r="H1238" s="69">
        <v>45658.0</v>
      </c>
      <c r="I1238" s="78" t="s">
        <v>337</v>
      </c>
      <c r="J1238" s="78"/>
      <c r="K1238" s="79"/>
      <c r="L1238" s="80"/>
      <c r="M1238" s="81"/>
    </row>
    <row r="1239">
      <c r="A1239" s="75" t="s">
        <v>3394</v>
      </c>
      <c r="B1239" s="75" t="s">
        <v>389</v>
      </c>
      <c r="C1239" s="75" t="s">
        <v>1292</v>
      </c>
      <c r="D1239" s="75">
        <v>2022.0</v>
      </c>
      <c r="E1239" s="75">
        <v>8.60369052176771E14</v>
      </c>
      <c r="F1239" s="76" t="s">
        <v>326</v>
      </c>
      <c r="G1239" s="68" t="s">
        <v>328</v>
      </c>
      <c r="H1239" s="69">
        <v>45658.0</v>
      </c>
      <c r="I1239" s="78" t="s">
        <v>337</v>
      </c>
      <c r="J1239" s="78"/>
      <c r="K1239" s="79"/>
      <c r="L1239" s="80"/>
      <c r="M1239" s="81"/>
    </row>
    <row r="1240">
      <c r="A1240" s="75" t="s">
        <v>3395</v>
      </c>
      <c r="B1240" s="75" t="s">
        <v>389</v>
      </c>
      <c r="C1240" s="75" t="s">
        <v>1292</v>
      </c>
      <c r="D1240" s="75">
        <v>2022.0</v>
      </c>
      <c r="E1240" s="75">
        <v>8.60369052118948E14</v>
      </c>
      <c r="F1240" s="76" t="s">
        <v>326</v>
      </c>
      <c r="G1240" s="68" t="s">
        <v>328</v>
      </c>
      <c r="H1240" s="69">
        <v>45658.0</v>
      </c>
      <c r="I1240" s="78" t="s">
        <v>337</v>
      </c>
      <c r="J1240" s="78"/>
      <c r="K1240" s="79"/>
      <c r="L1240" s="80"/>
      <c r="M1240" s="81"/>
    </row>
    <row r="1241">
      <c r="A1241" s="75" t="s">
        <v>3396</v>
      </c>
      <c r="B1241" s="75" t="s">
        <v>389</v>
      </c>
      <c r="C1241" s="75" t="s">
        <v>1292</v>
      </c>
      <c r="D1241" s="75">
        <v>2022.0</v>
      </c>
      <c r="E1241" s="75">
        <v>8.60369052169297E14</v>
      </c>
      <c r="F1241" s="76" t="s">
        <v>326</v>
      </c>
      <c r="G1241" s="68" t="s">
        <v>328</v>
      </c>
      <c r="H1241" s="69">
        <v>45658.0</v>
      </c>
      <c r="I1241" s="78" t="s">
        <v>337</v>
      </c>
      <c r="J1241" s="78"/>
      <c r="K1241" s="79"/>
      <c r="L1241" s="80"/>
      <c r="M1241" s="81"/>
    </row>
    <row r="1242">
      <c r="A1242" s="75" t="s">
        <v>3397</v>
      </c>
      <c r="B1242" s="75" t="s">
        <v>319</v>
      </c>
      <c r="C1242" s="75" t="s">
        <v>321</v>
      </c>
      <c r="D1242" s="75">
        <v>2022.0</v>
      </c>
      <c r="E1242" s="75">
        <v>8.60369054160047E14</v>
      </c>
      <c r="F1242" s="76" t="s">
        <v>326</v>
      </c>
      <c r="G1242" s="68" t="s">
        <v>328</v>
      </c>
      <c r="H1242" s="69">
        <v>45658.0</v>
      </c>
      <c r="I1242" s="78" t="s">
        <v>337</v>
      </c>
      <c r="J1242" s="78"/>
      <c r="K1242" s="79"/>
      <c r="L1242" s="80"/>
      <c r="M1242" s="81"/>
    </row>
    <row r="1243">
      <c r="A1243" s="75" t="s">
        <v>3398</v>
      </c>
      <c r="B1243" s="75" t="s">
        <v>319</v>
      </c>
      <c r="C1243" s="75" t="s">
        <v>321</v>
      </c>
      <c r="D1243" s="75">
        <v>2022.0</v>
      </c>
      <c r="E1243" s="75">
        <v>8.60369054155146E14</v>
      </c>
      <c r="F1243" s="76" t="s">
        <v>326</v>
      </c>
      <c r="G1243" s="68" t="s">
        <v>328</v>
      </c>
      <c r="H1243" s="69">
        <v>45658.0</v>
      </c>
      <c r="I1243" s="78" t="s">
        <v>337</v>
      </c>
      <c r="J1243" s="78"/>
      <c r="K1243" s="79"/>
      <c r="L1243" s="80"/>
      <c r="M1243" s="81"/>
    </row>
    <row r="1244">
      <c r="A1244" s="75" t="s">
        <v>3399</v>
      </c>
      <c r="B1244" s="75" t="s">
        <v>319</v>
      </c>
      <c r="C1244" s="75" t="s">
        <v>321</v>
      </c>
      <c r="D1244" s="75">
        <v>2022.0</v>
      </c>
      <c r="E1244" s="75">
        <v>8.60369054162969E14</v>
      </c>
      <c r="F1244" s="76" t="s">
        <v>326</v>
      </c>
      <c r="G1244" s="68" t="s">
        <v>328</v>
      </c>
      <c r="H1244" s="69">
        <v>45658.0</v>
      </c>
      <c r="I1244" s="78" t="s">
        <v>337</v>
      </c>
      <c r="J1244" s="78"/>
      <c r="K1244" s="79"/>
      <c r="L1244" s="80"/>
      <c r="M1244" s="81"/>
    </row>
    <row r="1245">
      <c r="A1245" s="75" t="s">
        <v>3400</v>
      </c>
      <c r="B1245" s="75" t="s">
        <v>319</v>
      </c>
      <c r="C1245" s="75" t="s">
        <v>321</v>
      </c>
      <c r="D1245" s="75">
        <v>2022.0</v>
      </c>
      <c r="E1245" s="75">
        <v>8.60369053343834E14</v>
      </c>
      <c r="F1245" s="76" t="s">
        <v>326</v>
      </c>
      <c r="G1245" s="68" t="s">
        <v>328</v>
      </c>
      <c r="H1245" s="69">
        <v>45658.0</v>
      </c>
      <c r="I1245" s="78" t="s">
        <v>337</v>
      </c>
      <c r="J1245" s="78"/>
      <c r="K1245" s="79"/>
      <c r="L1245" s="80"/>
      <c r="M1245" s="81"/>
    </row>
    <row r="1246">
      <c r="A1246" s="75" t="s">
        <v>3401</v>
      </c>
      <c r="B1246" s="75" t="s">
        <v>389</v>
      </c>
      <c r="C1246" s="75" t="s">
        <v>1292</v>
      </c>
      <c r="D1246" s="75">
        <v>2022.0</v>
      </c>
      <c r="E1246" s="75">
        <v>8.60369052140942E14</v>
      </c>
      <c r="F1246" s="76" t="s">
        <v>326</v>
      </c>
      <c r="G1246" s="68" t="s">
        <v>328</v>
      </c>
      <c r="H1246" s="69">
        <v>45658.0</v>
      </c>
      <c r="I1246" s="78" t="s">
        <v>337</v>
      </c>
      <c r="J1246" s="78"/>
      <c r="K1246" s="79"/>
      <c r="L1246" s="80"/>
      <c r="M1246" s="81"/>
    </row>
    <row r="1247">
      <c r="A1247" s="75" t="s">
        <v>3402</v>
      </c>
      <c r="B1247" s="75" t="s">
        <v>389</v>
      </c>
      <c r="C1247" s="75" t="s">
        <v>1292</v>
      </c>
      <c r="D1247" s="75">
        <v>2022.0</v>
      </c>
      <c r="E1247" s="75">
        <v>8.60369052117999E14</v>
      </c>
      <c r="F1247" s="76" t="s">
        <v>326</v>
      </c>
      <c r="G1247" s="68" t="s">
        <v>328</v>
      </c>
      <c r="H1247" s="69">
        <v>45658.0</v>
      </c>
      <c r="I1247" s="78" t="s">
        <v>337</v>
      </c>
      <c r="J1247" s="78"/>
      <c r="K1247" s="79"/>
      <c r="L1247" s="80"/>
      <c r="M1247" s="81"/>
    </row>
    <row r="1248">
      <c r="A1248" s="75" t="s">
        <v>3403</v>
      </c>
      <c r="B1248" s="75" t="s">
        <v>389</v>
      </c>
      <c r="C1248" s="75" t="s">
        <v>1292</v>
      </c>
      <c r="D1248" s="75">
        <v>2022.0</v>
      </c>
      <c r="E1248" s="75">
        <v>8.60369052461124E14</v>
      </c>
      <c r="F1248" s="76" t="s">
        <v>326</v>
      </c>
      <c r="G1248" s="68" t="s">
        <v>328</v>
      </c>
      <c r="H1248" s="69">
        <v>45658.0</v>
      </c>
      <c r="I1248" s="78" t="s">
        <v>337</v>
      </c>
      <c r="J1248" s="78"/>
      <c r="K1248" s="79"/>
      <c r="L1248" s="80"/>
      <c r="M1248" s="81"/>
    </row>
    <row r="1249">
      <c r="A1249" s="75" t="s">
        <v>3404</v>
      </c>
      <c r="B1249" s="75" t="s">
        <v>389</v>
      </c>
      <c r="C1249" s="75" t="s">
        <v>1292</v>
      </c>
      <c r="D1249" s="75">
        <v>2022.0</v>
      </c>
      <c r="E1249" s="75">
        <v>8.60369052143615E14</v>
      </c>
      <c r="F1249" s="76" t="s">
        <v>326</v>
      </c>
      <c r="G1249" s="68" t="s">
        <v>328</v>
      </c>
      <c r="H1249" s="69">
        <v>45658.0</v>
      </c>
      <c r="I1249" s="78" t="s">
        <v>337</v>
      </c>
      <c r="J1249" s="78"/>
      <c r="K1249" s="79"/>
      <c r="L1249" s="80"/>
      <c r="M1249" s="81"/>
    </row>
    <row r="1250">
      <c r="A1250" s="75" t="s">
        <v>3405</v>
      </c>
      <c r="B1250" s="75" t="s">
        <v>389</v>
      </c>
      <c r="C1250" s="75" t="s">
        <v>1292</v>
      </c>
      <c r="D1250" s="75">
        <v>2022.0</v>
      </c>
      <c r="E1250" s="75">
        <v>8.60369052155437E14</v>
      </c>
      <c r="F1250" s="76" t="s">
        <v>326</v>
      </c>
      <c r="G1250" s="68" t="s">
        <v>328</v>
      </c>
      <c r="H1250" s="69">
        <v>45658.0</v>
      </c>
      <c r="I1250" s="78" t="s">
        <v>337</v>
      </c>
      <c r="J1250" s="78"/>
      <c r="K1250" s="79"/>
      <c r="L1250" s="80"/>
      <c r="M1250" s="81"/>
    </row>
    <row r="1251">
      <c r="A1251" s="75" t="s">
        <v>3406</v>
      </c>
      <c r="B1251" s="75" t="s">
        <v>389</v>
      </c>
      <c r="C1251" s="75" t="s">
        <v>1292</v>
      </c>
      <c r="D1251" s="75">
        <v>2022.0</v>
      </c>
      <c r="E1251" s="75">
        <v>8.60369052176797E14</v>
      </c>
      <c r="F1251" s="76" t="s">
        <v>326</v>
      </c>
      <c r="G1251" s="68" t="s">
        <v>328</v>
      </c>
      <c r="H1251" s="69">
        <v>45658.0</v>
      </c>
      <c r="I1251" s="78" t="s">
        <v>337</v>
      </c>
      <c r="J1251" s="78"/>
      <c r="K1251" s="79"/>
      <c r="L1251" s="80"/>
      <c r="M1251" s="81"/>
    </row>
    <row r="1252">
      <c r="A1252" s="75" t="s">
        <v>3407</v>
      </c>
      <c r="B1252" s="75" t="s">
        <v>389</v>
      </c>
      <c r="C1252" s="75" t="s">
        <v>1292</v>
      </c>
      <c r="D1252" s="75">
        <v>2022.0</v>
      </c>
      <c r="E1252" s="75">
        <v>8.60369052139928E14</v>
      </c>
      <c r="F1252" s="76" t="s">
        <v>326</v>
      </c>
      <c r="G1252" s="68" t="s">
        <v>328</v>
      </c>
      <c r="H1252" s="69">
        <v>45658.0</v>
      </c>
      <c r="I1252" s="78" t="s">
        <v>337</v>
      </c>
      <c r="J1252" s="78"/>
      <c r="K1252" s="79"/>
      <c r="L1252" s="80"/>
      <c r="M1252" s="81"/>
    </row>
    <row r="1253">
      <c r="A1253" s="75" t="s">
        <v>3408</v>
      </c>
      <c r="B1253" s="75" t="s">
        <v>319</v>
      </c>
      <c r="C1253" s="75" t="s">
        <v>351</v>
      </c>
      <c r="D1253" s="75">
        <v>2022.0</v>
      </c>
      <c r="E1253" s="75">
        <v>8.60369052434493E14</v>
      </c>
      <c r="F1253" s="76" t="s">
        <v>326</v>
      </c>
      <c r="G1253" s="68" t="s">
        <v>328</v>
      </c>
      <c r="H1253" s="69">
        <v>45658.0</v>
      </c>
      <c r="I1253" s="78" t="s">
        <v>337</v>
      </c>
      <c r="J1253" s="78"/>
      <c r="K1253" s="79"/>
      <c r="L1253" s="80"/>
      <c r="M1253" s="81"/>
    </row>
    <row r="1254">
      <c r="A1254" s="75" t="s">
        <v>3409</v>
      </c>
      <c r="B1254" s="75" t="s">
        <v>389</v>
      </c>
      <c r="C1254" s="75" t="s">
        <v>1292</v>
      </c>
      <c r="D1254" s="75">
        <v>2022.0</v>
      </c>
      <c r="E1254" s="75">
        <v>8.60369052172622E14</v>
      </c>
      <c r="F1254" s="76" t="s">
        <v>326</v>
      </c>
      <c r="G1254" s="68" t="s">
        <v>328</v>
      </c>
      <c r="H1254" s="69">
        <v>45658.0</v>
      </c>
      <c r="I1254" s="78" t="s">
        <v>337</v>
      </c>
      <c r="J1254" s="78"/>
      <c r="K1254" s="79"/>
      <c r="L1254" s="80"/>
      <c r="M1254" s="81"/>
    </row>
    <row r="1255">
      <c r="A1255" s="75" t="s">
        <v>3410</v>
      </c>
      <c r="B1255" s="75" t="s">
        <v>389</v>
      </c>
      <c r="C1255" s="75" t="s">
        <v>1292</v>
      </c>
      <c r="D1255" s="75">
        <v>2022.0</v>
      </c>
      <c r="E1255" s="75">
        <v>8.60369052171855E14</v>
      </c>
      <c r="F1255" s="76" t="s">
        <v>326</v>
      </c>
      <c r="G1255" s="68" t="s">
        <v>328</v>
      </c>
      <c r="H1255" s="69">
        <v>45658.0</v>
      </c>
      <c r="I1255" s="78" t="s">
        <v>337</v>
      </c>
      <c r="J1255" s="78"/>
      <c r="K1255" s="79"/>
      <c r="L1255" s="80"/>
      <c r="M1255" s="81"/>
    </row>
    <row r="1256">
      <c r="A1256" s="75" t="s">
        <v>3411</v>
      </c>
      <c r="B1256" s="75" t="s">
        <v>389</v>
      </c>
      <c r="C1256" s="75" t="s">
        <v>1292</v>
      </c>
      <c r="D1256" s="75">
        <v>2022.0</v>
      </c>
      <c r="E1256" s="75">
        <v>8.6036905214622E14</v>
      </c>
      <c r="F1256" s="76" t="s">
        <v>326</v>
      </c>
      <c r="G1256" s="68" t="s">
        <v>328</v>
      </c>
      <c r="H1256" s="69">
        <v>45658.0</v>
      </c>
      <c r="I1256" s="78" t="s">
        <v>337</v>
      </c>
      <c r="J1256" s="78"/>
      <c r="K1256" s="79"/>
      <c r="L1256" s="80"/>
      <c r="M1256" s="81"/>
    </row>
    <row r="1257">
      <c r="A1257" s="75" t="s">
        <v>3412</v>
      </c>
      <c r="B1257" s="75" t="s">
        <v>389</v>
      </c>
      <c r="C1257" s="75" t="s">
        <v>1292</v>
      </c>
      <c r="D1257" s="75">
        <v>2022.0</v>
      </c>
      <c r="E1257" s="75">
        <v>8.60369052144142E14</v>
      </c>
      <c r="F1257" s="76" t="s">
        <v>326</v>
      </c>
      <c r="G1257" s="68" t="s">
        <v>328</v>
      </c>
      <c r="H1257" s="69">
        <v>45658.0</v>
      </c>
      <c r="I1257" s="78" t="s">
        <v>337</v>
      </c>
      <c r="J1257" s="78"/>
      <c r="K1257" s="79"/>
      <c r="L1257" s="80"/>
      <c r="M1257" s="81"/>
    </row>
    <row r="1258">
      <c r="A1258" s="75" t="s">
        <v>3413</v>
      </c>
      <c r="B1258" s="75" t="s">
        <v>389</v>
      </c>
      <c r="C1258" s="75" t="s">
        <v>1292</v>
      </c>
      <c r="D1258" s="75">
        <v>2022.0</v>
      </c>
      <c r="E1258" s="75">
        <v>8.60369052142427E14</v>
      </c>
      <c r="F1258" s="76" t="s">
        <v>326</v>
      </c>
      <c r="G1258" s="68" t="s">
        <v>328</v>
      </c>
      <c r="H1258" s="69">
        <v>45658.0</v>
      </c>
      <c r="I1258" s="78" t="s">
        <v>337</v>
      </c>
      <c r="J1258" s="78"/>
      <c r="K1258" s="79"/>
      <c r="L1258" s="80"/>
      <c r="M1258" s="81"/>
    </row>
    <row r="1259">
      <c r="A1259" s="75" t="s">
        <v>3414</v>
      </c>
      <c r="B1259" s="75" t="s">
        <v>389</v>
      </c>
      <c r="C1259" s="75" t="s">
        <v>1292</v>
      </c>
      <c r="D1259" s="75">
        <v>2022.0</v>
      </c>
      <c r="E1259" s="75">
        <v>8.60369052164439E14</v>
      </c>
      <c r="F1259" s="76" t="s">
        <v>326</v>
      </c>
      <c r="G1259" s="68" t="s">
        <v>328</v>
      </c>
      <c r="H1259" s="69">
        <v>45658.0</v>
      </c>
      <c r="I1259" s="78" t="s">
        <v>337</v>
      </c>
      <c r="J1259" s="78"/>
      <c r="K1259" s="79"/>
      <c r="L1259" s="80"/>
      <c r="M1259" s="81"/>
    </row>
    <row r="1260">
      <c r="A1260" s="75" t="s">
        <v>3415</v>
      </c>
      <c r="B1260" s="75" t="s">
        <v>389</v>
      </c>
      <c r="C1260" s="75" t="s">
        <v>1292</v>
      </c>
      <c r="D1260" s="75">
        <v>2022.0</v>
      </c>
      <c r="E1260" s="75">
        <v>8.60369052168851E14</v>
      </c>
      <c r="F1260" s="76" t="s">
        <v>326</v>
      </c>
      <c r="G1260" s="68" t="s">
        <v>328</v>
      </c>
      <c r="H1260" s="69">
        <v>45658.0</v>
      </c>
      <c r="I1260" s="78" t="s">
        <v>337</v>
      </c>
      <c r="J1260" s="78"/>
      <c r="K1260" s="79"/>
      <c r="L1260" s="80"/>
      <c r="M1260" s="81"/>
    </row>
    <row r="1261">
      <c r="A1261" s="75" t="s">
        <v>3416</v>
      </c>
      <c r="B1261" s="75" t="s">
        <v>389</v>
      </c>
      <c r="C1261" s="75" t="s">
        <v>1292</v>
      </c>
      <c r="D1261" s="75">
        <v>2022.0</v>
      </c>
      <c r="E1261" s="75">
        <v>8.60369054155534E14</v>
      </c>
      <c r="F1261" s="76" t="s">
        <v>326</v>
      </c>
      <c r="G1261" s="68" t="s">
        <v>328</v>
      </c>
      <c r="H1261" s="69">
        <v>45658.0</v>
      </c>
      <c r="I1261" s="78" t="s">
        <v>337</v>
      </c>
      <c r="J1261" s="78"/>
      <c r="K1261" s="79"/>
      <c r="L1261" s="80"/>
      <c r="M1261" s="81"/>
    </row>
    <row r="1262">
      <c r="A1262" s="75" t="s">
        <v>3417</v>
      </c>
      <c r="B1262" s="75" t="s">
        <v>389</v>
      </c>
      <c r="C1262" s="75" t="s">
        <v>1292</v>
      </c>
      <c r="D1262" s="75">
        <v>2022.0</v>
      </c>
      <c r="E1262" s="75">
        <v>8.60369052116728E14</v>
      </c>
      <c r="F1262" s="76" t="s">
        <v>326</v>
      </c>
      <c r="G1262" s="68" t="s">
        <v>328</v>
      </c>
      <c r="H1262" s="69">
        <v>45658.0</v>
      </c>
      <c r="I1262" s="78" t="s">
        <v>337</v>
      </c>
      <c r="J1262" s="78"/>
      <c r="K1262" s="79"/>
      <c r="L1262" s="80"/>
      <c r="M1262" s="81"/>
    </row>
    <row r="1263">
      <c r="A1263" s="75" t="s">
        <v>3418</v>
      </c>
      <c r="B1263" s="75" t="s">
        <v>319</v>
      </c>
      <c r="C1263" s="75" t="s">
        <v>321</v>
      </c>
      <c r="D1263" s="75">
        <v>2022.0</v>
      </c>
      <c r="E1263" s="75">
        <v>8.60369054153836E14</v>
      </c>
      <c r="F1263" s="76" t="s">
        <v>326</v>
      </c>
      <c r="G1263" s="68" t="s">
        <v>328</v>
      </c>
      <c r="H1263" s="69">
        <v>45658.0</v>
      </c>
      <c r="I1263" s="78" t="s">
        <v>337</v>
      </c>
      <c r="J1263" s="78"/>
      <c r="K1263" s="79"/>
      <c r="L1263" s="80"/>
      <c r="M1263" s="81"/>
    </row>
    <row r="1264">
      <c r="A1264" s="75" t="s">
        <v>3419</v>
      </c>
      <c r="B1264" s="75" t="s">
        <v>319</v>
      </c>
      <c r="C1264" s="75" t="s">
        <v>321</v>
      </c>
      <c r="D1264" s="75">
        <v>2022.0</v>
      </c>
      <c r="E1264" s="75">
        <v>8.60369054201031E14</v>
      </c>
      <c r="F1264" s="76" t="s">
        <v>326</v>
      </c>
      <c r="G1264" s="68" t="s">
        <v>328</v>
      </c>
      <c r="H1264" s="69">
        <v>45658.0</v>
      </c>
      <c r="I1264" s="78" t="s">
        <v>337</v>
      </c>
      <c r="J1264" s="78"/>
      <c r="K1264" s="79"/>
      <c r="L1264" s="80"/>
      <c r="M1264" s="81"/>
    </row>
    <row r="1265">
      <c r="A1265" s="239" t="s">
        <v>3420</v>
      </c>
      <c r="B1265" s="75" t="s">
        <v>319</v>
      </c>
      <c r="C1265" s="75" t="s">
        <v>321</v>
      </c>
      <c r="D1265" s="75">
        <v>2026.0</v>
      </c>
      <c r="E1265" s="75">
        <v>8.6036905415282E14</v>
      </c>
      <c r="F1265" s="76" t="s">
        <v>326</v>
      </c>
      <c r="G1265" s="68" t="s">
        <v>328</v>
      </c>
      <c r="H1265" s="69">
        <v>45658.0</v>
      </c>
      <c r="I1265" s="78" t="s">
        <v>337</v>
      </c>
      <c r="J1265" s="78"/>
      <c r="K1265" s="79"/>
      <c r="L1265" s="80"/>
      <c r="M1265" s="81"/>
    </row>
    <row r="1266">
      <c r="A1266" s="75" t="s">
        <v>3421</v>
      </c>
      <c r="B1266" s="75" t="s">
        <v>319</v>
      </c>
      <c r="C1266" s="75" t="s">
        <v>723</v>
      </c>
      <c r="D1266" s="75">
        <v>2022.0</v>
      </c>
      <c r="E1266" s="75">
        <v>8.60369054153851E14</v>
      </c>
      <c r="F1266" s="76" t="s">
        <v>326</v>
      </c>
      <c r="G1266" s="68" t="s">
        <v>328</v>
      </c>
      <c r="H1266" s="69">
        <v>45658.0</v>
      </c>
      <c r="I1266" s="78" t="s">
        <v>337</v>
      </c>
      <c r="J1266" s="78"/>
      <c r="K1266" s="79"/>
      <c r="L1266" s="80"/>
      <c r="M1266" s="81"/>
    </row>
    <row r="1267">
      <c r="A1267" s="75" t="s">
        <v>3422</v>
      </c>
      <c r="B1267" s="75" t="s">
        <v>319</v>
      </c>
      <c r="C1267" s="75" t="s">
        <v>723</v>
      </c>
      <c r="D1267" s="75">
        <v>2022.0</v>
      </c>
      <c r="E1267" s="75">
        <v>8.60369052708763E14</v>
      </c>
      <c r="F1267" s="76" t="s">
        <v>326</v>
      </c>
      <c r="G1267" s="68" t="s">
        <v>328</v>
      </c>
      <c r="H1267" s="69">
        <v>45658.0</v>
      </c>
      <c r="I1267" s="78" t="s">
        <v>337</v>
      </c>
      <c r="J1267" s="78"/>
      <c r="K1267" s="79"/>
      <c r="L1267" s="80"/>
      <c r="M1267" s="81"/>
    </row>
    <row r="1268">
      <c r="A1268" s="75" t="s">
        <v>3423</v>
      </c>
      <c r="B1268" s="75" t="s">
        <v>319</v>
      </c>
      <c r="C1268" s="75" t="s">
        <v>723</v>
      </c>
      <c r="D1268" s="75">
        <v>2022.0</v>
      </c>
      <c r="E1268" s="75">
        <v>8.6036905269515E14</v>
      </c>
      <c r="F1268" s="76" t="s">
        <v>326</v>
      </c>
      <c r="G1268" s="68" t="s">
        <v>328</v>
      </c>
      <c r="H1268" s="69">
        <v>45658.0</v>
      </c>
      <c r="I1268" s="78" t="s">
        <v>1240</v>
      </c>
      <c r="J1268" s="78"/>
      <c r="K1268" s="79"/>
      <c r="L1268" s="80"/>
      <c r="M1268" s="81"/>
    </row>
    <row r="1269">
      <c r="A1269" s="75" t="s">
        <v>3424</v>
      </c>
      <c r="B1269" s="75" t="s">
        <v>319</v>
      </c>
      <c r="C1269" s="75" t="s">
        <v>723</v>
      </c>
      <c r="D1269" s="75">
        <v>2022.0</v>
      </c>
      <c r="E1269" s="75">
        <v>8.60369052701214E14</v>
      </c>
      <c r="F1269" s="76" t="s">
        <v>326</v>
      </c>
      <c r="G1269" s="68" t="s">
        <v>328</v>
      </c>
      <c r="H1269" s="69">
        <v>45658.0</v>
      </c>
      <c r="I1269" s="78" t="s">
        <v>337</v>
      </c>
      <c r="J1269" s="78"/>
      <c r="K1269" s="79"/>
      <c r="L1269" s="80"/>
      <c r="M1269" s="81"/>
    </row>
    <row r="1270">
      <c r="A1270" s="75" t="s">
        <v>3425</v>
      </c>
      <c r="B1270" s="75" t="s">
        <v>319</v>
      </c>
      <c r="C1270" s="75" t="s">
        <v>723</v>
      </c>
      <c r="D1270" s="75">
        <v>2022.0</v>
      </c>
      <c r="E1270" s="75">
        <v>8.60369052706361E14</v>
      </c>
      <c r="F1270" s="76" t="s">
        <v>326</v>
      </c>
      <c r="G1270" s="68" t="s">
        <v>328</v>
      </c>
      <c r="H1270" s="69">
        <v>45658.0</v>
      </c>
      <c r="I1270" s="78" t="s">
        <v>2065</v>
      </c>
      <c r="J1270" s="78"/>
      <c r="K1270" s="79"/>
      <c r="L1270" s="80"/>
      <c r="M1270" s="81"/>
    </row>
    <row r="1271">
      <c r="A1271" s="75" t="s">
        <v>3426</v>
      </c>
      <c r="B1271" s="75" t="s">
        <v>319</v>
      </c>
      <c r="C1271" s="75" t="s">
        <v>723</v>
      </c>
      <c r="D1271" s="75">
        <v>2022.0</v>
      </c>
      <c r="E1271" s="75">
        <v>8.6036905270552E14</v>
      </c>
      <c r="F1271" s="76" t="s">
        <v>326</v>
      </c>
      <c r="G1271" s="68" t="s">
        <v>328</v>
      </c>
      <c r="H1271" s="69">
        <v>45658.0</v>
      </c>
      <c r="I1271" s="78" t="s">
        <v>337</v>
      </c>
      <c r="J1271" s="78"/>
      <c r="K1271" s="79"/>
      <c r="L1271" s="80"/>
      <c r="M1271" s="81"/>
    </row>
    <row r="1272">
      <c r="A1272" s="75" t="s">
        <v>3427</v>
      </c>
      <c r="B1272" s="75" t="s">
        <v>319</v>
      </c>
      <c r="C1272" s="75" t="s">
        <v>321</v>
      </c>
      <c r="D1272" s="75">
        <v>2022.0</v>
      </c>
      <c r="E1272" s="75">
        <v>8.60369052143094E14</v>
      </c>
      <c r="F1272" s="76" t="s">
        <v>326</v>
      </c>
      <c r="G1272" s="68" t="s">
        <v>328</v>
      </c>
      <c r="H1272" s="69">
        <v>45658.0</v>
      </c>
      <c r="I1272" s="78" t="s">
        <v>337</v>
      </c>
      <c r="J1272" s="78"/>
      <c r="K1272" s="79"/>
      <c r="L1272" s="80"/>
      <c r="M1272" s="81"/>
    </row>
    <row r="1273">
      <c r="A1273" s="75" t="s">
        <v>3428</v>
      </c>
      <c r="B1273" s="75" t="s">
        <v>319</v>
      </c>
      <c r="C1273" s="75" t="s">
        <v>321</v>
      </c>
      <c r="D1273" s="75">
        <v>2021.0</v>
      </c>
      <c r="E1273" s="75">
        <v>8.60369054179963E14</v>
      </c>
      <c r="F1273" s="76" t="s">
        <v>326</v>
      </c>
      <c r="G1273" s="68" t="s">
        <v>328</v>
      </c>
      <c r="H1273" s="69">
        <v>45658.0</v>
      </c>
      <c r="I1273" s="78" t="s">
        <v>337</v>
      </c>
      <c r="J1273" s="78"/>
      <c r="K1273" s="79"/>
      <c r="L1273" s="80"/>
      <c r="M1273" s="81"/>
    </row>
    <row r="1274">
      <c r="A1274" s="75" t="s">
        <v>3429</v>
      </c>
      <c r="B1274" s="75" t="s">
        <v>319</v>
      </c>
      <c r="C1274" s="75" t="s">
        <v>321</v>
      </c>
      <c r="D1274" s="75">
        <v>2021.0</v>
      </c>
      <c r="E1274" s="75">
        <v>8.60369052440623E14</v>
      </c>
      <c r="F1274" s="76" t="s">
        <v>326</v>
      </c>
      <c r="G1274" s="68" t="s">
        <v>328</v>
      </c>
      <c r="H1274" s="69">
        <v>45658.0</v>
      </c>
      <c r="I1274" s="78" t="s">
        <v>337</v>
      </c>
      <c r="J1274" s="78"/>
      <c r="K1274" s="79"/>
      <c r="L1274" s="80"/>
      <c r="M1274" s="81"/>
    </row>
    <row r="1275">
      <c r="A1275" s="75" t="s">
        <v>3430</v>
      </c>
      <c r="B1275" s="75" t="s">
        <v>319</v>
      </c>
      <c r="C1275" s="75" t="s">
        <v>321</v>
      </c>
      <c r="D1275" s="75">
        <v>2022.0</v>
      </c>
      <c r="E1275" s="75">
        <v>8.60369054160401E14</v>
      </c>
      <c r="F1275" s="76" t="s">
        <v>326</v>
      </c>
      <c r="G1275" s="68" t="s">
        <v>328</v>
      </c>
      <c r="H1275" s="69">
        <v>45658.0</v>
      </c>
      <c r="I1275" s="78" t="s">
        <v>337</v>
      </c>
      <c r="J1275" s="78"/>
      <c r="K1275" s="79"/>
      <c r="L1275" s="80"/>
      <c r="M1275" s="81"/>
    </row>
    <row r="1276">
      <c r="A1276" s="75" t="s">
        <v>3431</v>
      </c>
      <c r="B1276" s="75" t="s">
        <v>319</v>
      </c>
      <c r="C1276" s="75" t="s">
        <v>321</v>
      </c>
      <c r="D1276" s="75">
        <v>2022.0</v>
      </c>
      <c r="E1276" s="75">
        <v>8.60369052435581E14</v>
      </c>
      <c r="F1276" s="76" t="s">
        <v>326</v>
      </c>
      <c r="G1276" s="68" t="s">
        <v>328</v>
      </c>
      <c r="H1276" s="69">
        <v>45658.0</v>
      </c>
      <c r="I1276" s="78" t="s">
        <v>337</v>
      </c>
      <c r="J1276" s="78"/>
      <c r="K1276" s="79"/>
      <c r="L1276" s="80"/>
      <c r="M1276" s="81"/>
    </row>
    <row r="1277">
      <c r="A1277" s="75" t="s">
        <v>3432</v>
      </c>
      <c r="B1277" s="75" t="s">
        <v>319</v>
      </c>
      <c r="C1277" s="75" t="s">
        <v>321</v>
      </c>
      <c r="D1277" s="75">
        <v>2022.0</v>
      </c>
      <c r="E1277" s="75">
        <v>8.60369054120785E14</v>
      </c>
      <c r="F1277" s="76" t="s">
        <v>326</v>
      </c>
      <c r="G1277" s="68" t="s">
        <v>328</v>
      </c>
      <c r="H1277" s="69">
        <v>45658.0</v>
      </c>
      <c r="I1277" s="78" t="s">
        <v>337</v>
      </c>
      <c r="J1277" s="78"/>
      <c r="K1277" s="79"/>
      <c r="L1277" s="80"/>
      <c r="M1277" s="81"/>
    </row>
    <row r="1278">
      <c r="A1278" s="75" t="s">
        <v>3433</v>
      </c>
      <c r="B1278" s="75" t="s">
        <v>319</v>
      </c>
      <c r="C1278" s="75" t="s">
        <v>321</v>
      </c>
      <c r="D1278" s="75">
        <v>2022.0</v>
      </c>
      <c r="E1278" s="75">
        <v>8.60369053335236E14</v>
      </c>
      <c r="F1278" s="76" t="s">
        <v>326</v>
      </c>
      <c r="G1278" s="68" t="s">
        <v>328</v>
      </c>
      <c r="H1278" s="69">
        <v>45658.0</v>
      </c>
      <c r="I1278" s="78" t="s">
        <v>337</v>
      </c>
      <c r="J1278" s="78"/>
      <c r="K1278" s="79"/>
      <c r="L1278" s="80"/>
      <c r="M1278" s="81"/>
    </row>
    <row r="1279">
      <c r="A1279" s="75" t="s">
        <v>3434</v>
      </c>
      <c r="B1279" s="75" t="s">
        <v>319</v>
      </c>
      <c r="C1279" s="75" t="s">
        <v>321</v>
      </c>
      <c r="D1279" s="75">
        <v>2022.0</v>
      </c>
      <c r="E1279" s="75">
        <v>8.60369054164007E14</v>
      </c>
      <c r="F1279" s="76" t="s">
        <v>326</v>
      </c>
      <c r="G1279" s="68" t="s">
        <v>328</v>
      </c>
      <c r="H1279" s="69">
        <v>45658.0</v>
      </c>
      <c r="I1279" s="78" t="s">
        <v>337</v>
      </c>
      <c r="J1279" s="78"/>
      <c r="K1279" s="79"/>
      <c r="L1279" s="80"/>
      <c r="M1279" s="81"/>
    </row>
    <row r="1280">
      <c r="A1280" s="75" t="s">
        <v>3435</v>
      </c>
      <c r="B1280" s="75" t="s">
        <v>319</v>
      </c>
      <c r="C1280" s="75" t="s">
        <v>321</v>
      </c>
      <c r="D1280" s="75">
        <v>2022.0</v>
      </c>
      <c r="E1280" s="75">
        <v>8.6036905416682E14</v>
      </c>
      <c r="F1280" s="76" t="s">
        <v>326</v>
      </c>
      <c r="G1280" s="68" t="s">
        <v>328</v>
      </c>
      <c r="H1280" s="69">
        <v>45658.0</v>
      </c>
      <c r="I1280" s="78" t="s">
        <v>337</v>
      </c>
      <c r="J1280" s="78"/>
      <c r="K1280" s="79"/>
      <c r="L1280" s="80"/>
      <c r="M1280" s="81"/>
    </row>
    <row r="1281">
      <c r="A1281" s="75" t="s">
        <v>3436</v>
      </c>
      <c r="B1281" s="75" t="s">
        <v>319</v>
      </c>
      <c r="C1281" s="75" t="s">
        <v>321</v>
      </c>
      <c r="D1281" s="75">
        <v>2022.0</v>
      </c>
      <c r="E1281" s="75">
        <v>8.60369052702865E14</v>
      </c>
      <c r="F1281" s="76" t="s">
        <v>326</v>
      </c>
      <c r="G1281" s="68" t="s">
        <v>328</v>
      </c>
      <c r="H1281" s="69">
        <v>45658.0</v>
      </c>
      <c r="I1281" s="78" t="s">
        <v>337</v>
      </c>
      <c r="J1281" s="78"/>
      <c r="K1281" s="79"/>
      <c r="L1281" s="80"/>
      <c r="M1281" s="81"/>
    </row>
    <row r="1282">
      <c r="A1282" s="75" t="s">
        <v>3437</v>
      </c>
      <c r="B1282" s="75" t="s">
        <v>319</v>
      </c>
      <c r="C1282" s="75" t="s">
        <v>321</v>
      </c>
      <c r="D1282" s="75">
        <v>2022.0</v>
      </c>
      <c r="E1282" s="75">
        <v>8.60369054153182E14</v>
      </c>
      <c r="F1282" s="76" t="s">
        <v>326</v>
      </c>
      <c r="G1282" s="68" t="s">
        <v>328</v>
      </c>
      <c r="H1282" s="69">
        <v>45658.0</v>
      </c>
      <c r="I1282" s="78" t="s">
        <v>337</v>
      </c>
      <c r="J1282" s="78"/>
      <c r="K1282" s="79"/>
      <c r="L1282" s="110" t="s">
        <v>3438</v>
      </c>
      <c r="M1282" s="81"/>
    </row>
    <row r="1283">
      <c r="A1283" s="75" t="s">
        <v>3439</v>
      </c>
      <c r="B1283" s="75" t="s">
        <v>319</v>
      </c>
      <c r="C1283" s="75" t="s">
        <v>321</v>
      </c>
      <c r="D1283" s="75">
        <v>2022.0</v>
      </c>
      <c r="E1283" s="75">
        <v>8.60369054155708E14</v>
      </c>
      <c r="F1283" s="76" t="s">
        <v>326</v>
      </c>
      <c r="G1283" s="68" t="s">
        <v>328</v>
      </c>
      <c r="H1283" s="69">
        <v>45658.0</v>
      </c>
      <c r="I1283" s="78" t="s">
        <v>337</v>
      </c>
      <c r="J1283" s="78"/>
      <c r="K1283" s="79"/>
      <c r="L1283" s="80"/>
      <c r="M1283" s="81"/>
    </row>
    <row r="1284">
      <c r="A1284" s="75" t="s">
        <v>3440</v>
      </c>
      <c r="B1284" s="75" t="s">
        <v>319</v>
      </c>
      <c r="C1284" s="75" t="s">
        <v>321</v>
      </c>
      <c r="D1284" s="75">
        <v>2022.0</v>
      </c>
      <c r="E1284" s="75">
        <v>8.60369052695226E14</v>
      </c>
      <c r="F1284" s="76" t="s">
        <v>326</v>
      </c>
      <c r="G1284" s="68" t="s">
        <v>328</v>
      </c>
      <c r="H1284" s="69">
        <v>45658.0</v>
      </c>
      <c r="I1284" s="78" t="s">
        <v>337</v>
      </c>
      <c r="J1284" s="78"/>
      <c r="K1284" s="79"/>
      <c r="L1284" s="80"/>
      <c r="M1284" s="81"/>
    </row>
    <row r="1285">
      <c r="A1285" s="75" t="s">
        <v>3441</v>
      </c>
      <c r="B1285" s="75" t="s">
        <v>319</v>
      </c>
      <c r="C1285" s="75" t="s">
        <v>321</v>
      </c>
      <c r="D1285" s="75">
        <v>2022.0</v>
      </c>
      <c r="E1285" s="75">
        <v>8.6036905416903E14</v>
      </c>
      <c r="F1285" s="76" t="s">
        <v>326</v>
      </c>
      <c r="G1285" s="68" t="s">
        <v>328</v>
      </c>
      <c r="H1285" s="69">
        <v>45658.0</v>
      </c>
      <c r="I1285" s="78" t="s">
        <v>337</v>
      </c>
      <c r="J1285" s="78"/>
      <c r="K1285" s="79"/>
      <c r="L1285" s="80"/>
      <c r="M1285" s="81"/>
    </row>
    <row r="1286">
      <c r="A1286" s="75" t="s">
        <v>3442</v>
      </c>
      <c r="B1286" s="75" t="s">
        <v>319</v>
      </c>
      <c r="C1286" s="75" t="s">
        <v>321</v>
      </c>
      <c r="D1286" s="75">
        <v>2022.0</v>
      </c>
      <c r="E1286" s="75">
        <v>8.60369054155781E14</v>
      </c>
      <c r="F1286" s="76" t="s">
        <v>326</v>
      </c>
      <c r="G1286" s="68" t="s">
        <v>328</v>
      </c>
      <c r="H1286" s="69">
        <v>45658.0</v>
      </c>
      <c r="I1286" s="78" t="s">
        <v>337</v>
      </c>
      <c r="J1286" s="78"/>
      <c r="K1286" s="79"/>
      <c r="L1286" s="80"/>
      <c r="M1286" s="81"/>
    </row>
    <row r="1287">
      <c r="A1287" s="75" t="s">
        <v>3443</v>
      </c>
      <c r="B1287" s="75" t="s">
        <v>319</v>
      </c>
      <c r="C1287" s="75" t="s">
        <v>321</v>
      </c>
      <c r="D1287" s="75">
        <v>2022.0</v>
      </c>
      <c r="E1287" s="75">
        <v>8.60369054187792E14</v>
      </c>
      <c r="F1287" s="76" t="s">
        <v>326</v>
      </c>
      <c r="G1287" s="68" t="s">
        <v>328</v>
      </c>
      <c r="H1287" s="69">
        <v>45658.0</v>
      </c>
      <c r="I1287" s="78" t="s">
        <v>337</v>
      </c>
      <c r="J1287" s="78"/>
      <c r="K1287" s="79"/>
      <c r="L1287" s="80"/>
      <c r="M1287" s="81"/>
    </row>
    <row r="1288">
      <c r="A1288" s="75" t="s">
        <v>3444</v>
      </c>
      <c r="B1288" s="75" t="s">
        <v>319</v>
      </c>
      <c r="C1288" s="75" t="s">
        <v>321</v>
      </c>
      <c r="D1288" s="75">
        <v>2022.0</v>
      </c>
      <c r="E1288" s="75">
        <v>8.60369054151889E14</v>
      </c>
      <c r="F1288" s="76" t="s">
        <v>326</v>
      </c>
      <c r="G1288" s="68" t="s">
        <v>328</v>
      </c>
      <c r="H1288" s="69">
        <v>45658.0</v>
      </c>
      <c r="I1288" s="78" t="s">
        <v>337</v>
      </c>
      <c r="J1288" s="78"/>
      <c r="K1288" s="79"/>
      <c r="L1288" s="80"/>
      <c r="M1288" s="81"/>
    </row>
    <row r="1289">
      <c r="A1289" s="75" t="s">
        <v>3445</v>
      </c>
      <c r="B1289" s="75" t="s">
        <v>319</v>
      </c>
      <c r="C1289" s="75" t="s">
        <v>321</v>
      </c>
      <c r="D1289" s="75">
        <v>2022.0</v>
      </c>
      <c r="E1289" s="75">
        <v>8.60369054155039E14</v>
      </c>
      <c r="F1289" s="76" t="s">
        <v>326</v>
      </c>
      <c r="G1289" s="68" t="s">
        <v>328</v>
      </c>
      <c r="H1289" s="69">
        <v>45658.0</v>
      </c>
      <c r="I1289" s="78" t="s">
        <v>337</v>
      </c>
      <c r="J1289" s="78"/>
      <c r="K1289" s="79"/>
      <c r="L1289" s="80"/>
      <c r="M1289" s="81"/>
    </row>
    <row r="1290">
      <c r="A1290" s="75" t="s">
        <v>3446</v>
      </c>
      <c r="B1290" s="75" t="s">
        <v>319</v>
      </c>
      <c r="C1290" s="75" t="s">
        <v>321</v>
      </c>
      <c r="D1290" s="75">
        <v>2022.0</v>
      </c>
      <c r="E1290" s="75">
        <v>8.6036905440856E14</v>
      </c>
      <c r="F1290" s="76" t="s">
        <v>326</v>
      </c>
      <c r="G1290" s="68" t="s">
        <v>328</v>
      </c>
      <c r="H1290" s="69">
        <v>45658.0</v>
      </c>
      <c r="I1290" s="78" t="s">
        <v>337</v>
      </c>
      <c r="J1290" s="78"/>
      <c r="K1290" s="79"/>
      <c r="L1290" s="80"/>
      <c r="M1290" s="81"/>
    </row>
    <row r="1291">
      <c r="A1291" s="75" t="s">
        <v>3447</v>
      </c>
      <c r="B1291" s="75" t="s">
        <v>319</v>
      </c>
      <c r="C1291" s="75" t="s">
        <v>321</v>
      </c>
      <c r="D1291" s="75">
        <v>2022.0</v>
      </c>
      <c r="E1291" s="75">
        <v>8.60369054165665E14</v>
      </c>
      <c r="F1291" s="76" t="s">
        <v>326</v>
      </c>
      <c r="G1291" s="68" t="s">
        <v>328</v>
      </c>
      <c r="H1291" s="69">
        <v>45658.0</v>
      </c>
      <c r="I1291" s="78" t="s">
        <v>337</v>
      </c>
      <c r="J1291" s="78"/>
      <c r="K1291" s="79"/>
      <c r="L1291" s="80"/>
      <c r="M1291" s="81"/>
    </row>
    <row r="1292">
      <c r="A1292" s="75" t="s">
        <v>3448</v>
      </c>
      <c r="B1292" s="75" t="s">
        <v>319</v>
      </c>
      <c r="C1292" s="75" t="s">
        <v>321</v>
      </c>
      <c r="D1292" s="75">
        <v>2022.0</v>
      </c>
      <c r="E1292" s="75">
        <v>8.60369052707229E14</v>
      </c>
      <c r="F1292" s="76" t="s">
        <v>326</v>
      </c>
      <c r="G1292" s="68" t="s">
        <v>328</v>
      </c>
      <c r="H1292" s="69">
        <v>45658.0</v>
      </c>
      <c r="I1292" s="78" t="s">
        <v>337</v>
      </c>
      <c r="J1292" s="78"/>
      <c r="K1292" s="79"/>
      <c r="L1292" s="80"/>
      <c r="M1292" s="81"/>
    </row>
    <row r="1293">
      <c r="A1293" s="75" t="s">
        <v>3449</v>
      </c>
      <c r="B1293" s="75" t="s">
        <v>319</v>
      </c>
      <c r="C1293" s="75" t="s">
        <v>321</v>
      </c>
      <c r="D1293" s="75">
        <v>2022.0</v>
      </c>
      <c r="E1293" s="75">
        <v>8.60369054740988E14</v>
      </c>
      <c r="F1293" s="76" t="s">
        <v>326</v>
      </c>
      <c r="G1293" s="68" t="s">
        <v>328</v>
      </c>
      <c r="H1293" s="69">
        <v>45658.0</v>
      </c>
      <c r="I1293" s="78" t="s">
        <v>337</v>
      </c>
      <c r="J1293" s="78"/>
      <c r="K1293" s="79"/>
      <c r="L1293" s="80"/>
      <c r="M1293" s="81"/>
    </row>
    <row r="1294">
      <c r="A1294" s="75" t="s">
        <v>3450</v>
      </c>
      <c r="B1294" s="75" t="s">
        <v>319</v>
      </c>
      <c r="C1294" s="75" t="s">
        <v>321</v>
      </c>
      <c r="D1294" s="75">
        <v>2022.0</v>
      </c>
      <c r="E1294" s="75">
        <v>8.60369054191513E14</v>
      </c>
      <c r="F1294" s="76" t="s">
        <v>326</v>
      </c>
      <c r="G1294" s="68" t="s">
        <v>328</v>
      </c>
      <c r="H1294" s="69">
        <v>45658.0</v>
      </c>
      <c r="I1294" s="78" t="s">
        <v>337</v>
      </c>
      <c r="J1294" s="78"/>
      <c r="K1294" s="79"/>
      <c r="L1294" s="80"/>
      <c r="M1294" s="81"/>
    </row>
    <row r="1295">
      <c r="A1295" s="75" t="s">
        <v>3451</v>
      </c>
      <c r="B1295" s="75" t="s">
        <v>319</v>
      </c>
      <c r="C1295" s="75" t="s">
        <v>321</v>
      </c>
      <c r="D1295" s="75">
        <v>2022.0</v>
      </c>
      <c r="E1295" s="75">
        <v>8.60369054165269E14</v>
      </c>
      <c r="F1295" s="76" t="s">
        <v>326</v>
      </c>
      <c r="G1295" s="68" t="s">
        <v>328</v>
      </c>
      <c r="H1295" s="69">
        <v>45658.0</v>
      </c>
      <c r="I1295" s="78" t="s">
        <v>1240</v>
      </c>
      <c r="J1295" s="78"/>
      <c r="K1295" s="79"/>
      <c r="L1295" s="80"/>
      <c r="M1295" s="81"/>
    </row>
    <row r="1296">
      <c r="A1296" s="75" t="s">
        <v>3452</v>
      </c>
      <c r="B1296" s="75" t="s">
        <v>319</v>
      </c>
      <c r="C1296" s="75" t="s">
        <v>321</v>
      </c>
      <c r="D1296" s="75">
        <v>2022.0</v>
      </c>
      <c r="E1296" s="75">
        <v>8.60369054192263E14</v>
      </c>
      <c r="F1296" s="76" t="s">
        <v>326</v>
      </c>
      <c r="G1296" s="68" t="s">
        <v>328</v>
      </c>
      <c r="H1296" s="69">
        <v>45658.0</v>
      </c>
      <c r="I1296" s="78" t="s">
        <v>337</v>
      </c>
      <c r="J1296" s="78"/>
      <c r="K1296" s="79"/>
      <c r="L1296" s="80"/>
      <c r="M1296" s="81"/>
    </row>
    <row r="1297">
      <c r="A1297" s="75" t="s">
        <v>3453</v>
      </c>
      <c r="B1297" s="75" t="s">
        <v>389</v>
      </c>
      <c r="C1297" s="75" t="s">
        <v>1292</v>
      </c>
      <c r="D1297" s="75">
        <v>2022.0</v>
      </c>
      <c r="E1297" s="75">
        <v>8.60369052408851E14</v>
      </c>
      <c r="F1297" s="76" t="s">
        <v>326</v>
      </c>
      <c r="G1297" s="68" t="s">
        <v>328</v>
      </c>
      <c r="H1297" s="69">
        <v>45658.0</v>
      </c>
      <c r="I1297" s="78" t="s">
        <v>337</v>
      </c>
      <c r="J1297" s="78"/>
      <c r="K1297" s="79"/>
      <c r="L1297" s="80"/>
      <c r="M1297" s="81"/>
    </row>
    <row r="1298">
      <c r="A1298" s="75" t="s">
        <v>3454</v>
      </c>
      <c r="B1298" s="75" t="s">
        <v>389</v>
      </c>
      <c r="C1298" s="75" t="s">
        <v>1292</v>
      </c>
      <c r="D1298" s="75">
        <v>2022.0</v>
      </c>
      <c r="E1298" s="75">
        <v>8.60369052457841E14</v>
      </c>
      <c r="F1298" s="76" t="s">
        <v>326</v>
      </c>
      <c r="G1298" s="68" t="s">
        <v>328</v>
      </c>
      <c r="H1298" s="69">
        <v>45658.0</v>
      </c>
      <c r="I1298" s="78" t="s">
        <v>337</v>
      </c>
      <c r="J1298" s="78"/>
      <c r="K1298" s="79"/>
      <c r="L1298" s="80"/>
      <c r="M1298" s="81"/>
    </row>
    <row r="1299">
      <c r="A1299" s="75" t="s">
        <v>3455</v>
      </c>
      <c r="B1299" s="75" t="s">
        <v>389</v>
      </c>
      <c r="C1299" s="75" t="s">
        <v>1292</v>
      </c>
      <c r="D1299" s="75">
        <v>2022.0</v>
      </c>
      <c r="E1299" s="75">
        <v>8.6036905415296E14</v>
      </c>
      <c r="F1299" s="76" t="s">
        <v>326</v>
      </c>
      <c r="G1299" s="68" t="s">
        <v>328</v>
      </c>
      <c r="H1299" s="69">
        <v>45658.0</v>
      </c>
      <c r="I1299" s="78" t="s">
        <v>337</v>
      </c>
      <c r="J1299" s="78"/>
      <c r="K1299" s="79"/>
      <c r="L1299" s="80"/>
      <c r="M1299" s="81"/>
    </row>
    <row r="1300">
      <c r="A1300" s="75" t="s">
        <v>3456</v>
      </c>
      <c r="B1300" s="75" t="s">
        <v>319</v>
      </c>
      <c r="C1300" s="75" t="s">
        <v>321</v>
      </c>
      <c r="D1300" s="75">
        <v>2022.0</v>
      </c>
      <c r="E1300" s="75">
        <v>8.60369054197825E14</v>
      </c>
      <c r="F1300" s="76" t="s">
        <v>326</v>
      </c>
      <c r="G1300" s="68" t="s">
        <v>328</v>
      </c>
      <c r="H1300" s="69">
        <v>45658.0</v>
      </c>
      <c r="I1300" s="78" t="s">
        <v>337</v>
      </c>
      <c r="J1300" s="78"/>
      <c r="K1300" s="79"/>
      <c r="L1300" s="80"/>
      <c r="M1300" s="81"/>
    </row>
    <row r="1301">
      <c r="A1301" s="75" t="s">
        <v>3457</v>
      </c>
      <c r="B1301" s="75" t="s">
        <v>319</v>
      </c>
      <c r="C1301" s="75" t="s">
        <v>321</v>
      </c>
      <c r="D1301" s="75">
        <v>2022.0</v>
      </c>
      <c r="E1301" s="75">
        <v>8.60369054416225E14</v>
      </c>
      <c r="F1301" s="76" t="s">
        <v>326</v>
      </c>
      <c r="G1301" s="68" t="s">
        <v>328</v>
      </c>
      <c r="H1301" s="69">
        <v>45658.0</v>
      </c>
      <c r="I1301" s="78" t="s">
        <v>337</v>
      </c>
      <c r="J1301" s="78"/>
      <c r="K1301" s="79"/>
      <c r="L1301" s="80"/>
      <c r="M1301" s="81"/>
    </row>
    <row r="1302">
      <c r="A1302" s="75" t="s">
        <v>3458</v>
      </c>
      <c r="B1302" s="75" t="s">
        <v>319</v>
      </c>
      <c r="C1302" s="75" t="s">
        <v>321</v>
      </c>
      <c r="D1302" s="75">
        <v>2021.0</v>
      </c>
      <c r="E1302" s="75">
        <v>8.60369052440011E14</v>
      </c>
      <c r="F1302" s="76" t="s">
        <v>326</v>
      </c>
      <c r="G1302" s="68" t="s">
        <v>328</v>
      </c>
      <c r="H1302" s="69">
        <v>45658.0</v>
      </c>
      <c r="I1302" s="78" t="s">
        <v>337</v>
      </c>
      <c r="J1302" s="78"/>
      <c r="K1302" s="79"/>
      <c r="L1302" s="80"/>
      <c r="M1302" s="81"/>
    </row>
    <row r="1303">
      <c r="A1303" s="75" t="s">
        <v>3459</v>
      </c>
      <c r="B1303" s="75" t="s">
        <v>319</v>
      </c>
      <c r="C1303" s="75" t="s">
        <v>321</v>
      </c>
      <c r="D1303" s="75">
        <v>2021.0</v>
      </c>
      <c r="E1303" s="75">
        <v>8.60369052707286E14</v>
      </c>
      <c r="F1303" s="76" t="s">
        <v>326</v>
      </c>
      <c r="G1303" s="68" t="s">
        <v>328</v>
      </c>
      <c r="H1303" s="69">
        <v>45658.0</v>
      </c>
      <c r="I1303" s="78" t="s">
        <v>337</v>
      </c>
      <c r="J1303" s="78"/>
      <c r="K1303" s="79"/>
      <c r="L1303" s="110" t="s">
        <v>2804</v>
      </c>
      <c r="M1303" s="81"/>
    </row>
    <row r="1304">
      <c r="A1304" s="75" t="s">
        <v>3460</v>
      </c>
      <c r="B1304" s="75" t="s">
        <v>319</v>
      </c>
      <c r="C1304" s="75" t="s">
        <v>321</v>
      </c>
      <c r="D1304" s="75">
        <v>2021.0</v>
      </c>
      <c r="E1304" s="75">
        <v>8.60369054177348E14</v>
      </c>
      <c r="F1304" s="76" t="s">
        <v>326</v>
      </c>
      <c r="G1304" s="68" t="s">
        <v>328</v>
      </c>
      <c r="H1304" s="69">
        <v>45658.0</v>
      </c>
      <c r="I1304" s="78" t="s">
        <v>337</v>
      </c>
      <c r="J1304" s="78"/>
      <c r="K1304" s="79"/>
      <c r="L1304" s="80"/>
      <c r="M1304" s="81"/>
    </row>
    <row r="1305">
      <c r="A1305" s="75" t="s">
        <v>3461</v>
      </c>
      <c r="B1305" s="75" t="s">
        <v>319</v>
      </c>
      <c r="C1305" s="75" t="s">
        <v>321</v>
      </c>
      <c r="D1305" s="75">
        <v>2022.0</v>
      </c>
      <c r="E1305" s="75">
        <v>8.60369052433545E14</v>
      </c>
      <c r="F1305" s="76" t="s">
        <v>326</v>
      </c>
      <c r="G1305" s="68" t="s">
        <v>328</v>
      </c>
      <c r="H1305" s="69">
        <v>45658.0</v>
      </c>
      <c r="I1305" s="78" t="s">
        <v>337</v>
      </c>
      <c r="J1305" s="78"/>
      <c r="K1305" s="79"/>
      <c r="L1305" s="80"/>
      <c r="M1305" s="81"/>
    </row>
    <row r="1306">
      <c r="A1306" s="75" t="s">
        <v>3462</v>
      </c>
      <c r="B1306" s="75" t="s">
        <v>319</v>
      </c>
      <c r="C1306" s="75" t="s">
        <v>351</v>
      </c>
      <c r="D1306" s="75">
        <v>2022.0</v>
      </c>
      <c r="E1306" s="75">
        <v>8.6036905241512E14</v>
      </c>
      <c r="F1306" s="76" t="s">
        <v>326</v>
      </c>
      <c r="G1306" s="68" t="s">
        <v>328</v>
      </c>
      <c r="H1306" s="69">
        <v>45658.0</v>
      </c>
      <c r="I1306" s="78" t="s">
        <v>337</v>
      </c>
      <c r="J1306" s="78"/>
      <c r="K1306" s="79"/>
      <c r="L1306" s="80"/>
      <c r="M1306" s="81"/>
    </row>
    <row r="1307">
      <c r="A1307" s="75" t="s">
        <v>3463</v>
      </c>
      <c r="B1307" s="75" t="s">
        <v>319</v>
      </c>
      <c r="C1307" s="75" t="s">
        <v>351</v>
      </c>
      <c r="D1307" s="75">
        <v>2022.0</v>
      </c>
      <c r="E1307" s="75">
        <v>8.60369054169469E14</v>
      </c>
      <c r="F1307" s="76" t="s">
        <v>326</v>
      </c>
      <c r="G1307" s="68" t="s">
        <v>328</v>
      </c>
      <c r="H1307" s="69">
        <v>45658.0</v>
      </c>
      <c r="I1307" s="78" t="s">
        <v>337</v>
      </c>
      <c r="J1307" s="78"/>
      <c r="K1307" s="79"/>
      <c r="L1307" s="80"/>
      <c r="M1307" s="81"/>
    </row>
    <row r="1308">
      <c r="A1308" s="75" t="s">
        <v>3464</v>
      </c>
      <c r="B1308" s="75" t="s">
        <v>319</v>
      </c>
      <c r="C1308" s="75" t="s">
        <v>351</v>
      </c>
      <c r="D1308" s="75">
        <v>2022.0</v>
      </c>
      <c r="E1308" s="75">
        <v>8.60369052703848E14</v>
      </c>
      <c r="F1308" s="76" t="s">
        <v>326</v>
      </c>
      <c r="G1308" s="68" t="s">
        <v>328</v>
      </c>
      <c r="H1308" s="69">
        <v>45658.0</v>
      </c>
      <c r="I1308" s="78" t="s">
        <v>337</v>
      </c>
      <c r="J1308" s="78"/>
      <c r="K1308" s="79"/>
      <c r="L1308" s="80"/>
      <c r="M1308" s="81"/>
    </row>
    <row r="1309">
      <c r="A1309" s="75" t="s">
        <v>3465</v>
      </c>
      <c r="B1309" s="75" t="s">
        <v>319</v>
      </c>
      <c r="C1309" s="75" t="s">
        <v>351</v>
      </c>
      <c r="D1309" s="75">
        <v>2022.0</v>
      </c>
      <c r="E1309" s="75">
        <v>8.60369052170865E14</v>
      </c>
      <c r="F1309" s="76" t="s">
        <v>398</v>
      </c>
      <c r="G1309" s="68" t="s">
        <v>328</v>
      </c>
      <c r="H1309" s="69">
        <v>45658.0</v>
      </c>
      <c r="I1309" s="78" t="s">
        <v>337</v>
      </c>
      <c r="J1309" s="78"/>
      <c r="K1309" s="79"/>
      <c r="L1309" s="80"/>
      <c r="M1309" s="81"/>
    </row>
    <row r="1310">
      <c r="A1310" s="75" t="s">
        <v>3466</v>
      </c>
      <c r="B1310" s="75" t="s">
        <v>319</v>
      </c>
      <c r="C1310" s="75" t="s">
        <v>351</v>
      </c>
      <c r="D1310" s="75">
        <v>2022.0</v>
      </c>
      <c r="E1310" s="75">
        <v>8.60369052705397E14</v>
      </c>
      <c r="F1310" s="76" t="s">
        <v>326</v>
      </c>
      <c r="G1310" s="68" t="s">
        <v>328</v>
      </c>
      <c r="H1310" s="69">
        <v>45658.0</v>
      </c>
      <c r="I1310" s="78" t="s">
        <v>337</v>
      </c>
      <c r="J1310" s="78"/>
      <c r="K1310" s="79"/>
      <c r="L1310" s="80"/>
      <c r="M1310" s="81"/>
    </row>
    <row r="1311">
      <c r="A1311" s="75" t="s">
        <v>3467</v>
      </c>
      <c r="B1311" s="75" t="s">
        <v>319</v>
      </c>
      <c r="C1311" s="75" t="s">
        <v>321</v>
      </c>
      <c r="D1311" s="75">
        <v>2022.0</v>
      </c>
      <c r="E1311" s="75">
        <v>8.60369054196058E14</v>
      </c>
      <c r="F1311" s="76" t="s">
        <v>326</v>
      </c>
      <c r="G1311" s="68" t="s">
        <v>328</v>
      </c>
      <c r="H1311" s="69">
        <v>45658.0</v>
      </c>
      <c r="I1311" s="78" t="s">
        <v>337</v>
      </c>
      <c r="J1311" s="78"/>
      <c r="K1311" s="79"/>
      <c r="L1311" s="80"/>
      <c r="M1311" s="81"/>
    </row>
    <row r="1312">
      <c r="A1312" s="75" t="s">
        <v>3468</v>
      </c>
      <c r="B1312" s="75" t="s">
        <v>319</v>
      </c>
      <c r="C1312" s="75" t="s">
        <v>321</v>
      </c>
      <c r="D1312" s="75">
        <v>2022.0</v>
      </c>
      <c r="E1312" s="75">
        <v>8.60369054165897E14</v>
      </c>
      <c r="F1312" s="76" t="s">
        <v>326</v>
      </c>
      <c r="G1312" s="68" t="s">
        <v>328</v>
      </c>
      <c r="H1312" s="69">
        <v>45658.0</v>
      </c>
      <c r="I1312" s="78" t="s">
        <v>337</v>
      </c>
      <c r="J1312" s="78"/>
      <c r="K1312" s="79"/>
      <c r="L1312" s="80"/>
      <c r="M1312" s="81"/>
    </row>
    <row r="1313">
      <c r="A1313" s="75" t="s">
        <v>3469</v>
      </c>
      <c r="B1313" s="75" t="s">
        <v>319</v>
      </c>
      <c r="C1313" s="75" t="s">
        <v>321</v>
      </c>
      <c r="D1313" s="75">
        <v>2022.0</v>
      </c>
      <c r="E1313" s="75">
        <v>8.60369054155211E14</v>
      </c>
      <c r="F1313" s="76" t="s">
        <v>326</v>
      </c>
      <c r="G1313" s="68" t="s">
        <v>328</v>
      </c>
      <c r="H1313" s="69">
        <v>45658.0</v>
      </c>
      <c r="I1313" s="78" t="s">
        <v>337</v>
      </c>
      <c r="J1313" s="78"/>
      <c r="K1313" s="79"/>
      <c r="L1313" s="80"/>
      <c r="M1313" s="81"/>
    </row>
    <row r="1314">
      <c r="A1314" s="75" t="s">
        <v>3470</v>
      </c>
      <c r="B1314" s="75" t="s">
        <v>319</v>
      </c>
      <c r="C1314" s="75" t="s">
        <v>321</v>
      </c>
      <c r="D1314" s="75">
        <v>2022.0</v>
      </c>
      <c r="E1314" s="75">
        <v>8.60369052461215E14</v>
      </c>
      <c r="F1314" s="76" t="s">
        <v>326</v>
      </c>
      <c r="G1314" s="68" t="s">
        <v>328</v>
      </c>
      <c r="H1314" s="69">
        <v>45658.0</v>
      </c>
      <c r="I1314" s="78" t="s">
        <v>337</v>
      </c>
      <c r="J1314" s="78"/>
      <c r="K1314" s="79"/>
      <c r="L1314" s="80"/>
      <c r="M1314" s="81"/>
    </row>
    <row r="1315">
      <c r="A1315" s="75" t="s">
        <v>3471</v>
      </c>
      <c r="B1315" s="75" t="s">
        <v>319</v>
      </c>
      <c r="C1315" s="75" t="s">
        <v>321</v>
      </c>
      <c r="D1315" s="75">
        <v>2022.0</v>
      </c>
      <c r="E1315" s="75">
        <v>8.60369052410923E14</v>
      </c>
      <c r="F1315" s="76" t="s">
        <v>326</v>
      </c>
      <c r="G1315" s="68" t="s">
        <v>328</v>
      </c>
      <c r="H1315" s="69">
        <v>45658.0</v>
      </c>
      <c r="I1315" s="78" t="s">
        <v>337</v>
      </c>
      <c r="J1315" s="78"/>
      <c r="K1315" s="79"/>
      <c r="L1315" s="80"/>
      <c r="M1315" s="81"/>
    </row>
    <row r="1316">
      <c r="A1316" s="75" t="s">
        <v>3472</v>
      </c>
      <c r="B1316" s="75" t="s">
        <v>319</v>
      </c>
      <c r="C1316" s="75" t="s">
        <v>351</v>
      </c>
      <c r="D1316" s="75">
        <v>2022.0</v>
      </c>
      <c r="E1316" s="75">
        <v>8.60369054165624E14</v>
      </c>
      <c r="F1316" s="76" t="s">
        <v>326</v>
      </c>
      <c r="G1316" s="68" t="s">
        <v>328</v>
      </c>
      <c r="H1316" s="69">
        <v>45658.0</v>
      </c>
      <c r="I1316" s="78" t="s">
        <v>337</v>
      </c>
      <c r="J1316" s="78"/>
      <c r="K1316" s="79"/>
      <c r="L1316" s="80"/>
      <c r="M1316" s="81"/>
    </row>
    <row r="1317">
      <c r="A1317" s="75" t="s">
        <v>3473</v>
      </c>
      <c r="B1317" s="75" t="s">
        <v>319</v>
      </c>
      <c r="C1317" s="75" t="s">
        <v>321</v>
      </c>
      <c r="D1317" s="75">
        <v>2022.0</v>
      </c>
      <c r="E1317" s="75">
        <v>8.60369053334593E14</v>
      </c>
      <c r="F1317" s="76" t="s">
        <v>326</v>
      </c>
      <c r="G1317" s="68" t="s">
        <v>328</v>
      </c>
      <c r="H1317" s="69">
        <v>45658.0</v>
      </c>
      <c r="I1317" s="78" t="s">
        <v>337</v>
      </c>
      <c r="J1317" s="78"/>
      <c r="K1317" s="79"/>
      <c r="L1317" s="80"/>
      <c r="M1317" s="81"/>
    </row>
    <row r="1318">
      <c r="A1318" s="75" t="s">
        <v>3474</v>
      </c>
      <c r="B1318" s="75" t="s">
        <v>319</v>
      </c>
      <c r="C1318" s="75" t="s">
        <v>351</v>
      </c>
      <c r="D1318" s="75">
        <v>2022.0</v>
      </c>
      <c r="E1318" s="75">
        <v>8.60369054179104E14</v>
      </c>
      <c r="F1318" s="76" t="s">
        <v>326</v>
      </c>
      <c r="G1318" s="68" t="s">
        <v>328</v>
      </c>
      <c r="H1318" s="69">
        <v>45658.0</v>
      </c>
      <c r="I1318" s="78" t="s">
        <v>337</v>
      </c>
      <c r="J1318" s="78"/>
      <c r="K1318" s="79"/>
      <c r="L1318" s="80"/>
      <c r="M1318" s="81"/>
    </row>
    <row r="1319">
      <c r="A1319" s="75" t="s">
        <v>3475</v>
      </c>
      <c r="B1319" s="75" t="s">
        <v>319</v>
      </c>
      <c r="C1319" s="75" t="s">
        <v>351</v>
      </c>
      <c r="D1319" s="75">
        <v>2022.0</v>
      </c>
      <c r="E1319" s="75">
        <v>8.60369054177405E14</v>
      </c>
      <c r="F1319" s="76" t="s">
        <v>326</v>
      </c>
      <c r="G1319" s="68" t="s">
        <v>328</v>
      </c>
      <c r="H1319" s="69">
        <v>45658.0</v>
      </c>
      <c r="I1319" s="78" t="s">
        <v>337</v>
      </c>
      <c r="J1319" s="78"/>
      <c r="K1319" s="79"/>
      <c r="L1319" s="80"/>
      <c r="M1319" s="81"/>
    </row>
    <row r="1320">
      <c r="A1320" s="75" t="s">
        <v>3476</v>
      </c>
      <c r="B1320" s="75" t="s">
        <v>319</v>
      </c>
      <c r="C1320" s="75" t="s">
        <v>351</v>
      </c>
      <c r="D1320" s="75">
        <v>2022.0</v>
      </c>
      <c r="E1320" s="75">
        <v>8.60369053334916E14</v>
      </c>
      <c r="F1320" s="76" t="s">
        <v>326</v>
      </c>
      <c r="G1320" s="68" t="s">
        <v>328</v>
      </c>
      <c r="H1320" s="69">
        <v>45658.0</v>
      </c>
      <c r="I1320" s="78" t="s">
        <v>337</v>
      </c>
      <c r="J1320" s="78"/>
      <c r="K1320" s="79"/>
      <c r="L1320" s="80"/>
      <c r="M1320" s="81"/>
    </row>
    <row r="1321">
      <c r="A1321" s="75" t="s">
        <v>3477</v>
      </c>
      <c r="B1321" s="75" t="s">
        <v>319</v>
      </c>
      <c r="C1321" s="75" t="s">
        <v>723</v>
      </c>
      <c r="D1321" s="75">
        <v>2022.0</v>
      </c>
      <c r="E1321" s="75">
        <v>8.60369052707526E14</v>
      </c>
      <c r="F1321" s="76" t="s">
        <v>326</v>
      </c>
      <c r="G1321" s="68" t="s">
        <v>328</v>
      </c>
      <c r="H1321" s="69">
        <v>45658.0</v>
      </c>
      <c r="I1321" s="78" t="s">
        <v>337</v>
      </c>
      <c r="J1321" s="78"/>
      <c r="K1321" s="79"/>
      <c r="L1321" s="80"/>
      <c r="M1321" s="81"/>
    </row>
    <row r="1322">
      <c r="A1322" s="75" t="s">
        <v>3478</v>
      </c>
      <c r="B1322" s="75" t="s">
        <v>319</v>
      </c>
      <c r="C1322" s="75" t="s">
        <v>723</v>
      </c>
      <c r="D1322" s="75">
        <v>2022.0</v>
      </c>
      <c r="E1322" s="75">
        <v>8.60369052445747E14</v>
      </c>
      <c r="F1322" s="76" t="s">
        <v>326</v>
      </c>
      <c r="G1322" s="68" t="s">
        <v>328</v>
      </c>
      <c r="H1322" s="69">
        <v>45658.0</v>
      </c>
      <c r="I1322" s="78" t="s">
        <v>337</v>
      </c>
      <c r="J1322" s="78"/>
      <c r="K1322" s="79"/>
      <c r="L1322" s="80"/>
      <c r="M1322" s="81"/>
    </row>
    <row r="1323">
      <c r="A1323" s="75" t="s">
        <v>3479</v>
      </c>
      <c r="B1323" s="75" t="s">
        <v>319</v>
      </c>
      <c r="C1323" s="75" t="s">
        <v>321</v>
      </c>
      <c r="D1323" s="75">
        <v>2022.0</v>
      </c>
      <c r="E1323" s="75">
        <v>8.60369052703871E14</v>
      </c>
      <c r="F1323" s="76" t="s">
        <v>326</v>
      </c>
      <c r="G1323" s="68" t="s">
        <v>328</v>
      </c>
      <c r="H1323" s="69">
        <v>45658.0</v>
      </c>
      <c r="I1323" s="78" t="s">
        <v>337</v>
      </c>
      <c r="J1323" s="78"/>
      <c r="K1323" s="79"/>
      <c r="L1323" s="80"/>
      <c r="M1323" s="81"/>
    </row>
    <row r="1324">
      <c r="A1324" s="75" t="s">
        <v>3480</v>
      </c>
      <c r="B1324" s="75" t="s">
        <v>319</v>
      </c>
      <c r="C1324" s="75" t="s">
        <v>321</v>
      </c>
      <c r="D1324" s="75">
        <v>2022.0</v>
      </c>
      <c r="E1324" s="75">
        <v>8.60369054162951E14</v>
      </c>
      <c r="F1324" s="76" t="s">
        <v>326</v>
      </c>
      <c r="G1324" s="68" t="s">
        <v>328</v>
      </c>
      <c r="H1324" s="69">
        <v>45658.0</v>
      </c>
      <c r="I1324" s="78" t="s">
        <v>337</v>
      </c>
      <c r="J1324" s="78"/>
      <c r="K1324" s="79"/>
      <c r="L1324" s="80"/>
      <c r="M1324" s="81"/>
    </row>
    <row r="1325">
      <c r="A1325" s="75" t="s">
        <v>3481</v>
      </c>
      <c r="B1325" s="75" t="s">
        <v>319</v>
      </c>
      <c r="C1325" s="75" t="s">
        <v>723</v>
      </c>
      <c r="D1325" s="75">
        <v>2022.0</v>
      </c>
      <c r="E1325" s="75">
        <v>8.60369054168925E14</v>
      </c>
      <c r="F1325" s="76" t="s">
        <v>326</v>
      </c>
      <c r="G1325" s="68" t="s">
        <v>328</v>
      </c>
      <c r="H1325" s="69">
        <v>45658.0</v>
      </c>
      <c r="I1325" s="78" t="s">
        <v>337</v>
      </c>
      <c r="J1325" s="78"/>
      <c r="K1325" s="79"/>
      <c r="L1325" s="80"/>
      <c r="M1325" s="81"/>
    </row>
    <row r="1326">
      <c r="A1326" s="75" t="s">
        <v>3482</v>
      </c>
      <c r="B1326" s="75" t="s">
        <v>319</v>
      </c>
      <c r="C1326" s="75" t="s">
        <v>723</v>
      </c>
      <c r="D1326" s="75">
        <v>2022.0</v>
      </c>
      <c r="E1326" s="75">
        <v>8.6036905411585E14</v>
      </c>
      <c r="F1326" s="76" t="s">
        <v>326</v>
      </c>
      <c r="G1326" s="68" t="s">
        <v>328</v>
      </c>
      <c r="H1326" s="69">
        <v>45658.0</v>
      </c>
      <c r="I1326" s="78" t="s">
        <v>337</v>
      </c>
      <c r="J1326" s="78"/>
      <c r="K1326" s="79"/>
      <c r="L1326" s="80"/>
      <c r="M1326" s="81"/>
    </row>
    <row r="1327">
      <c r="A1327" s="75" t="s">
        <v>3483</v>
      </c>
      <c r="B1327" s="75" t="s">
        <v>319</v>
      </c>
      <c r="C1327" s="75" t="s">
        <v>723</v>
      </c>
      <c r="D1327" s="75">
        <v>2022.0</v>
      </c>
      <c r="E1327" s="75">
        <v>8.6036905416516E14</v>
      </c>
      <c r="F1327" s="76" t="s">
        <v>326</v>
      </c>
      <c r="G1327" s="68" t="s">
        <v>328</v>
      </c>
      <c r="H1327" s="69">
        <v>45658.0</v>
      </c>
      <c r="I1327" s="78" t="s">
        <v>337</v>
      </c>
      <c r="J1327" s="78"/>
      <c r="K1327" s="79"/>
      <c r="L1327" s="80"/>
      <c r="M1327" s="81"/>
    </row>
    <row r="1328">
      <c r="A1328" s="75" t="s">
        <v>3484</v>
      </c>
      <c r="B1328" s="75" t="s">
        <v>319</v>
      </c>
      <c r="C1328" s="75" t="s">
        <v>723</v>
      </c>
      <c r="D1328" s="75">
        <v>2022.0</v>
      </c>
      <c r="E1328" s="75">
        <v>8.60369054188006E14</v>
      </c>
      <c r="F1328" s="76" t="s">
        <v>326</v>
      </c>
      <c r="G1328" s="68" t="s">
        <v>328</v>
      </c>
      <c r="H1328" s="69">
        <v>45658.0</v>
      </c>
      <c r="I1328" s="78" t="s">
        <v>337</v>
      </c>
      <c r="J1328" s="78"/>
      <c r="K1328" s="79"/>
      <c r="L1328" s="80"/>
      <c r="M1328" s="81"/>
    </row>
    <row r="1329">
      <c r="A1329" s="75" t="s">
        <v>3485</v>
      </c>
      <c r="B1329" s="75" t="s">
        <v>319</v>
      </c>
      <c r="C1329" s="75" t="s">
        <v>723</v>
      </c>
      <c r="D1329" s="75">
        <v>2022.0</v>
      </c>
      <c r="E1329" s="75">
        <v>8.60369054412877E14</v>
      </c>
      <c r="F1329" s="76" t="s">
        <v>326</v>
      </c>
      <c r="G1329" s="68" t="s">
        <v>328</v>
      </c>
      <c r="H1329" s="69">
        <v>45658.0</v>
      </c>
      <c r="I1329" s="78" t="s">
        <v>337</v>
      </c>
      <c r="J1329" s="78"/>
      <c r="K1329" s="79"/>
      <c r="L1329" s="80"/>
      <c r="M1329" s="81"/>
    </row>
    <row r="1330">
      <c r="A1330" s="75" t="s">
        <v>3486</v>
      </c>
      <c r="B1330" s="75" t="s">
        <v>319</v>
      </c>
      <c r="C1330" s="75" t="s">
        <v>723</v>
      </c>
      <c r="D1330" s="75">
        <v>2022.0</v>
      </c>
      <c r="E1330" s="75">
        <v>8.60369054174915E14</v>
      </c>
      <c r="F1330" s="76" t="s">
        <v>326</v>
      </c>
      <c r="G1330" s="68" t="s">
        <v>328</v>
      </c>
      <c r="H1330" s="69">
        <v>45658.0</v>
      </c>
      <c r="I1330" s="78" t="s">
        <v>337</v>
      </c>
      <c r="J1330" s="78"/>
      <c r="K1330" s="79"/>
      <c r="L1330" s="80"/>
      <c r="M1330" s="81"/>
    </row>
    <row r="1331">
      <c r="A1331" s="75" t="s">
        <v>3487</v>
      </c>
      <c r="B1331" s="75" t="s">
        <v>319</v>
      </c>
      <c r="C1331" s="75" t="s">
        <v>321</v>
      </c>
      <c r="D1331" s="75">
        <v>2021.0</v>
      </c>
      <c r="E1331" s="75">
        <v>8.60369052449608E14</v>
      </c>
      <c r="F1331" s="76" t="s">
        <v>326</v>
      </c>
      <c r="G1331" s="68" t="s">
        <v>328</v>
      </c>
      <c r="H1331" s="69">
        <v>45658.0</v>
      </c>
      <c r="I1331" s="78" t="s">
        <v>337</v>
      </c>
      <c r="J1331" s="78"/>
      <c r="K1331" s="79"/>
      <c r="L1331" s="80"/>
      <c r="M1331" s="81"/>
    </row>
    <row r="1332">
      <c r="A1332" s="75" t="s">
        <v>3488</v>
      </c>
      <c r="B1332" s="75" t="s">
        <v>319</v>
      </c>
      <c r="C1332" s="75" t="s">
        <v>321</v>
      </c>
      <c r="D1332" s="75">
        <v>2021.0</v>
      </c>
      <c r="E1332" s="75">
        <v>8.60369052435896E14</v>
      </c>
      <c r="F1332" s="76" t="s">
        <v>326</v>
      </c>
      <c r="G1332" s="68" t="s">
        <v>328</v>
      </c>
      <c r="H1332" s="69">
        <v>45658.0</v>
      </c>
      <c r="I1332" s="78" t="s">
        <v>337</v>
      </c>
      <c r="J1332" s="78"/>
      <c r="K1332" s="79"/>
      <c r="L1332" s="80"/>
      <c r="M1332" s="81"/>
    </row>
    <row r="1333">
      <c r="A1333" s="75" t="s">
        <v>3489</v>
      </c>
      <c r="B1333" s="75" t="s">
        <v>319</v>
      </c>
      <c r="C1333" s="75" t="s">
        <v>321</v>
      </c>
      <c r="D1333" s="75">
        <v>2021.0</v>
      </c>
      <c r="E1333" s="75">
        <v>8.60369054160708E14</v>
      </c>
      <c r="F1333" s="76" t="s">
        <v>326</v>
      </c>
      <c r="G1333" s="68" t="s">
        <v>328</v>
      </c>
      <c r="H1333" s="69">
        <v>45658.0</v>
      </c>
      <c r="I1333" s="78" t="s">
        <v>337</v>
      </c>
      <c r="J1333" s="78"/>
      <c r="K1333" s="79"/>
      <c r="L1333" s="80"/>
      <c r="M1333" s="81"/>
    </row>
    <row r="1334">
      <c r="A1334" s="75" t="s">
        <v>3490</v>
      </c>
      <c r="B1334" s="75" t="s">
        <v>319</v>
      </c>
      <c r="C1334" s="75" t="s">
        <v>321</v>
      </c>
      <c r="D1334" s="75">
        <v>2021.0</v>
      </c>
      <c r="E1334" s="75">
        <v>8.60369054173719E14</v>
      </c>
      <c r="F1334" s="76" t="s">
        <v>326</v>
      </c>
      <c r="G1334" s="68" t="s">
        <v>328</v>
      </c>
      <c r="H1334" s="69">
        <v>45658.0</v>
      </c>
      <c r="I1334" s="78" t="s">
        <v>337</v>
      </c>
      <c r="J1334" s="78"/>
      <c r="K1334" s="79"/>
      <c r="L1334" s="80"/>
      <c r="M1334" s="81"/>
    </row>
    <row r="1335">
      <c r="A1335" s="75" t="s">
        <v>3491</v>
      </c>
      <c r="B1335" s="75" t="s">
        <v>319</v>
      </c>
      <c r="C1335" s="75" t="s">
        <v>321</v>
      </c>
      <c r="D1335" s="75">
        <v>2021.0</v>
      </c>
      <c r="E1335" s="75">
        <v>8.60369054153992E14</v>
      </c>
      <c r="F1335" s="76" t="s">
        <v>326</v>
      </c>
      <c r="G1335" s="68" t="s">
        <v>328</v>
      </c>
      <c r="H1335" s="69">
        <v>45658.0</v>
      </c>
      <c r="I1335" s="78" t="s">
        <v>337</v>
      </c>
      <c r="J1335" s="78"/>
      <c r="K1335" s="79"/>
      <c r="L1335" s="80"/>
      <c r="M1335" s="81"/>
    </row>
    <row r="1336">
      <c r="A1336" s="75" t="s">
        <v>3492</v>
      </c>
      <c r="B1336" s="75" t="s">
        <v>319</v>
      </c>
      <c r="C1336" s="75" t="s">
        <v>321</v>
      </c>
      <c r="D1336" s="75">
        <v>2021.0</v>
      </c>
      <c r="E1336" s="75">
        <v>8.60369054173909E14</v>
      </c>
      <c r="F1336" s="76" t="s">
        <v>326</v>
      </c>
      <c r="G1336" s="68" t="s">
        <v>328</v>
      </c>
      <c r="H1336" s="69">
        <v>45658.0</v>
      </c>
      <c r="I1336" s="78" t="s">
        <v>337</v>
      </c>
      <c r="J1336" s="78"/>
      <c r="K1336" s="79"/>
      <c r="L1336" s="80"/>
      <c r="M1336" s="81"/>
    </row>
    <row r="1337">
      <c r="A1337" s="75" t="s">
        <v>3493</v>
      </c>
      <c r="B1337" s="75" t="s">
        <v>319</v>
      </c>
      <c r="C1337" s="75" t="s">
        <v>321</v>
      </c>
      <c r="D1337" s="75">
        <v>2021.0</v>
      </c>
      <c r="E1337" s="75">
        <v>8.60369052440342E14</v>
      </c>
      <c r="F1337" s="76" t="s">
        <v>326</v>
      </c>
      <c r="G1337" s="68" t="s">
        <v>328</v>
      </c>
      <c r="H1337" s="69">
        <v>45658.0</v>
      </c>
      <c r="I1337" s="78" t="s">
        <v>337</v>
      </c>
      <c r="J1337" s="78"/>
      <c r="K1337" s="79"/>
      <c r="L1337" s="80"/>
      <c r="M1337" s="81"/>
    </row>
    <row r="1338">
      <c r="A1338" s="75" t="s">
        <v>3494</v>
      </c>
      <c r="B1338" s="75" t="s">
        <v>319</v>
      </c>
      <c r="C1338" s="75" t="s">
        <v>351</v>
      </c>
      <c r="D1338" s="75">
        <v>2022.0</v>
      </c>
      <c r="E1338" s="75">
        <v>8.60369052695382E14</v>
      </c>
      <c r="F1338" s="76" t="s">
        <v>326</v>
      </c>
      <c r="G1338" s="68" t="s">
        <v>328</v>
      </c>
      <c r="H1338" s="69">
        <v>45658.0</v>
      </c>
      <c r="I1338" s="78" t="s">
        <v>337</v>
      </c>
      <c r="J1338" s="78"/>
      <c r="K1338" s="79"/>
      <c r="L1338" s="80"/>
      <c r="M1338" s="81"/>
    </row>
    <row r="1339">
      <c r="A1339" s="75" t="s">
        <v>3495</v>
      </c>
      <c r="B1339" s="75" t="s">
        <v>319</v>
      </c>
      <c r="C1339" s="75" t="s">
        <v>351</v>
      </c>
      <c r="D1339" s="75">
        <v>2022.0</v>
      </c>
      <c r="E1339" s="75">
        <v>8.60369054161144E14</v>
      </c>
      <c r="F1339" s="76" t="s">
        <v>326</v>
      </c>
      <c r="G1339" s="68" t="s">
        <v>328</v>
      </c>
      <c r="H1339" s="69">
        <v>45658.0</v>
      </c>
      <c r="I1339" s="78" t="s">
        <v>337</v>
      </c>
      <c r="J1339" s="78"/>
      <c r="K1339" s="79"/>
      <c r="L1339" s="80"/>
      <c r="M1339" s="81"/>
    </row>
    <row r="1340">
      <c r="A1340" s="75" t="s">
        <v>3496</v>
      </c>
      <c r="B1340" s="75" t="s">
        <v>319</v>
      </c>
      <c r="C1340" s="75" t="s">
        <v>321</v>
      </c>
      <c r="D1340" s="75">
        <v>2022.0</v>
      </c>
      <c r="E1340" s="75">
        <v>8.60369052437538E14</v>
      </c>
      <c r="F1340" s="76" t="s">
        <v>326</v>
      </c>
      <c r="G1340" s="68" t="s">
        <v>328</v>
      </c>
      <c r="H1340" s="69">
        <v>45658.0</v>
      </c>
      <c r="I1340" s="78" t="s">
        <v>337</v>
      </c>
      <c r="J1340" s="78"/>
      <c r="K1340" s="79"/>
      <c r="L1340" s="80"/>
      <c r="M1340" s="81"/>
    </row>
    <row r="1341">
      <c r="A1341" s="75" t="s">
        <v>3497</v>
      </c>
      <c r="B1341" s="75" t="s">
        <v>319</v>
      </c>
      <c r="C1341" s="75" t="s">
        <v>321</v>
      </c>
      <c r="D1341" s="75">
        <v>2021.0</v>
      </c>
      <c r="E1341" s="75">
        <v>8.60369054183981E14</v>
      </c>
      <c r="F1341" s="76" t="s">
        <v>326</v>
      </c>
      <c r="G1341" s="68" t="s">
        <v>328</v>
      </c>
      <c r="H1341" s="69">
        <v>45658.0</v>
      </c>
      <c r="I1341" s="78" t="s">
        <v>337</v>
      </c>
      <c r="J1341" s="78"/>
      <c r="K1341" s="79"/>
      <c r="L1341" s="80"/>
      <c r="M1341" s="81"/>
    </row>
    <row r="1342">
      <c r="A1342" s="75" t="s">
        <v>3498</v>
      </c>
      <c r="B1342" s="75" t="s">
        <v>319</v>
      </c>
      <c r="C1342" s="75" t="s">
        <v>321</v>
      </c>
      <c r="D1342" s="75">
        <v>2021.0</v>
      </c>
      <c r="E1342" s="75">
        <v>8.6036905243337E14</v>
      </c>
      <c r="F1342" s="76" t="s">
        <v>326</v>
      </c>
      <c r="G1342" s="68" t="s">
        <v>328</v>
      </c>
      <c r="H1342" s="69">
        <v>45658.0</v>
      </c>
      <c r="I1342" s="78" t="s">
        <v>337</v>
      </c>
      <c r="J1342" s="78"/>
      <c r="K1342" s="79"/>
      <c r="L1342" s="80"/>
      <c r="M1342" s="81"/>
    </row>
    <row r="1343">
      <c r="A1343" s="75" t="s">
        <v>3499</v>
      </c>
      <c r="B1343" s="75" t="s">
        <v>319</v>
      </c>
      <c r="C1343" s="75" t="s">
        <v>321</v>
      </c>
      <c r="D1343" s="75">
        <v>2021.0</v>
      </c>
      <c r="E1343" s="75">
        <v>8.60369052701271E14</v>
      </c>
      <c r="F1343" s="76" t="s">
        <v>326</v>
      </c>
      <c r="G1343" s="68" t="s">
        <v>328</v>
      </c>
      <c r="H1343" s="69">
        <v>45658.0</v>
      </c>
      <c r="I1343" s="78" t="s">
        <v>337</v>
      </c>
      <c r="J1343" s="78"/>
      <c r="K1343" s="79"/>
      <c r="L1343" s="80"/>
      <c r="M1343" s="81"/>
    </row>
    <row r="1344">
      <c r="A1344" s="75" t="s">
        <v>3500</v>
      </c>
      <c r="B1344" s="75" t="s">
        <v>319</v>
      </c>
      <c r="C1344" s="75" t="s">
        <v>321</v>
      </c>
      <c r="D1344" s="75">
        <v>2021.0</v>
      </c>
      <c r="E1344" s="75">
        <v>8.60369054181993E14</v>
      </c>
      <c r="F1344" s="76" t="s">
        <v>326</v>
      </c>
      <c r="G1344" s="68" t="s">
        <v>328</v>
      </c>
      <c r="H1344" s="69">
        <v>45658.0</v>
      </c>
      <c r="I1344" s="78" t="s">
        <v>337</v>
      </c>
      <c r="J1344" s="78"/>
      <c r="K1344" s="79"/>
      <c r="L1344" s="80"/>
      <c r="M1344" s="81"/>
    </row>
    <row r="1345">
      <c r="A1345" s="75" t="s">
        <v>3501</v>
      </c>
      <c r="B1345" s="75" t="s">
        <v>319</v>
      </c>
      <c r="C1345" s="75" t="s">
        <v>321</v>
      </c>
      <c r="D1345" s="75">
        <v>2021.0</v>
      </c>
      <c r="E1345" s="75">
        <v>8.6036905418742E14</v>
      </c>
      <c r="F1345" s="76" t="s">
        <v>326</v>
      </c>
      <c r="G1345" s="68" t="s">
        <v>328</v>
      </c>
      <c r="H1345" s="69">
        <v>45658.0</v>
      </c>
      <c r="I1345" s="78" t="s">
        <v>337</v>
      </c>
      <c r="J1345" s="78"/>
      <c r="K1345" s="79"/>
      <c r="L1345" s="80"/>
      <c r="M1345" s="81"/>
    </row>
    <row r="1346">
      <c r="A1346" s="75" t="s">
        <v>3502</v>
      </c>
      <c r="B1346" s="75" t="s">
        <v>319</v>
      </c>
      <c r="C1346" s="75" t="s">
        <v>321</v>
      </c>
      <c r="D1346" s="75">
        <v>2021.0</v>
      </c>
      <c r="E1346" s="75">
        <v>8.60369052410162E14</v>
      </c>
      <c r="F1346" s="76" t="s">
        <v>326</v>
      </c>
      <c r="G1346" s="68" t="s">
        <v>328</v>
      </c>
      <c r="H1346" s="69">
        <v>45658.0</v>
      </c>
      <c r="I1346" s="78" t="s">
        <v>337</v>
      </c>
      <c r="J1346" s="78"/>
      <c r="K1346" s="79"/>
      <c r="L1346" s="80"/>
      <c r="M1346" s="81"/>
    </row>
    <row r="1347">
      <c r="A1347" s="75" t="s">
        <v>3503</v>
      </c>
      <c r="B1347" s="75" t="s">
        <v>319</v>
      </c>
      <c r="C1347" s="75" t="s">
        <v>321</v>
      </c>
      <c r="D1347" s="75">
        <v>2021.0</v>
      </c>
      <c r="E1347" s="75">
        <v>8.60369052703855E14</v>
      </c>
      <c r="F1347" s="76" t="s">
        <v>326</v>
      </c>
      <c r="G1347" s="68" t="s">
        <v>328</v>
      </c>
      <c r="H1347" s="69">
        <v>45658.0</v>
      </c>
      <c r="I1347" s="78" t="s">
        <v>337</v>
      </c>
      <c r="J1347" s="78"/>
      <c r="K1347" s="79"/>
      <c r="L1347" s="80"/>
      <c r="M1347" s="81"/>
    </row>
    <row r="1348">
      <c r="A1348" s="75" t="s">
        <v>3504</v>
      </c>
      <c r="B1348" s="75" t="s">
        <v>319</v>
      </c>
      <c r="C1348" s="75" t="s">
        <v>321</v>
      </c>
      <c r="D1348" s="75">
        <v>2021.0</v>
      </c>
      <c r="E1348" s="75">
        <v>8.60369052706379E14</v>
      </c>
      <c r="F1348" s="76" t="s">
        <v>326</v>
      </c>
      <c r="G1348" s="68" t="s">
        <v>328</v>
      </c>
      <c r="H1348" s="69">
        <v>45658.0</v>
      </c>
      <c r="I1348" s="78" t="s">
        <v>337</v>
      </c>
      <c r="J1348" s="78"/>
      <c r="K1348" s="79"/>
      <c r="L1348" s="80"/>
      <c r="M1348" s="81"/>
    </row>
    <row r="1349">
      <c r="A1349" s="75" t="s">
        <v>3505</v>
      </c>
      <c r="B1349" s="75" t="s">
        <v>319</v>
      </c>
      <c r="C1349" s="75" t="s">
        <v>321</v>
      </c>
      <c r="D1349" s="75">
        <v>2022.0</v>
      </c>
      <c r="E1349" s="75">
        <v>8.60369054168263E14</v>
      </c>
      <c r="F1349" s="76" t="s">
        <v>326</v>
      </c>
      <c r="G1349" s="68" t="s">
        <v>328</v>
      </c>
      <c r="H1349" s="69">
        <v>45658.0</v>
      </c>
      <c r="I1349" s="78" t="s">
        <v>337</v>
      </c>
      <c r="J1349" s="78"/>
      <c r="K1349" s="79"/>
      <c r="L1349" s="80"/>
      <c r="M1349" s="81"/>
    </row>
    <row r="1350">
      <c r="A1350" s="75" t="s">
        <v>3506</v>
      </c>
      <c r="B1350" s="75" t="s">
        <v>319</v>
      </c>
      <c r="C1350" s="75" t="s">
        <v>321</v>
      </c>
      <c r="D1350" s="75">
        <v>2022.0</v>
      </c>
      <c r="E1350" s="75">
        <v>8.6036905416941E14</v>
      </c>
      <c r="F1350" s="76" t="s">
        <v>326</v>
      </c>
      <c r="G1350" s="68" t="s">
        <v>328</v>
      </c>
      <c r="H1350" s="69">
        <v>45658.0</v>
      </c>
      <c r="I1350" s="78" t="s">
        <v>337</v>
      </c>
      <c r="J1350" s="78"/>
      <c r="K1350" s="79"/>
      <c r="L1350" s="80"/>
      <c r="M1350" s="81"/>
    </row>
    <row r="1351">
      <c r="A1351" s="75" t="s">
        <v>3507</v>
      </c>
      <c r="B1351" s="75" t="s">
        <v>319</v>
      </c>
      <c r="C1351" s="75" t="s">
        <v>321</v>
      </c>
      <c r="D1351" s="75">
        <v>2022.0</v>
      </c>
      <c r="E1351" s="75">
        <v>8.60369052426192E14</v>
      </c>
      <c r="F1351" s="76" t="s">
        <v>326</v>
      </c>
      <c r="G1351" s="68" t="s">
        <v>328</v>
      </c>
      <c r="H1351" s="69">
        <v>45658.0</v>
      </c>
      <c r="I1351" s="78" t="s">
        <v>337</v>
      </c>
      <c r="J1351" s="78"/>
      <c r="K1351" s="79"/>
      <c r="L1351" s="80"/>
      <c r="M1351" s="81"/>
    </row>
    <row r="1352">
      <c r="A1352" s="75" t="s">
        <v>3508</v>
      </c>
      <c r="B1352" s="75" t="s">
        <v>319</v>
      </c>
      <c r="C1352" s="75" t="s">
        <v>321</v>
      </c>
      <c r="D1352" s="75">
        <v>2022.0</v>
      </c>
      <c r="E1352" s="75">
        <v>8.60369054160674E14</v>
      </c>
      <c r="F1352" s="76" t="s">
        <v>326</v>
      </c>
      <c r="G1352" s="68" t="s">
        <v>328</v>
      </c>
      <c r="H1352" s="69">
        <v>45658.0</v>
      </c>
      <c r="I1352" s="78" t="s">
        <v>337</v>
      </c>
      <c r="J1352" s="78"/>
      <c r="K1352" s="79"/>
      <c r="L1352" s="80"/>
      <c r="M1352" s="81"/>
    </row>
    <row r="1353">
      <c r="A1353" s="75" t="s">
        <v>3509</v>
      </c>
      <c r="B1353" s="75" t="s">
        <v>319</v>
      </c>
      <c r="C1353" s="75" t="s">
        <v>321</v>
      </c>
      <c r="D1353" s="75">
        <v>2022.0</v>
      </c>
      <c r="E1353" s="75">
        <v>8.60369054161284E14</v>
      </c>
      <c r="F1353" s="76" t="s">
        <v>326</v>
      </c>
      <c r="G1353" s="68" t="s">
        <v>328</v>
      </c>
      <c r="H1353" s="69">
        <v>45658.0</v>
      </c>
      <c r="I1353" s="78" t="s">
        <v>337</v>
      </c>
      <c r="J1353" s="78"/>
      <c r="K1353" s="79"/>
      <c r="L1353" s="80"/>
      <c r="M1353" s="81"/>
    </row>
    <row r="1354">
      <c r="A1354" s="75" t="s">
        <v>3510</v>
      </c>
      <c r="B1354" s="75" t="s">
        <v>319</v>
      </c>
      <c r="C1354" s="75" t="s">
        <v>321</v>
      </c>
      <c r="D1354" s="75">
        <v>2022.0</v>
      </c>
      <c r="E1354" s="75">
        <v>8.60369054152655E14</v>
      </c>
      <c r="F1354" s="76" t="s">
        <v>326</v>
      </c>
      <c r="G1354" s="68" t="s">
        <v>328</v>
      </c>
      <c r="H1354" s="69">
        <v>45658.0</v>
      </c>
      <c r="I1354" s="78" t="s">
        <v>337</v>
      </c>
      <c r="J1354" s="78"/>
      <c r="K1354" s="79"/>
      <c r="L1354" s="80"/>
      <c r="M1354" s="81"/>
    </row>
    <row r="1355">
      <c r="A1355" s="75" t="s">
        <v>3511</v>
      </c>
      <c r="B1355" s="75" t="s">
        <v>319</v>
      </c>
      <c r="C1355" s="75" t="s">
        <v>321</v>
      </c>
      <c r="D1355" s="75">
        <v>2022.0</v>
      </c>
      <c r="E1355" s="75">
        <v>8.60369052433693E14</v>
      </c>
      <c r="F1355" s="76" t="s">
        <v>326</v>
      </c>
      <c r="G1355" s="68" t="s">
        <v>328</v>
      </c>
      <c r="H1355" s="69">
        <v>45658.0</v>
      </c>
      <c r="I1355" s="78" t="s">
        <v>337</v>
      </c>
      <c r="J1355" s="78"/>
      <c r="K1355" s="79"/>
      <c r="L1355" s="80"/>
      <c r="M1355" s="81"/>
    </row>
    <row r="1356">
      <c r="A1356" s="75" t="s">
        <v>3512</v>
      </c>
      <c r="B1356" s="75" t="s">
        <v>319</v>
      </c>
      <c r="C1356" s="75" t="s">
        <v>321</v>
      </c>
      <c r="D1356" s="75">
        <v>2022.0</v>
      </c>
      <c r="E1356" s="75">
        <v>8.60369054162019E14</v>
      </c>
      <c r="F1356" s="76" t="s">
        <v>326</v>
      </c>
      <c r="G1356" s="68" t="s">
        <v>328</v>
      </c>
      <c r="H1356" s="69">
        <v>45658.0</v>
      </c>
      <c r="I1356" s="78" t="s">
        <v>337</v>
      </c>
      <c r="J1356" s="78"/>
      <c r="K1356" s="79"/>
      <c r="L1356" s="80"/>
      <c r="M1356" s="81"/>
    </row>
    <row r="1357">
      <c r="A1357" s="75" t="s">
        <v>3513</v>
      </c>
      <c r="B1357" s="75" t="s">
        <v>389</v>
      </c>
      <c r="C1357" s="75" t="s">
        <v>1292</v>
      </c>
      <c r="D1357" s="75">
        <v>2022.0</v>
      </c>
      <c r="E1357" s="75">
        <v>8.60369052409891E14</v>
      </c>
      <c r="F1357" s="76" t="s">
        <v>398</v>
      </c>
      <c r="G1357" s="68" t="s">
        <v>328</v>
      </c>
      <c r="H1357" s="69">
        <v>45658.0</v>
      </c>
      <c r="I1357" s="78" t="s">
        <v>337</v>
      </c>
      <c r="J1357" s="78"/>
      <c r="K1357" s="79"/>
      <c r="L1357" s="80"/>
      <c r="M1357" s="81"/>
    </row>
    <row r="1358">
      <c r="A1358" s="75" t="s">
        <v>3514</v>
      </c>
      <c r="B1358" s="75" t="s">
        <v>319</v>
      </c>
      <c r="C1358" s="75" t="s">
        <v>321</v>
      </c>
      <c r="D1358" s="75">
        <v>2022.0</v>
      </c>
      <c r="E1358" s="75">
        <v>8.60369054198286E14</v>
      </c>
      <c r="F1358" s="76" t="s">
        <v>326</v>
      </c>
      <c r="G1358" s="68" t="s">
        <v>328</v>
      </c>
      <c r="H1358" s="69">
        <v>45658.0</v>
      </c>
      <c r="I1358" s="78" t="s">
        <v>337</v>
      </c>
      <c r="J1358" s="78"/>
      <c r="K1358" s="79"/>
      <c r="L1358" s="80"/>
      <c r="M1358" s="81"/>
    </row>
    <row r="1359">
      <c r="A1359" s="75" t="s">
        <v>3515</v>
      </c>
      <c r="B1359" s="75" t="s">
        <v>389</v>
      </c>
      <c r="C1359" s="75" t="s">
        <v>1292</v>
      </c>
      <c r="D1359" s="75">
        <v>2022.0</v>
      </c>
      <c r="E1359" s="75">
        <v>8.60369052155601E14</v>
      </c>
      <c r="F1359" s="76" t="s">
        <v>398</v>
      </c>
      <c r="G1359" s="68" t="s">
        <v>328</v>
      </c>
      <c r="H1359" s="69">
        <v>45658.0</v>
      </c>
      <c r="I1359" s="78" t="s">
        <v>337</v>
      </c>
      <c r="J1359" s="78"/>
      <c r="K1359" s="79"/>
      <c r="L1359" s="80"/>
      <c r="M1359" s="81"/>
    </row>
    <row r="1360">
      <c r="A1360" s="75" t="s">
        <v>3516</v>
      </c>
      <c r="B1360" s="75" t="s">
        <v>319</v>
      </c>
      <c r="C1360" s="75" t="s">
        <v>321</v>
      </c>
      <c r="D1360" s="75">
        <v>2021.0</v>
      </c>
      <c r="E1360" s="75">
        <v>8.60369052701172E14</v>
      </c>
      <c r="F1360" s="76" t="s">
        <v>326</v>
      </c>
      <c r="G1360" s="68" t="s">
        <v>328</v>
      </c>
      <c r="H1360" s="69">
        <v>45658.0</v>
      </c>
      <c r="I1360" s="78" t="s">
        <v>337</v>
      </c>
      <c r="J1360" s="78"/>
      <c r="K1360" s="79"/>
      <c r="L1360" s="80"/>
      <c r="M1360" s="81"/>
    </row>
    <row r="1361">
      <c r="A1361" s="75" t="s">
        <v>3517</v>
      </c>
      <c r="B1361" s="75" t="s">
        <v>319</v>
      </c>
      <c r="C1361" s="75" t="s">
        <v>321</v>
      </c>
      <c r="D1361" s="75">
        <v>2021.0</v>
      </c>
      <c r="E1361" s="75">
        <v>8.60369052434451E14</v>
      </c>
      <c r="F1361" s="76" t="s">
        <v>326</v>
      </c>
      <c r="G1361" s="68" t="s">
        <v>328</v>
      </c>
      <c r="H1361" s="69">
        <v>45658.0</v>
      </c>
      <c r="I1361" s="78" t="s">
        <v>337</v>
      </c>
      <c r="J1361" s="78"/>
      <c r="K1361" s="79"/>
      <c r="L1361" s="80"/>
      <c r="M1361" s="81"/>
    </row>
    <row r="1362">
      <c r="A1362" s="75" t="s">
        <v>3518</v>
      </c>
      <c r="B1362" s="75" t="s">
        <v>319</v>
      </c>
      <c r="C1362" s="75" t="s">
        <v>321</v>
      </c>
      <c r="D1362" s="75">
        <v>2021.0</v>
      </c>
      <c r="E1362" s="75">
        <v>8.60369052701701E14</v>
      </c>
      <c r="F1362" s="76" t="s">
        <v>326</v>
      </c>
      <c r="G1362" s="68" t="s">
        <v>328</v>
      </c>
      <c r="H1362" s="69">
        <v>45658.0</v>
      </c>
      <c r="I1362" s="78" t="s">
        <v>337</v>
      </c>
      <c r="J1362" s="78"/>
      <c r="K1362" s="79"/>
      <c r="L1362" s="80"/>
      <c r="M1362" s="81"/>
    </row>
    <row r="1363">
      <c r="A1363" s="75" t="s">
        <v>3519</v>
      </c>
      <c r="B1363" s="75" t="s">
        <v>319</v>
      </c>
      <c r="C1363" s="75" t="s">
        <v>321</v>
      </c>
      <c r="D1363" s="75">
        <v>2021.0</v>
      </c>
      <c r="E1363" s="75">
        <v>8.60369052696109E14</v>
      </c>
      <c r="F1363" s="76" t="s">
        <v>326</v>
      </c>
      <c r="G1363" s="68" t="s">
        <v>328</v>
      </c>
      <c r="H1363" s="69">
        <v>45658.0</v>
      </c>
      <c r="I1363" s="78" t="s">
        <v>337</v>
      </c>
      <c r="J1363" s="78"/>
      <c r="K1363" s="79"/>
      <c r="L1363" s="80"/>
      <c r="M1363" s="81"/>
    </row>
    <row r="1364">
      <c r="A1364" s="75" t="s">
        <v>3520</v>
      </c>
      <c r="B1364" s="75" t="s">
        <v>319</v>
      </c>
      <c r="C1364" s="75" t="s">
        <v>321</v>
      </c>
      <c r="D1364" s="75">
        <v>2021.0</v>
      </c>
      <c r="E1364" s="75">
        <v>8.60369052177803E14</v>
      </c>
      <c r="F1364" s="76" t="s">
        <v>398</v>
      </c>
      <c r="G1364" s="68" t="s">
        <v>328</v>
      </c>
      <c r="H1364" s="69">
        <v>45658.0</v>
      </c>
      <c r="I1364" s="78" t="s">
        <v>337</v>
      </c>
      <c r="J1364" s="78"/>
      <c r="K1364" s="79"/>
      <c r="L1364" s="80"/>
      <c r="M1364" s="81"/>
    </row>
    <row r="1365">
      <c r="A1365" s="75" t="s">
        <v>3521</v>
      </c>
      <c r="B1365" s="75" t="s">
        <v>319</v>
      </c>
      <c r="C1365" s="75" t="s">
        <v>321</v>
      </c>
      <c r="D1365" s="75">
        <v>2021.0</v>
      </c>
      <c r="E1365" s="75">
        <v>8.60369052696729E14</v>
      </c>
      <c r="F1365" s="76" t="s">
        <v>326</v>
      </c>
      <c r="G1365" s="68" t="s">
        <v>328</v>
      </c>
      <c r="H1365" s="69">
        <v>45658.0</v>
      </c>
      <c r="I1365" s="78" t="s">
        <v>337</v>
      </c>
      <c r="J1365" s="78"/>
      <c r="K1365" s="79"/>
      <c r="L1365" s="80"/>
      <c r="M1365" s="81"/>
    </row>
    <row r="1366">
      <c r="A1366" s="75" t="s">
        <v>3522</v>
      </c>
      <c r="B1366" s="75" t="s">
        <v>319</v>
      </c>
      <c r="C1366" s="75" t="s">
        <v>321</v>
      </c>
      <c r="D1366" s="75">
        <v>2021.0</v>
      </c>
      <c r="E1366" s="75">
        <v>8.60369052440482E14</v>
      </c>
      <c r="F1366" s="76" t="s">
        <v>326</v>
      </c>
      <c r="G1366" s="68" t="s">
        <v>328</v>
      </c>
      <c r="H1366" s="69">
        <v>45658.0</v>
      </c>
      <c r="I1366" s="78" t="s">
        <v>337</v>
      </c>
      <c r="J1366" s="78"/>
      <c r="K1366" s="79"/>
      <c r="L1366" s="80"/>
      <c r="M1366" s="81"/>
    </row>
    <row r="1367">
      <c r="A1367" s="75" t="s">
        <v>3523</v>
      </c>
      <c r="B1367" s="75" t="s">
        <v>319</v>
      </c>
      <c r="C1367" s="75" t="s">
        <v>321</v>
      </c>
      <c r="D1367" s="75">
        <v>2021.0</v>
      </c>
      <c r="E1367" s="75">
        <v>8.60369052444195E14</v>
      </c>
      <c r="F1367" s="76" t="s">
        <v>326</v>
      </c>
      <c r="G1367" s="68" t="s">
        <v>328</v>
      </c>
      <c r="H1367" s="69">
        <v>45658.0</v>
      </c>
      <c r="I1367" s="78" t="s">
        <v>1240</v>
      </c>
      <c r="J1367" s="78" t="s">
        <v>3524</v>
      </c>
      <c r="K1367" s="79"/>
      <c r="L1367" s="80"/>
      <c r="M1367" s="81"/>
    </row>
    <row r="1368">
      <c r="A1368" s="75" t="s">
        <v>3525</v>
      </c>
      <c r="B1368" s="75" t="s">
        <v>319</v>
      </c>
      <c r="C1368" s="75" t="s">
        <v>321</v>
      </c>
      <c r="D1368" s="75">
        <v>2021.0</v>
      </c>
      <c r="E1368" s="75">
        <v>8.60369054184179E14</v>
      </c>
      <c r="F1368" s="76" t="s">
        <v>326</v>
      </c>
      <c r="G1368" s="68" t="s">
        <v>328</v>
      </c>
      <c r="H1368" s="69">
        <v>45658.0</v>
      </c>
      <c r="I1368" s="78" t="s">
        <v>337</v>
      </c>
      <c r="J1368" s="78"/>
      <c r="K1368" s="79"/>
      <c r="L1368" s="80"/>
      <c r="M1368" s="81"/>
    </row>
    <row r="1369">
      <c r="A1369" s="75" t="s">
        <v>3526</v>
      </c>
      <c r="B1369" s="75" t="s">
        <v>319</v>
      </c>
      <c r="C1369" s="75" t="s">
        <v>321</v>
      </c>
      <c r="D1369" s="75">
        <v>2021.0</v>
      </c>
      <c r="E1369" s="75">
        <v>8.60369054171283E14</v>
      </c>
      <c r="F1369" s="76" t="s">
        <v>326</v>
      </c>
      <c r="G1369" s="68" t="s">
        <v>328</v>
      </c>
      <c r="H1369" s="69">
        <v>45658.0</v>
      </c>
      <c r="I1369" s="78" t="s">
        <v>337</v>
      </c>
      <c r="J1369" s="78"/>
      <c r="K1369" s="79"/>
      <c r="L1369" s="80"/>
      <c r="M1369" s="81"/>
    </row>
    <row r="1370">
      <c r="A1370" s="75" t="s">
        <v>3527</v>
      </c>
      <c r="B1370" s="75" t="s">
        <v>319</v>
      </c>
      <c r="C1370" s="75" t="s">
        <v>321</v>
      </c>
      <c r="D1370" s="75">
        <v>2021.0</v>
      </c>
      <c r="E1370" s="75">
        <v>8.60369052426895E14</v>
      </c>
      <c r="F1370" s="76" t="s">
        <v>326</v>
      </c>
      <c r="G1370" s="68" t="s">
        <v>328</v>
      </c>
      <c r="H1370" s="69">
        <v>45658.0</v>
      </c>
      <c r="I1370" s="78" t="s">
        <v>337</v>
      </c>
      <c r="J1370" s="78"/>
      <c r="K1370" s="79"/>
      <c r="L1370" s="80"/>
      <c r="M1370" s="81"/>
    </row>
    <row r="1371">
      <c r="A1371" s="75" t="s">
        <v>3528</v>
      </c>
      <c r="B1371" s="75" t="s">
        <v>319</v>
      </c>
      <c r="C1371" s="75" t="s">
        <v>321</v>
      </c>
      <c r="D1371" s="75">
        <v>2021.0</v>
      </c>
      <c r="E1371" s="75">
        <v>8.60369052703251E14</v>
      </c>
      <c r="F1371" s="76" t="s">
        <v>326</v>
      </c>
      <c r="G1371" s="68" t="s">
        <v>328</v>
      </c>
      <c r="H1371" s="69">
        <v>45658.0</v>
      </c>
      <c r="I1371" s="78" t="s">
        <v>337</v>
      </c>
      <c r="J1371" s="78"/>
      <c r="K1371" s="79"/>
      <c r="L1371" s="80"/>
      <c r="M1371" s="81"/>
    </row>
    <row r="1372">
      <c r="A1372" s="75" t="s">
        <v>3529</v>
      </c>
      <c r="B1372" s="75" t="s">
        <v>319</v>
      </c>
      <c r="C1372" s="75" t="s">
        <v>321</v>
      </c>
      <c r="D1372" s="75">
        <v>2021.0</v>
      </c>
      <c r="E1372" s="75">
        <v>8.60369052170014E14</v>
      </c>
      <c r="F1372" s="76" t="s">
        <v>398</v>
      </c>
      <c r="G1372" s="68" t="s">
        <v>328</v>
      </c>
      <c r="H1372" s="69">
        <v>45658.0</v>
      </c>
      <c r="I1372" s="78" t="s">
        <v>337</v>
      </c>
      <c r="J1372" s="78"/>
      <c r="K1372" s="79"/>
      <c r="L1372" s="80"/>
      <c r="M1372" s="81"/>
    </row>
    <row r="1373">
      <c r="A1373" s="75" t="s">
        <v>3530</v>
      </c>
      <c r="B1373" s="75" t="s">
        <v>319</v>
      </c>
      <c r="C1373" s="75" t="s">
        <v>1501</v>
      </c>
      <c r="D1373" s="75">
        <v>2021.0</v>
      </c>
      <c r="E1373" s="75">
        <v>8.60369052696224E14</v>
      </c>
      <c r="F1373" s="76" t="s">
        <v>326</v>
      </c>
      <c r="G1373" s="68" t="s">
        <v>328</v>
      </c>
      <c r="H1373" s="69">
        <v>45658.0</v>
      </c>
      <c r="I1373" s="78" t="s">
        <v>337</v>
      </c>
      <c r="J1373" s="78"/>
      <c r="K1373" s="79"/>
      <c r="L1373" s="80"/>
      <c r="M1373" s="81"/>
    </row>
    <row r="1374">
      <c r="A1374" s="75" t="s">
        <v>3531</v>
      </c>
      <c r="B1374" s="75" t="s">
        <v>319</v>
      </c>
      <c r="C1374" s="75" t="s">
        <v>1501</v>
      </c>
      <c r="D1374" s="75">
        <v>2021.0</v>
      </c>
      <c r="E1374" s="75">
        <v>8.6036905270547E14</v>
      </c>
      <c r="F1374" s="76" t="s">
        <v>326</v>
      </c>
      <c r="G1374" s="68" t="s">
        <v>328</v>
      </c>
      <c r="H1374" s="69">
        <v>45658.0</v>
      </c>
      <c r="I1374" s="78" t="s">
        <v>337</v>
      </c>
      <c r="J1374" s="78"/>
      <c r="K1374" s="79"/>
      <c r="L1374" s="80"/>
      <c r="M1374" s="81"/>
    </row>
    <row r="1375">
      <c r="A1375" s="75" t="s">
        <v>3532</v>
      </c>
      <c r="B1375" s="75" t="s">
        <v>319</v>
      </c>
      <c r="C1375" s="75" t="s">
        <v>1501</v>
      </c>
      <c r="D1375" s="75">
        <v>2021.0</v>
      </c>
      <c r="E1375" s="75">
        <v>8.60369052419791E14</v>
      </c>
      <c r="F1375" s="76" t="s">
        <v>326</v>
      </c>
      <c r="G1375" s="68" t="s">
        <v>328</v>
      </c>
      <c r="H1375" s="69">
        <v>45658.0</v>
      </c>
      <c r="I1375" s="78" t="s">
        <v>337</v>
      </c>
      <c r="J1375" s="78"/>
      <c r="K1375" s="79"/>
      <c r="L1375" s="80"/>
      <c r="M1375" s="81"/>
    </row>
    <row r="1376">
      <c r="A1376" s="75" t="s">
        <v>3533</v>
      </c>
      <c r="B1376" s="75" t="s">
        <v>319</v>
      </c>
      <c r="C1376" s="75" t="s">
        <v>1501</v>
      </c>
      <c r="D1376" s="75">
        <v>2021.0</v>
      </c>
      <c r="E1376" s="75">
        <v>8.60369054172919E14</v>
      </c>
      <c r="F1376" s="76" t="s">
        <v>326</v>
      </c>
      <c r="G1376" s="68" t="s">
        <v>328</v>
      </c>
      <c r="H1376" s="69">
        <v>45658.0</v>
      </c>
      <c r="I1376" s="78" t="s">
        <v>1240</v>
      </c>
      <c r="J1376" s="78"/>
      <c r="K1376" s="79"/>
      <c r="L1376" s="80"/>
      <c r="M1376" s="81"/>
    </row>
    <row r="1377">
      <c r="A1377" s="75" t="s">
        <v>3534</v>
      </c>
      <c r="B1377" s="75" t="s">
        <v>319</v>
      </c>
      <c r="C1377" s="75" t="s">
        <v>1501</v>
      </c>
      <c r="D1377" s="75">
        <v>2021.0</v>
      </c>
      <c r="E1377" s="75">
        <v>8.60369052449194E14</v>
      </c>
      <c r="F1377" s="76" t="s">
        <v>326</v>
      </c>
      <c r="G1377" s="68" t="s">
        <v>328</v>
      </c>
      <c r="H1377" s="69">
        <v>45658.0</v>
      </c>
      <c r="I1377" s="78" t="s">
        <v>337</v>
      </c>
      <c r="J1377" s="78"/>
      <c r="K1377" s="79"/>
      <c r="L1377" s="80"/>
      <c r="M1377" s="81"/>
    </row>
    <row r="1378">
      <c r="A1378" s="75" t="s">
        <v>3535</v>
      </c>
      <c r="B1378" s="75" t="s">
        <v>319</v>
      </c>
      <c r="C1378" s="75" t="s">
        <v>1501</v>
      </c>
      <c r="D1378" s="75">
        <v>2021.0</v>
      </c>
      <c r="E1378" s="75">
        <v>8.60369054177629E14</v>
      </c>
      <c r="F1378" s="76" t="s">
        <v>326</v>
      </c>
      <c r="G1378" s="68" t="s">
        <v>328</v>
      </c>
      <c r="H1378" s="69">
        <v>45658.0</v>
      </c>
      <c r="I1378" s="78" t="s">
        <v>337</v>
      </c>
      <c r="J1378" s="78"/>
      <c r="K1378" s="79"/>
      <c r="L1378" s="80"/>
      <c r="M1378" s="81"/>
    </row>
    <row r="1379">
      <c r="A1379" s="240" t="s">
        <v>3536</v>
      </c>
      <c r="B1379" s="75" t="s">
        <v>319</v>
      </c>
      <c r="C1379" s="75" t="s">
        <v>1501</v>
      </c>
      <c r="D1379" s="75">
        <v>2021.0</v>
      </c>
      <c r="E1379" s="75">
        <v>8.60369054170681E14</v>
      </c>
      <c r="F1379" s="76" t="s">
        <v>326</v>
      </c>
      <c r="G1379" s="68" t="s">
        <v>328</v>
      </c>
      <c r="H1379" s="69">
        <v>45658.0</v>
      </c>
      <c r="I1379" s="78" t="s">
        <v>337</v>
      </c>
      <c r="J1379" s="78"/>
      <c r="K1379" s="79"/>
      <c r="L1379" s="80"/>
      <c r="M1379" s="81"/>
    </row>
    <row r="1380">
      <c r="A1380" s="75" t="s">
        <v>3537</v>
      </c>
      <c r="B1380" s="75" t="s">
        <v>389</v>
      </c>
      <c r="C1380" s="75" t="s">
        <v>1483</v>
      </c>
      <c r="D1380" s="75">
        <v>2022.0</v>
      </c>
      <c r="E1380" s="75">
        <v>8.60369052173141E14</v>
      </c>
      <c r="F1380" s="76" t="s">
        <v>398</v>
      </c>
      <c r="G1380" s="68" t="s">
        <v>328</v>
      </c>
      <c r="H1380" s="69">
        <v>45658.0</v>
      </c>
      <c r="I1380" s="78" t="s">
        <v>337</v>
      </c>
      <c r="J1380" s="78"/>
      <c r="K1380" s="79"/>
      <c r="L1380" s="80"/>
      <c r="M1380" s="81"/>
      <c r="N1380" s="83" t="s">
        <v>380</v>
      </c>
    </row>
    <row r="1381">
      <c r="A1381" s="75" t="s">
        <v>3538</v>
      </c>
      <c r="B1381" s="75" t="s">
        <v>319</v>
      </c>
      <c r="C1381" s="75" t="s">
        <v>321</v>
      </c>
      <c r="D1381" s="75">
        <v>2023.0</v>
      </c>
      <c r="E1381" s="75">
        <v>8.60369053345557E14</v>
      </c>
      <c r="F1381" s="76" t="s">
        <v>326</v>
      </c>
      <c r="G1381" s="68" t="s">
        <v>328</v>
      </c>
      <c r="H1381" s="69">
        <v>45658.0</v>
      </c>
      <c r="I1381" s="78" t="s">
        <v>337</v>
      </c>
      <c r="J1381" s="78"/>
      <c r="K1381" s="79"/>
      <c r="L1381" s="80"/>
      <c r="M1381" s="81"/>
    </row>
    <row r="1382">
      <c r="A1382" s="75" t="s">
        <v>3539</v>
      </c>
      <c r="B1382" s="75" t="s">
        <v>319</v>
      </c>
      <c r="C1382" s="75" t="s">
        <v>321</v>
      </c>
      <c r="D1382" s="75">
        <v>2023.0</v>
      </c>
      <c r="E1382" s="75">
        <v>8.60369054180797E14</v>
      </c>
      <c r="F1382" s="76" t="s">
        <v>326</v>
      </c>
      <c r="G1382" s="68" t="s">
        <v>328</v>
      </c>
      <c r="H1382" s="69">
        <v>45658.0</v>
      </c>
      <c r="I1382" s="78" t="s">
        <v>337</v>
      </c>
      <c r="J1382" s="78"/>
      <c r="K1382" s="79"/>
      <c r="L1382" s="80"/>
      <c r="M1382" s="81"/>
    </row>
    <row r="1383">
      <c r="A1383" s="75" t="s">
        <v>3540</v>
      </c>
      <c r="B1383" s="75" t="s">
        <v>319</v>
      </c>
      <c r="C1383" s="75" t="s">
        <v>321</v>
      </c>
      <c r="D1383" s="75">
        <v>2023.0</v>
      </c>
      <c r="E1383" s="75">
        <v>8.60369054170194E14</v>
      </c>
      <c r="F1383" s="76" t="s">
        <v>326</v>
      </c>
      <c r="G1383" s="68" t="s">
        <v>328</v>
      </c>
      <c r="H1383" s="69">
        <v>45658.0</v>
      </c>
      <c r="I1383" s="78" t="s">
        <v>337</v>
      </c>
      <c r="J1383" s="78"/>
      <c r="K1383" s="79"/>
      <c r="L1383" s="80"/>
      <c r="M1383" s="81"/>
    </row>
    <row r="1384">
      <c r="A1384" s="75" t="s">
        <v>3541</v>
      </c>
      <c r="B1384" s="75" t="s">
        <v>319</v>
      </c>
      <c r="C1384" s="75" t="s">
        <v>321</v>
      </c>
      <c r="D1384" s="75">
        <v>2023.0</v>
      </c>
      <c r="E1384" s="75">
        <v>8.60369052703046E14</v>
      </c>
      <c r="F1384" s="76" t="s">
        <v>326</v>
      </c>
      <c r="G1384" s="68" t="s">
        <v>328</v>
      </c>
      <c r="H1384" s="69">
        <v>45658.0</v>
      </c>
      <c r="I1384" s="78" t="s">
        <v>337</v>
      </c>
      <c r="J1384" s="78"/>
      <c r="K1384" s="79"/>
      <c r="L1384" s="80"/>
      <c r="M1384" s="81"/>
    </row>
    <row r="1385">
      <c r="A1385" s="75" t="s">
        <v>3542</v>
      </c>
      <c r="B1385" s="75" t="s">
        <v>319</v>
      </c>
      <c r="C1385" s="75" t="s">
        <v>321</v>
      </c>
      <c r="D1385" s="75">
        <v>2023.0</v>
      </c>
      <c r="E1385" s="75">
        <v>8.60369054164056E14</v>
      </c>
      <c r="F1385" s="76" t="s">
        <v>326</v>
      </c>
      <c r="G1385" s="68" t="s">
        <v>328</v>
      </c>
      <c r="H1385" s="69">
        <v>45658.0</v>
      </c>
      <c r="I1385" s="78" t="s">
        <v>337</v>
      </c>
      <c r="J1385" s="78"/>
      <c r="K1385" s="79"/>
      <c r="L1385" s="80"/>
      <c r="M1385" s="81"/>
    </row>
    <row r="1386">
      <c r="A1386" s="75" t="s">
        <v>3543</v>
      </c>
      <c r="B1386" s="75" t="s">
        <v>319</v>
      </c>
      <c r="C1386" s="75" t="s">
        <v>321</v>
      </c>
      <c r="D1386" s="75">
        <v>2023.0</v>
      </c>
      <c r="E1386" s="75">
        <v>8.60369054164049E14</v>
      </c>
      <c r="F1386" s="76" t="s">
        <v>326</v>
      </c>
      <c r="G1386" s="68" t="s">
        <v>328</v>
      </c>
      <c r="H1386" s="69">
        <v>45658.0</v>
      </c>
      <c r="I1386" s="78" t="s">
        <v>337</v>
      </c>
      <c r="J1386" s="78"/>
      <c r="K1386" s="79"/>
      <c r="L1386" s="80"/>
      <c r="M1386" s="81"/>
    </row>
    <row r="1387">
      <c r="A1387" s="75" t="s">
        <v>3544</v>
      </c>
      <c r="B1387" s="75" t="s">
        <v>319</v>
      </c>
      <c r="C1387" s="75" t="s">
        <v>321</v>
      </c>
      <c r="D1387" s="75">
        <v>2023.0</v>
      </c>
      <c r="E1387" s="75">
        <v>8.60369054159486E14</v>
      </c>
      <c r="F1387" s="76" t="s">
        <v>326</v>
      </c>
      <c r="G1387" s="68" t="s">
        <v>328</v>
      </c>
      <c r="H1387" s="69">
        <v>45658.0</v>
      </c>
      <c r="I1387" s="78" t="s">
        <v>337</v>
      </c>
      <c r="J1387" s="78"/>
      <c r="K1387" s="79"/>
      <c r="L1387" s="80"/>
      <c r="M1387" s="81"/>
    </row>
    <row r="1388">
      <c r="A1388" s="75" t="s">
        <v>3545</v>
      </c>
      <c r="B1388" s="75" t="s">
        <v>319</v>
      </c>
      <c r="C1388" s="75" t="s">
        <v>321</v>
      </c>
      <c r="D1388" s="75">
        <v>2023.0</v>
      </c>
      <c r="E1388" s="75">
        <v>8.60369054153638E14</v>
      </c>
      <c r="F1388" s="76" t="s">
        <v>326</v>
      </c>
      <c r="G1388" s="68" t="s">
        <v>328</v>
      </c>
      <c r="H1388" s="69">
        <v>45658.0</v>
      </c>
      <c r="I1388" s="78" t="s">
        <v>337</v>
      </c>
      <c r="J1388" s="78"/>
      <c r="K1388" s="79"/>
      <c r="L1388" s="80"/>
      <c r="M1388" s="81"/>
    </row>
    <row r="1389">
      <c r="A1389" s="75" t="s">
        <v>3546</v>
      </c>
      <c r="B1389" s="75" t="s">
        <v>319</v>
      </c>
      <c r="C1389" s="75" t="s">
        <v>321</v>
      </c>
      <c r="D1389" s="75">
        <v>2023.0</v>
      </c>
      <c r="E1389" s="75">
        <v>8.60369054184096E14</v>
      </c>
      <c r="F1389" s="76" t="s">
        <v>326</v>
      </c>
      <c r="G1389" s="68" t="s">
        <v>328</v>
      </c>
      <c r="H1389" s="69">
        <v>45658.0</v>
      </c>
      <c r="I1389" s="78" t="s">
        <v>337</v>
      </c>
      <c r="J1389" s="78"/>
      <c r="K1389" s="79"/>
      <c r="L1389" s="80"/>
      <c r="M1389" s="81"/>
    </row>
    <row r="1390">
      <c r="A1390" s="75" t="s">
        <v>3547</v>
      </c>
      <c r="B1390" s="75" t="s">
        <v>319</v>
      </c>
      <c r="C1390" s="75" t="s">
        <v>321</v>
      </c>
      <c r="D1390" s="75">
        <v>2023.0</v>
      </c>
      <c r="E1390" s="75">
        <v>8.6036905270123E14</v>
      </c>
      <c r="F1390" s="76" t="s">
        <v>326</v>
      </c>
      <c r="G1390" s="68" t="s">
        <v>328</v>
      </c>
      <c r="H1390" s="69">
        <v>45658.0</v>
      </c>
      <c r="I1390" s="78" t="s">
        <v>337</v>
      </c>
      <c r="J1390" s="78"/>
      <c r="K1390" s="79"/>
      <c r="L1390" s="80"/>
      <c r="M1390" s="81"/>
    </row>
    <row r="1391">
      <c r="A1391" s="75" t="s">
        <v>3548</v>
      </c>
      <c r="B1391" s="75" t="s">
        <v>319</v>
      </c>
      <c r="C1391" s="75" t="s">
        <v>321</v>
      </c>
      <c r="D1391" s="75">
        <v>2023.0</v>
      </c>
      <c r="E1391" s="75">
        <v>8.60369052701719E14</v>
      </c>
      <c r="F1391" s="76" t="s">
        <v>326</v>
      </c>
      <c r="G1391" s="68" t="s">
        <v>328</v>
      </c>
      <c r="H1391" s="69">
        <v>45658.0</v>
      </c>
      <c r="I1391" s="78" t="s">
        <v>337</v>
      </c>
      <c r="J1391" s="78"/>
      <c r="K1391" s="79"/>
      <c r="L1391" s="80"/>
      <c r="M1391" s="81"/>
    </row>
    <row r="1392">
      <c r="A1392" s="75" t="s">
        <v>3549</v>
      </c>
      <c r="B1392" s="75" t="s">
        <v>319</v>
      </c>
      <c r="C1392" s="75" t="s">
        <v>321</v>
      </c>
      <c r="D1392" s="75">
        <v>2023.0</v>
      </c>
      <c r="E1392" s="75">
        <v>8.60369054169378E14</v>
      </c>
      <c r="F1392" s="76" t="s">
        <v>326</v>
      </c>
      <c r="G1392" s="68" t="s">
        <v>328</v>
      </c>
      <c r="H1392" s="69">
        <v>45658.0</v>
      </c>
      <c r="I1392" s="78" t="s">
        <v>337</v>
      </c>
      <c r="J1392" s="78"/>
      <c r="K1392" s="79"/>
      <c r="L1392" s="80"/>
      <c r="M1392" s="81"/>
    </row>
    <row r="1393">
      <c r="A1393" s="75" t="s">
        <v>3550</v>
      </c>
      <c r="B1393" s="75" t="s">
        <v>319</v>
      </c>
      <c r="C1393" s="75" t="s">
        <v>321</v>
      </c>
      <c r="D1393" s="75">
        <v>2023.0</v>
      </c>
      <c r="E1393" s="75">
        <v>8.60369053345714E14</v>
      </c>
      <c r="F1393" s="76" t="s">
        <v>326</v>
      </c>
      <c r="G1393" s="68" t="s">
        <v>328</v>
      </c>
      <c r="H1393" s="69">
        <v>45658.0</v>
      </c>
      <c r="I1393" s="78" t="s">
        <v>337</v>
      </c>
      <c r="J1393" s="78"/>
      <c r="K1393" s="79"/>
      <c r="L1393" s="80"/>
      <c r="M1393" s="81"/>
    </row>
    <row r="1394">
      <c r="A1394" s="75" t="s">
        <v>3551</v>
      </c>
      <c r="B1394" s="75" t="s">
        <v>319</v>
      </c>
      <c r="C1394" s="75" t="s">
        <v>321</v>
      </c>
      <c r="D1394" s="75">
        <v>2023.0</v>
      </c>
      <c r="E1394" s="75">
        <v>8.60369054413941E14</v>
      </c>
      <c r="F1394" s="76" t="s">
        <v>326</v>
      </c>
      <c r="G1394" s="68" t="s">
        <v>328</v>
      </c>
      <c r="H1394" s="69">
        <v>45658.0</v>
      </c>
      <c r="I1394" s="78" t="s">
        <v>337</v>
      </c>
      <c r="J1394" s="78"/>
      <c r="K1394" s="79"/>
      <c r="L1394" s="80"/>
      <c r="M1394" s="81"/>
    </row>
    <row r="1395">
      <c r="A1395" s="75" t="s">
        <v>3552</v>
      </c>
      <c r="B1395" s="75" t="s">
        <v>319</v>
      </c>
      <c r="C1395" s="75" t="s">
        <v>321</v>
      </c>
      <c r="D1395" s="75">
        <v>2023.0</v>
      </c>
      <c r="E1395" s="75">
        <v>8.60369052696216E14</v>
      </c>
      <c r="F1395" s="76" t="s">
        <v>326</v>
      </c>
      <c r="G1395" s="68" t="s">
        <v>328</v>
      </c>
      <c r="H1395" s="69">
        <v>45658.0</v>
      </c>
      <c r="I1395" s="78" t="s">
        <v>337</v>
      </c>
      <c r="J1395" s="78"/>
      <c r="K1395" s="79"/>
      <c r="L1395" s="80"/>
      <c r="M1395" s="81"/>
    </row>
    <row r="1396">
      <c r="A1396" s="75" t="s">
        <v>3553</v>
      </c>
      <c r="B1396" s="75" t="s">
        <v>319</v>
      </c>
      <c r="C1396" s="75" t="s">
        <v>321</v>
      </c>
      <c r="D1396" s="75">
        <v>2023.0</v>
      </c>
      <c r="E1396" s="75">
        <v>8.6036905416012E14</v>
      </c>
      <c r="F1396" s="76" t="s">
        <v>326</v>
      </c>
      <c r="G1396" s="68" t="s">
        <v>328</v>
      </c>
      <c r="H1396" s="69">
        <v>45658.0</v>
      </c>
      <c r="I1396" s="78" t="s">
        <v>337</v>
      </c>
      <c r="J1396" s="78"/>
      <c r="K1396" s="79"/>
      <c r="L1396" s="80"/>
      <c r="M1396" s="81"/>
    </row>
    <row r="1397">
      <c r="A1397" s="75" t="s">
        <v>3554</v>
      </c>
      <c r="B1397" s="75" t="s">
        <v>319</v>
      </c>
      <c r="C1397" s="75" t="s">
        <v>321</v>
      </c>
      <c r="D1397" s="75">
        <v>2023.0</v>
      </c>
      <c r="E1397" s="75">
        <v>8.60369052696083E14</v>
      </c>
      <c r="F1397" s="76" t="s">
        <v>326</v>
      </c>
      <c r="G1397" s="68" t="s">
        <v>328</v>
      </c>
      <c r="H1397" s="69">
        <v>45658.0</v>
      </c>
      <c r="I1397" s="78" t="s">
        <v>337</v>
      </c>
      <c r="J1397" s="78"/>
      <c r="K1397" s="79"/>
      <c r="L1397" s="80"/>
      <c r="M1397" s="81"/>
    </row>
    <row r="1398">
      <c r="A1398" s="75" t="s">
        <v>3555</v>
      </c>
      <c r="B1398" s="75" t="s">
        <v>319</v>
      </c>
      <c r="C1398" s="75" t="s">
        <v>321</v>
      </c>
      <c r="D1398" s="75">
        <v>2023.0</v>
      </c>
      <c r="E1398" s="75">
        <v>8.60369054405095E14</v>
      </c>
      <c r="F1398" s="76" t="s">
        <v>326</v>
      </c>
      <c r="G1398" s="68" t="s">
        <v>328</v>
      </c>
      <c r="H1398" s="69">
        <v>45658.0</v>
      </c>
      <c r="I1398" s="78" t="s">
        <v>337</v>
      </c>
      <c r="J1398" s="78"/>
      <c r="K1398" s="79"/>
      <c r="L1398" s="80"/>
      <c r="M1398" s="81"/>
    </row>
    <row r="1399">
      <c r="A1399" s="75" t="s">
        <v>3556</v>
      </c>
      <c r="B1399" s="75" t="s">
        <v>319</v>
      </c>
      <c r="C1399" s="75" t="s">
        <v>321</v>
      </c>
      <c r="D1399" s="75">
        <v>2023.0</v>
      </c>
      <c r="E1399" s="75">
        <v>8.6036905417059E14</v>
      </c>
      <c r="F1399" s="76" t="s">
        <v>326</v>
      </c>
      <c r="G1399" s="68" t="s">
        <v>328</v>
      </c>
      <c r="H1399" s="69">
        <v>45658.0</v>
      </c>
      <c r="I1399" s="78" t="s">
        <v>337</v>
      </c>
      <c r="J1399" s="78"/>
      <c r="K1399" s="79"/>
      <c r="L1399" s="80"/>
      <c r="M1399" s="81"/>
    </row>
    <row r="1400">
      <c r="A1400" s="75" t="s">
        <v>3557</v>
      </c>
      <c r="B1400" s="75" t="s">
        <v>319</v>
      </c>
      <c r="C1400" s="75" t="s">
        <v>321</v>
      </c>
      <c r="D1400" s="75">
        <v>2023.0</v>
      </c>
      <c r="E1400" s="75">
        <v>8.60369054169253E14</v>
      </c>
      <c r="F1400" s="76" t="s">
        <v>326</v>
      </c>
      <c r="G1400" s="68" t="s">
        <v>328</v>
      </c>
      <c r="H1400" s="69">
        <v>45658.0</v>
      </c>
      <c r="I1400" s="78" t="s">
        <v>337</v>
      </c>
      <c r="J1400" s="78"/>
      <c r="K1400" s="79"/>
      <c r="L1400" s="80"/>
      <c r="M1400" s="81"/>
    </row>
    <row r="1401">
      <c r="A1401" s="75" t="s">
        <v>3558</v>
      </c>
      <c r="B1401" s="75" t="s">
        <v>319</v>
      </c>
      <c r="C1401" s="75" t="s">
        <v>321</v>
      </c>
      <c r="D1401" s="75">
        <v>2023.0</v>
      </c>
      <c r="E1401" s="75">
        <v>8.60369052173273E14</v>
      </c>
      <c r="F1401" s="76" t="s">
        <v>326</v>
      </c>
      <c r="G1401" s="68" t="s">
        <v>328</v>
      </c>
      <c r="H1401" s="69">
        <v>45658.0</v>
      </c>
      <c r="I1401" s="78" t="s">
        <v>337</v>
      </c>
      <c r="J1401" s="78"/>
      <c r="K1401" s="79"/>
      <c r="L1401" s="80"/>
      <c r="M1401" s="81"/>
    </row>
    <row r="1402">
      <c r="A1402" s="75" t="s">
        <v>3559</v>
      </c>
      <c r="B1402" s="75" t="s">
        <v>319</v>
      </c>
      <c r="C1402" s="75" t="s">
        <v>1501</v>
      </c>
      <c r="D1402" s="75">
        <v>2021.0</v>
      </c>
      <c r="E1402" s="75">
        <v>8.60369052696323E14</v>
      </c>
      <c r="F1402" s="76" t="s">
        <v>326</v>
      </c>
      <c r="G1402" s="68" t="s">
        <v>328</v>
      </c>
      <c r="H1402" s="69">
        <v>45658.0</v>
      </c>
      <c r="I1402" s="78" t="s">
        <v>337</v>
      </c>
      <c r="J1402" s="78"/>
      <c r="K1402" s="79"/>
      <c r="L1402" s="80"/>
      <c r="M1402" s="81"/>
    </row>
    <row r="1403">
      <c r="A1403" s="75" t="s">
        <v>3560</v>
      </c>
      <c r="B1403" s="75" t="s">
        <v>319</v>
      </c>
      <c r="C1403" s="75" t="s">
        <v>1501</v>
      </c>
      <c r="D1403" s="75">
        <v>2021.0</v>
      </c>
      <c r="E1403" s="75">
        <v>8.6036905242781E14</v>
      </c>
      <c r="F1403" s="76" t="s">
        <v>326</v>
      </c>
      <c r="G1403" s="68" t="s">
        <v>328</v>
      </c>
      <c r="H1403" s="69">
        <v>45658.0</v>
      </c>
      <c r="I1403" s="78" t="s">
        <v>337</v>
      </c>
      <c r="J1403" s="78"/>
      <c r="K1403" s="79"/>
      <c r="L1403" s="80"/>
      <c r="M1403" s="81"/>
    </row>
    <row r="1404">
      <c r="A1404" s="75" t="s">
        <v>3561</v>
      </c>
      <c r="B1404" s="75" t="s">
        <v>319</v>
      </c>
      <c r="C1404" s="75" t="s">
        <v>1501</v>
      </c>
      <c r="D1404" s="75">
        <v>2021.0</v>
      </c>
      <c r="E1404" s="75">
        <v>8.60369052707146E14</v>
      </c>
      <c r="F1404" s="76" t="s">
        <v>326</v>
      </c>
      <c r="G1404" s="68" t="s">
        <v>328</v>
      </c>
      <c r="H1404" s="69">
        <v>45658.0</v>
      </c>
      <c r="I1404" s="78" t="s">
        <v>337</v>
      </c>
      <c r="J1404" s="78"/>
      <c r="K1404" s="79"/>
      <c r="L1404" s="80"/>
      <c r="M1404" s="81"/>
    </row>
    <row r="1405">
      <c r="A1405" s="75" t="s">
        <v>3562</v>
      </c>
      <c r="B1405" s="75" t="s">
        <v>319</v>
      </c>
      <c r="C1405" s="75" t="s">
        <v>1501</v>
      </c>
      <c r="D1405" s="75">
        <v>2021.0</v>
      </c>
      <c r="E1405" s="75">
        <v>8.60369052689294E14</v>
      </c>
      <c r="F1405" s="76" t="s">
        <v>326</v>
      </c>
      <c r="G1405" s="68" t="s">
        <v>328</v>
      </c>
      <c r="H1405" s="69">
        <v>45658.0</v>
      </c>
      <c r="I1405" s="78" t="s">
        <v>337</v>
      </c>
      <c r="J1405" s="78"/>
      <c r="K1405" s="79"/>
      <c r="L1405" s="80"/>
      <c r="M1405" s="81"/>
    </row>
    <row r="1406">
      <c r="A1406" s="75" t="s">
        <v>3563</v>
      </c>
      <c r="B1406" s="75" t="s">
        <v>319</v>
      </c>
      <c r="C1406" s="75" t="s">
        <v>1501</v>
      </c>
      <c r="D1406" s="75">
        <v>2021.0</v>
      </c>
      <c r="E1406" s="75">
        <v>8.60369054170145E14</v>
      </c>
      <c r="F1406" s="76" t="s">
        <v>326</v>
      </c>
      <c r="G1406" s="68" t="s">
        <v>328</v>
      </c>
      <c r="H1406" s="69">
        <v>45658.0</v>
      </c>
      <c r="I1406" s="78" t="s">
        <v>337</v>
      </c>
      <c r="J1406" s="78"/>
      <c r="K1406" s="79"/>
      <c r="L1406" s="80"/>
      <c r="M1406" s="81"/>
    </row>
    <row r="1407">
      <c r="A1407" s="75" t="s">
        <v>3564</v>
      </c>
      <c r="B1407" s="75" t="s">
        <v>319</v>
      </c>
      <c r="C1407" s="75" t="s">
        <v>1501</v>
      </c>
      <c r="D1407" s="75">
        <v>2021.0</v>
      </c>
      <c r="E1407" s="75">
        <v>8.6036905270137E14</v>
      </c>
      <c r="F1407" s="76" t="s">
        <v>326</v>
      </c>
      <c r="G1407" s="68" t="s">
        <v>328</v>
      </c>
      <c r="H1407" s="69">
        <v>45658.0</v>
      </c>
      <c r="I1407" s="78" t="s">
        <v>337</v>
      </c>
      <c r="J1407" s="78"/>
      <c r="K1407" s="79"/>
      <c r="L1407" s="80"/>
      <c r="M1407" s="81"/>
    </row>
    <row r="1408">
      <c r="A1408" s="75" t="s">
        <v>3565</v>
      </c>
      <c r="B1408" s="75" t="s">
        <v>319</v>
      </c>
      <c r="C1408" s="75" t="s">
        <v>1501</v>
      </c>
      <c r="D1408" s="75">
        <v>2021.0</v>
      </c>
      <c r="E1408" s="75">
        <v>8.60369052411525E14</v>
      </c>
      <c r="F1408" s="76" t="s">
        <v>326</v>
      </c>
      <c r="G1408" s="68" t="s">
        <v>328</v>
      </c>
      <c r="H1408" s="69">
        <v>45658.0</v>
      </c>
      <c r="I1408" s="78" t="s">
        <v>337</v>
      </c>
      <c r="J1408" s="78"/>
      <c r="K1408" s="79"/>
      <c r="L1408" s="80"/>
      <c r="M1408" s="81"/>
    </row>
    <row r="1409">
      <c r="A1409" s="75" t="s">
        <v>3566</v>
      </c>
      <c r="B1409" s="75" t="s">
        <v>319</v>
      </c>
      <c r="C1409" s="75" t="s">
        <v>1501</v>
      </c>
      <c r="D1409" s="75">
        <v>2021.0</v>
      </c>
      <c r="E1409" s="75">
        <v>8.60369054179237E14</v>
      </c>
      <c r="F1409" s="76" t="s">
        <v>326</v>
      </c>
      <c r="G1409" s="68" t="s">
        <v>328</v>
      </c>
      <c r="H1409" s="69">
        <v>45658.0</v>
      </c>
      <c r="I1409" s="78" t="s">
        <v>337</v>
      </c>
      <c r="J1409" s="78"/>
      <c r="K1409" s="79"/>
      <c r="L1409" s="80"/>
      <c r="M1409" s="81"/>
    </row>
    <row r="1410">
      <c r="A1410" s="75" t="s">
        <v>3567</v>
      </c>
      <c r="B1410" s="75" t="s">
        <v>319</v>
      </c>
      <c r="C1410" s="75" t="s">
        <v>1501</v>
      </c>
      <c r="D1410" s="75">
        <v>2021.0</v>
      </c>
      <c r="E1410" s="75">
        <v>8.60369052433594E14</v>
      </c>
      <c r="F1410" s="76" t="s">
        <v>326</v>
      </c>
      <c r="G1410" s="68" t="s">
        <v>328</v>
      </c>
      <c r="H1410" s="69">
        <v>45658.0</v>
      </c>
      <c r="I1410" s="78" t="s">
        <v>337</v>
      </c>
      <c r="J1410" s="78"/>
      <c r="K1410" s="79"/>
      <c r="L1410" s="80"/>
      <c r="M1410" s="81"/>
    </row>
    <row r="1411">
      <c r="A1411" s="75" t="s">
        <v>3568</v>
      </c>
      <c r="B1411" s="75" t="s">
        <v>319</v>
      </c>
      <c r="C1411" s="75" t="s">
        <v>1501</v>
      </c>
      <c r="D1411" s="75">
        <v>2021.0</v>
      </c>
      <c r="E1411" s="75">
        <v>8.60369052698683E14</v>
      </c>
      <c r="F1411" s="76" t="s">
        <v>326</v>
      </c>
      <c r="G1411" s="68" t="s">
        <v>328</v>
      </c>
      <c r="H1411" s="69">
        <v>45658.0</v>
      </c>
      <c r="I1411" s="78" t="s">
        <v>337</v>
      </c>
      <c r="J1411" s="78"/>
      <c r="K1411" s="79"/>
      <c r="L1411" s="80"/>
      <c r="M1411" s="81"/>
    </row>
    <row r="1412">
      <c r="A1412" s="75" t="s">
        <v>3569</v>
      </c>
      <c r="B1412" s="75" t="s">
        <v>319</v>
      </c>
      <c r="C1412" s="75" t="s">
        <v>1501</v>
      </c>
      <c r="D1412" s="75">
        <v>2021.0</v>
      </c>
      <c r="E1412" s="75">
        <v>8.60369054156979E14</v>
      </c>
      <c r="F1412" s="76" t="s">
        <v>326</v>
      </c>
      <c r="G1412" s="68" t="s">
        <v>328</v>
      </c>
      <c r="H1412" s="69">
        <v>45658.0</v>
      </c>
      <c r="I1412" s="78" t="s">
        <v>337</v>
      </c>
      <c r="J1412" s="78"/>
      <c r="K1412" s="79"/>
      <c r="L1412" s="80"/>
      <c r="M1412" s="81"/>
    </row>
    <row r="1413">
      <c r="A1413" s="75" t="s">
        <v>3570</v>
      </c>
      <c r="B1413" s="75" t="s">
        <v>319</v>
      </c>
      <c r="C1413" s="75" t="s">
        <v>1501</v>
      </c>
      <c r="D1413" s="75">
        <v>2021.0</v>
      </c>
      <c r="E1413" s="75">
        <v>8.60369052435052E14</v>
      </c>
      <c r="F1413" s="76" t="s">
        <v>326</v>
      </c>
      <c r="G1413" s="68" t="s">
        <v>328</v>
      </c>
      <c r="H1413" s="69">
        <v>45658.0</v>
      </c>
      <c r="I1413" s="78" t="s">
        <v>337</v>
      </c>
      <c r="J1413" s="78"/>
      <c r="K1413" s="79"/>
      <c r="L1413" s="80"/>
      <c r="M1413" s="81"/>
    </row>
    <row r="1414">
      <c r="A1414" s="75" t="s">
        <v>3571</v>
      </c>
      <c r="B1414" s="75" t="s">
        <v>319</v>
      </c>
      <c r="C1414" s="75" t="s">
        <v>1501</v>
      </c>
      <c r="D1414" s="75">
        <v>2021.0</v>
      </c>
      <c r="E1414" s="75">
        <v>8.60369052433321E14</v>
      </c>
      <c r="F1414" s="76" t="s">
        <v>326</v>
      </c>
      <c r="G1414" s="68" t="s">
        <v>328</v>
      </c>
      <c r="H1414" s="69">
        <v>45658.0</v>
      </c>
      <c r="I1414" s="78" t="s">
        <v>337</v>
      </c>
      <c r="J1414" s="78"/>
      <c r="K1414" s="79"/>
      <c r="L1414" s="80"/>
      <c r="M1414" s="81"/>
    </row>
    <row r="1415">
      <c r="A1415" s="75" t="s">
        <v>3572</v>
      </c>
      <c r="B1415" s="75" t="s">
        <v>319</v>
      </c>
      <c r="C1415" s="75" t="s">
        <v>1501</v>
      </c>
      <c r="D1415" s="75">
        <v>2021.0</v>
      </c>
      <c r="E1415" s="75">
        <v>8.60369052696638E14</v>
      </c>
      <c r="F1415" s="76" t="s">
        <v>326</v>
      </c>
      <c r="G1415" s="68" t="s">
        <v>328</v>
      </c>
      <c r="H1415" s="69">
        <v>45658.0</v>
      </c>
      <c r="I1415" s="78" t="s">
        <v>337</v>
      </c>
      <c r="J1415" s="78"/>
      <c r="K1415" s="79"/>
      <c r="L1415" s="80"/>
      <c r="M1415" s="81"/>
    </row>
    <row r="1416">
      <c r="A1416" s="75" t="s">
        <v>3573</v>
      </c>
      <c r="B1416" s="75" t="s">
        <v>319</v>
      </c>
      <c r="C1416" s="75" t="s">
        <v>321</v>
      </c>
      <c r="D1416" s="75">
        <v>2022.0</v>
      </c>
      <c r="E1416" s="75">
        <v>8.60369054155922E14</v>
      </c>
      <c r="F1416" s="76" t="s">
        <v>326</v>
      </c>
      <c r="G1416" s="68" t="s">
        <v>328</v>
      </c>
      <c r="H1416" s="69">
        <v>45658.0</v>
      </c>
      <c r="I1416" s="78" t="s">
        <v>337</v>
      </c>
      <c r="J1416" s="78"/>
      <c r="K1416" s="79"/>
      <c r="L1416" s="80"/>
      <c r="M1416" s="81"/>
    </row>
    <row r="1417">
      <c r="A1417" s="75" t="s">
        <v>3574</v>
      </c>
      <c r="B1417" s="75" t="s">
        <v>319</v>
      </c>
      <c r="C1417" s="75" t="s">
        <v>1346</v>
      </c>
      <c r="D1417" s="75">
        <v>2023.0</v>
      </c>
      <c r="E1417" s="75">
        <v>8.60369054412216E14</v>
      </c>
      <c r="F1417" s="76" t="s">
        <v>326</v>
      </c>
      <c r="G1417" s="68" t="s">
        <v>328</v>
      </c>
      <c r="H1417" s="69">
        <v>45658.0</v>
      </c>
      <c r="I1417" s="78" t="s">
        <v>337</v>
      </c>
      <c r="J1417" s="78"/>
      <c r="K1417" s="79"/>
      <c r="L1417" s="80"/>
      <c r="M1417" s="81"/>
    </row>
    <row r="1418">
      <c r="A1418" s="75" t="s">
        <v>3575</v>
      </c>
      <c r="B1418" s="75" t="s">
        <v>319</v>
      </c>
      <c r="C1418" s="75" t="s">
        <v>1346</v>
      </c>
      <c r="D1418" s="75">
        <v>2023.0</v>
      </c>
      <c r="E1418" s="75">
        <v>8.60369052706395E14</v>
      </c>
      <c r="F1418" s="76" t="s">
        <v>326</v>
      </c>
      <c r="G1418" s="68" t="s">
        <v>328</v>
      </c>
      <c r="H1418" s="69">
        <v>45658.0</v>
      </c>
      <c r="I1418" s="78" t="s">
        <v>337</v>
      </c>
      <c r="J1418" s="78"/>
      <c r="K1418" s="79"/>
      <c r="L1418" s="80"/>
      <c r="M1418" s="81"/>
    </row>
    <row r="1419">
      <c r="A1419" s="75" t="s">
        <v>3576</v>
      </c>
      <c r="B1419" s="75" t="s">
        <v>319</v>
      </c>
      <c r="C1419" s="75" t="s">
        <v>1346</v>
      </c>
      <c r="D1419" s="75">
        <v>2023.0</v>
      </c>
      <c r="E1419" s="75">
        <v>8.60369054158462E14</v>
      </c>
      <c r="F1419" s="76" t="s">
        <v>326</v>
      </c>
      <c r="G1419" s="68" t="s">
        <v>328</v>
      </c>
      <c r="H1419" s="69">
        <v>45658.0</v>
      </c>
      <c r="I1419" s="78" t="s">
        <v>337</v>
      </c>
      <c r="J1419" s="78"/>
      <c r="K1419" s="79"/>
      <c r="L1419" s="80"/>
      <c r="M1419" s="81"/>
    </row>
    <row r="1420">
      <c r="A1420" s="75" t="s">
        <v>3577</v>
      </c>
      <c r="B1420" s="75" t="s">
        <v>319</v>
      </c>
      <c r="C1420" s="75" t="s">
        <v>1346</v>
      </c>
      <c r="D1420" s="75">
        <v>2023.0</v>
      </c>
      <c r="E1420" s="75">
        <v>8.60369052696034E14</v>
      </c>
      <c r="F1420" s="76" t="s">
        <v>326</v>
      </c>
      <c r="G1420" s="68" t="s">
        <v>328</v>
      </c>
      <c r="H1420" s="69">
        <v>45658.0</v>
      </c>
      <c r="I1420" s="78" t="s">
        <v>337</v>
      </c>
      <c r="J1420" s="78"/>
      <c r="K1420" s="79"/>
      <c r="L1420" s="80"/>
      <c r="M1420" s="81"/>
    </row>
    <row r="1421">
      <c r="A1421" s="75" t="s">
        <v>3578</v>
      </c>
      <c r="B1421" s="75" t="s">
        <v>319</v>
      </c>
      <c r="C1421" s="75" t="s">
        <v>1346</v>
      </c>
      <c r="D1421" s="75">
        <v>2023.0</v>
      </c>
      <c r="E1421" s="75">
        <v>8.60369054412745E14</v>
      </c>
      <c r="F1421" s="76" t="s">
        <v>326</v>
      </c>
      <c r="G1421" s="68" t="s">
        <v>328</v>
      </c>
      <c r="H1421" s="69">
        <v>45658.0</v>
      </c>
      <c r="I1421" s="78" t="s">
        <v>337</v>
      </c>
      <c r="J1421" s="78"/>
      <c r="K1421" s="79"/>
      <c r="L1421" s="80"/>
      <c r="M1421" s="81"/>
    </row>
    <row r="1422">
      <c r="A1422" s="75" t="s">
        <v>3579</v>
      </c>
      <c r="B1422" s="75" t="s">
        <v>319</v>
      </c>
      <c r="C1422" s="75" t="s">
        <v>1346</v>
      </c>
      <c r="D1422" s="75">
        <v>2023.0</v>
      </c>
      <c r="E1422" s="75">
        <v>8.60369054413644E14</v>
      </c>
      <c r="F1422" s="76" t="s">
        <v>326</v>
      </c>
      <c r="G1422" s="68" t="s">
        <v>328</v>
      </c>
      <c r="H1422" s="69">
        <v>45658.0</v>
      </c>
      <c r="I1422" s="78" t="s">
        <v>337</v>
      </c>
      <c r="J1422" s="78"/>
      <c r="K1422" s="79"/>
      <c r="L1422" s="80"/>
      <c r="M1422" s="81"/>
    </row>
    <row r="1423">
      <c r="A1423" s="75" t="s">
        <v>3580</v>
      </c>
      <c r="B1423" s="75" t="s">
        <v>319</v>
      </c>
      <c r="C1423" s="75" t="s">
        <v>1346</v>
      </c>
      <c r="D1423" s="75">
        <v>2023.0</v>
      </c>
      <c r="E1423" s="75">
        <v>8.60369054161201E14</v>
      </c>
      <c r="F1423" s="76" t="s">
        <v>326</v>
      </c>
      <c r="G1423" s="68" t="s">
        <v>328</v>
      </c>
      <c r="H1423" s="69">
        <v>45658.0</v>
      </c>
      <c r="I1423" s="78" t="s">
        <v>337</v>
      </c>
      <c r="J1423" s="78"/>
      <c r="K1423" s="79"/>
      <c r="L1423" s="80"/>
      <c r="M1423" s="81"/>
    </row>
    <row r="1424">
      <c r="A1424" s="75" t="s">
        <v>3581</v>
      </c>
      <c r="B1424" s="75" t="s">
        <v>319</v>
      </c>
      <c r="C1424" s="75" t="s">
        <v>1346</v>
      </c>
      <c r="D1424" s="75">
        <v>2023.0</v>
      </c>
      <c r="E1424" s="75">
        <v>8.60369054179955E14</v>
      </c>
      <c r="F1424" s="76" t="s">
        <v>326</v>
      </c>
      <c r="G1424" s="68" t="s">
        <v>328</v>
      </c>
      <c r="H1424" s="69">
        <v>45658.0</v>
      </c>
      <c r="I1424" s="78" t="s">
        <v>337</v>
      </c>
      <c r="J1424" s="78"/>
      <c r="K1424" s="79"/>
      <c r="L1424" s="80"/>
      <c r="M1424" s="81"/>
    </row>
    <row r="1425">
      <c r="A1425" s="75" t="s">
        <v>3582</v>
      </c>
      <c r="B1425" s="75" t="s">
        <v>319</v>
      </c>
      <c r="C1425" s="75" t="s">
        <v>1346</v>
      </c>
      <c r="D1425" s="75">
        <v>2023.0</v>
      </c>
      <c r="E1425" s="75">
        <v>8.6036905416583E14</v>
      </c>
      <c r="F1425" s="76" t="s">
        <v>326</v>
      </c>
      <c r="G1425" s="68" t="s">
        <v>328</v>
      </c>
      <c r="H1425" s="69">
        <v>45658.0</v>
      </c>
      <c r="I1425" s="78" t="s">
        <v>337</v>
      </c>
      <c r="J1425" s="78"/>
      <c r="K1425" s="79"/>
      <c r="L1425" s="80"/>
      <c r="M1425" s="81"/>
    </row>
    <row r="1426">
      <c r="A1426" s="75" t="s">
        <v>3583</v>
      </c>
      <c r="B1426" s="75" t="s">
        <v>319</v>
      </c>
      <c r="C1426" s="75" t="s">
        <v>1346</v>
      </c>
      <c r="D1426" s="75">
        <v>2023.0</v>
      </c>
      <c r="E1426" s="75">
        <v>8.60369052406905E14</v>
      </c>
      <c r="F1426" s="76" t="s">
        <v>398</v>
      </c>
      <c r="G1426" s="68" t="s">
        <v>328</v>
      </c>
      <c r="H1426" s="69">
        <v>45658.0</v>
      </c>
      <c r="I1426" s="78" t="s">
        <v>337</v>
      </c>
      <c r="J1426" s="78"/>
      <c r="K1426" s="79"/>
      <c r="L1426" s="80"/>
      <c r="M1426" s="81"/>
    </row>
    <row r="1427">
      <c r="A1427" s="75" t="s">
        <v>3584</v>
      </c>
      <c r="B1427" s="75" t="s">
        <v>319</v>
      </c>
      <c r="C1427" s="75" t="s">
        <v>1346</v>
      </c>
      <c r="D1427" s="75">
        <v>2023.0</v>
      </c>
      <c r="E1427" s="75">
        <v>8.60369054154644E14</v>
      </c>
      <c r="F1427" s="76" t="s">
        <v>326</v>
      </c>
      <c r="G1427" s="68" t="s">
        <v>328</v>
      </c>
      <c r="H1427" s="69">
        <v>45658.0</v>
      </c>
      <c r="I1427" s="78" t="s">
        <v>337</v>
      </c>
      <c r="J1427" s="78"/>
      <c r="K1427" s="79"/>
      <c r="L1427" s="80"/>
      <c r="M1427" s="81"/>
    </row>
    <row r="1428">
      <c r="A1428" s="75" t="s">
        <v>3585</v>
      </c>
      <c r="B1428" s="75" t="s">
        <v>319</v>
      </c>
      <c r="C1428" s="75" t="s">
        <v>1346</v>
      </c>
      <c r="D1428" s="75">
        <v>2023.0</v>
      </c>
      <c r="E1428" s="75">
        <v>8.60369054163496E14</v>
      </c>
      <c r="F1428" s="76" t="s">
        <v>326</v>
      </c>
      <c r="G1428" s="68" t="s">
        <v>328</v>
      </c>
      <c r="H1428" s="69">
        <v>45658.0</v>
      </c>
      <c r="I1428" s="78" t="s">
        <v>337</v>
      </c>
      <c r="J1428" s="78"/>
      <c r="K1428" s="79"/>
      <c r="L1428" s="80"/>
      <c r="M1428" s="81"/>
    </row>
    <row r="1429">
      <c r="A1429" s="75" t="s">
        <v>3586</v>
      </c>
      <c r="B1429" s="75" t="s">
        <v>319</v>
      </c>
      <c r="C1429" s="75" t="s">
        <v>1346</v>
      </c>
      <c r="D1429" s="75">
        <v>2023.0</v>
      </c>
      <c r="E1429" s="75">
        <v>8.60369054151681E14</v>
      </c>
      <c r="F1429" s="76" t="s">
        <v>326</v>
      </c>
      <c r="G1429" s="68" t="s">
        <v>328</v>
      </c>
      <c r="H1429" s="69">
        <v>45658.0</v>
      </c>
      <c r="I1429" s="78" t="s">
        <v>337</v>
      </c>
      <c r="J1429" s="78"/>
      <c r="K1429" s="79"/>
      <c r="L1429" s="80"/>
      <c r="M1429" s="81"/>
    </row>
    <row r="1430">
      <c r="A1430" s="75" t="s">
        <v>3587</v>
      </c>
      <c r="B1430" s="75" t="s">
        <v>319</v>
      </c>
      <c r="C1430" s="75" t="s">
        <v>1346</v>
      </c>
      <c r="D1430" s="75">
        <v>2023.0</v>
      </c>
      <c r="E1430" s="75">
        <v>8.60369052701867E14</v>
      </c>
      <c r="F1430" s="76" t="s">
        <v>326</v>
      </c>
      <c r="G1430" s="68" t="s">
        <v>328</v>
      </c>
      <c r="H1430" s="69">
        <v>45658.0</v>
      </c>
      <c r="I1430" s="78" t="s">
        <v>337</v>
      </c>
      <c r="J1430" s="78"/>
      <c r="K1430" s="79"/>
      <c r="L1430" s="110" t="s">
        <v>3588</v>
      </c>
      <c r="M1430" s="81"/>
    </row>
    <row r="1431">
      <c r="A1431" s="75" t="s">
        <v>3589</v>
      </c>
      <c r="B1431" s="75" t="s">
        <v>319</v>
      </c>
      <c r="C1431" s="75" t="s">
        <v>1346</v>
      </c>
      <c r="D1431" s="75">
        <v>2023.0</v>
      </c>
      <c r="E1431" s="75">
        <v>8.60369054120397E14</v>
      </c>
      <c r="F1431" s="76" t="s">
        <v>326</v>
      </c>
      <c r="G1431" s="68" t="s">
        <v>328</v>
      </c>
      <c r="H1431" s="69">
        <v>45658.0</v>
      </c>
      <c r="I1431" s="78" t="s">
        <v>337</v>
      </c>
      <c r="J1431" s="78"/>
      <c r="K1431" s="79"/>
      <c r="L1431" s="80"/>
      <c r="M1431" s="81"/>
    </row>
    <row r="1432">
      <c r="A1432" s="75" t="s">
        <v>3590</v>
      </c>
      <c r="B1432" s="75" t="s">
        <v>319</v>
      </c>
      <c r="C1432" s="75" t="s">
        <v>1346</v>
      </c>
      <c r="D1432" s="75">
        <v>2023.0</v>
      </c>
      <c r="E1432" s="75">
        <v>8.60369052432778E14</v>
      </c>
      <c r="F1432" s="76" t="s">
        <v>326</v>
      </c>
      <c r="G1432" s="68" t="s">
        <v>328</v>
      </c>
      <c r="H1432" s="69">
        <v>45658.0</v>
      </c>
      <c r="I1432" s="78" t="s">
        <v>337</v>
      </c>
      <c r="J1432" s="78"/>
      <c r="K1432" s="79"/>
      <c r="L1432" s="80"/>
      <c r="M1432" s="81"/>
    </row>
    <row r="1433">
      <c r="A1433" s="75" t="s">
        <v>3591</v>
      </c>
      <c r="B1433" s="75" t="s">
        <v>319</v>
      </c>
      <c r="C1433" s="75" t="s">
        <v>1346</v>
      </c>
      <c r="D1433" s="75">
        <v>2023.0</v>
      </c>
      <c r="E1433" s="75">
        <v>8.60369052706684E14</v>
      </c>
      <c r="F1433" s="76" t="s">
        <v>326</v>
      </c>
      <c r="G1433" s="68" t="s">
        <v>328</v>
      </c>
      <c r="H1433" s="69">
        <v>45658.0</v>
      </c>
      <c r="I1433" s="78" t="s">
        <v>337</v>
      </c>
      <c r="J1433" s="78"/>
      <c r="K1433" s="79"/>
      <c r="L1433" s="80"/>
      <c r="M1433" s="81"/>
    </row>
    <row r="1434">
      <c r="A1434" s="75" t="s">
        <v>3592</v>
      </c>
      <c r="B1434" s="75" t="s">
        <v>319</v>
      </c>
      <c r="C1434" s="75" t="s">
        <v>1346</v>
      </c>
      <c r="D1434" s="75">
        <v>2023.0</v>
      </c>
      <c r="E1434" s="75">
        <v>8.6036905418501E14</v>
      </c>
      <c r="F1434" s="76" t="s">
        <v>326</v>
      </c>
      <c r="G1434" s="68" t="s">
        <v>328</v>
      </c>
      <c r="H1434" s="69">
        <v>45658.0</v>
      </c>
      <c r="I1434" s="78" t="s">
        <v>337</v>
      </c>
      <c r="J1434" s="78"/>
      <c r="K1434" s="79"/>
      <c r="L1434" s="80"/>
      <c r="M1434" s="81"/>
    </row>
    <row r="1435">
      <c r="A1435" s="75" t="s">
        <v>3593</v>
      </c>
      <c r="B1435" s="75" t="s">
        <v>319</v>
      </c>
      <c r="C1435" s="75" t="s">
        <v>1346</v>
      </c>
      <c r="D1435" s="75">
        <v>2023.0</v>
      </c>
      <c r="E1435" s="75">
        <v>8.60369054406754E14</v>
      </c>
      <c r="F1435" s="76" t="s">
        <v>326</v>
      </c>
      <c r="G1435" s="68" t="s">
        <v>328</v>
      </c>
      <c r="H1435" s="69">
        <v>45658.0</v>
      </c>
      <c r="I1435" s="78" t="s">
        <v>337</v>
      </c>
      <c r="J1435" s="78"/>
      <c r="K1435" s="79"/>
      <c r="L1435" s="80"/>
      <c r="M1435" s="81"/>
    </row>
    <row r="1436">
      <c r="A1436" s="75" t="s">
        <v>3594</v>
      </c>
      <c r="B1436" s="75" t="s">
        <v>319</v>
      </c>
      <c r="C1436" s="75" t="s">
        <v>1346</v>
      </c>
      <c r="D1436" s="75">
        <v>2023.0</v>
      </c>
      <c r="E1436" s="75">
        <v>8.60369052168158E14</v>
      </c>
      <c r="F1436" s="76" t="s">
        <v>398</v>
      </c>
      <c r="G1436" s="68" t="s">
        <v>328</v>
      </c>
      <c r="H1436" s="69">
        <v>45658.0</v>
      </c>
      <c r="I1436" s="78" t="s">
        <v>337</v>
      </c>
      <c r="J1436" s="78"/>
      <c r="K1436" s="79"/>
      <c r="L1436" s="80"/>
      <c r="M1436" s="81"/>
    </row>
    <row r="1437">
      <c r="A1437" s="75" t="s">
        <v>3595</v>
      </c>
      <c r="B1437" s="75" t="s">
        <v>319</v>
      </c>
      <c r="C1437" s="75" t="s">
        <v>1346</v>
      </c>
      <c r="D1437" s="75">
        <v>2023.0</v>
      </c>
      <c r="E1437" s="75">
        <v>8.60369052703947E14</v>
      </c>
      <c r="F1437" s="76" t="s">
        <v>326</v>
      </c>
      <c r="G1437" s="68" t="s">
        <v>328</v>
      </c>
      <c r="H1437" s="69">
        <v>45658.0</v>
      </c>
      <c r="I1437" s="78" t="s">
        <v>337</v>
      </c>
      <c r="J1437" s="78"/>
      <c r="K1437" s="79"/>
      <c r="L1437" s="80"/>
      <c r="M1437" s="81"/>
    </row>
    <row r="1438">
      <c r="A1438" s="75" t="s">
        <v>3596</v>
      </c>
      <c r="B1438" s="75" t="s">
        <v>319</v>
      </c>
      <c r="C1438" s="75" t="s">
        <v>1346</v>
      </c>
      <c r="D1438" s="75">
        <v>2023.0</v>
      </c>
      <c r="E1438" s="75">
        <v>8.6036905241003E14</v>
      </c>
      <c r="F1438" s="76" t="s">
        <v>398</v>
      </c>
      <c r="G1438" s="68" t="s">
        <v>328</v>
      </c>
      <c r="H1438" s="69">
        <v>45658.0</v>
      </c>
      <c r="I1438" s="78" t="s">
        <v>337</v>
      </c>
      <c r="J1438" s="78"/>
      <c r="K1438" s="79"/>
      <c r="L1438" s="80"/>
      <c r="M1438" s="81"/>
    </row>
    <row r="1439">
      <c r="A1439" s="75" t="s">
        <v>3597</v>
      </c>
      <c r="B1439" s="75" t="s">
        <v>319</v>
      </c>
      <c r="C1439" s="75" t="s">
        <v>1346</v>
      </c>
      <c r="D1439" s="75">
        <v>2023.0</v>
      </c>
      <c r="E1439" s="75">
        <v>8.60369052176805E14</v>
      </c>
      <c r="F1439" s="76" t="s">
        <v>398</v>
      </c>
      <c r="G1439" s="68" t="s">
        <v>328</v>
      </c>
      <c r="H1439" s="69">
        <v>45658.0</v>
      </c>
      <c r="I1439" s="78" t="s">
        <v>337</v>
      </c>
      <c r="J1439" s="78"/>
      <c r="K1439" s="79"/>
      <c r="L1439" s="80"/>
      <c r="M1439" s="81"/>
    </row>
    <row r="1440">
      <c r="A1440" s="75" t="s">
        <v>3598</v>
      </c>
      <c r="B1440" s="75" t="s">
        <v>319</v>
      </c>
      <c r="C1440" s="75" t="s">
        <v>1346</v>
      </c>
      <c r="D1440" s="75">
        <v>2023.0</v>
      </c>
      <c r="E1440" s="75">
        <v>8.60369054156953E14</v>
      </c>
      <c r="F1440" s="76" t="s">
        <v>326</v>
      </c>
      <c r="G1440" s="68" t="s">
        <v>328</v>
      </c>
      <c r="H1440" s="69">
        <v>45658.0</v>
      </c>
      <c r="I1440" s="78" t="s">
        <v>337</v>
      </c>
      <c r="J1440" s="78"/>
      <c r="K1440" s="79"/>
      <c r="L1440" s="80"/>
      <c r="M1440" s="81"/>
    </row>
    <row r="1441">
      <c r="A1441" s="75" t="s">
        <v>3599</v>
      </c>
      <c r="B1441" s="75" t="s">
        <v>319</v>
      </c>
      <c r="C1441" s="75" t="s">
        <v>1346</v>
      </c>
      <c r="D1441" s="75">
        <v>2023.0</v>
      </c>
      <c r="E1441" s="75">
        <v>8.60369054171408E14</v>
      </c>
      <c r="F1441" s="76" t="s">
        <v>326</v>
      </c>
      <c r="G1441" s="68" t="s">
        <v>328</v>
      </c>
      <c r="H1441" s="69">
        <v>45658.0</v>
      </c>
      <c r="I1441" s="78" t="s">
        <v>337</v>
      </c>
      <c r="J1441" s="78"/>
      <c r="K1441" s="79"/>
      <c r="L1441" s="80"/>
      <c r="M1441" s="81"/>
    </row>
    <row r="1442">
      <c r="A1442" s="75" t="s">
        <v>3600</v>
      </c>
      <c r="B1442" s="75" t="s">
        <v>319</v>
      </c>
      <c r="C1442" s="75" t="s">
        <v>1346</v>
      </c>
      <c r="D1442" s="75">
        <v>2023.0</v>
      </c>
      <c r="E1442" s="75">
        <v>8.60369052702832E14</v>
      </c>
      <c r="F1442" s="76" t="s">
        <v>326</v>
      </c>
      <c r="G1442" s="68" t="s">
        <v>328</v>
      </c>
      <c r="H1442" s="69">
        <v>45658.0</v>
      </c>
      <c r="I1442" s="78" t="s">
        <v>337</v>
      </c>
      <c r="J1442" s="78"/>
      <c r="K1442" s="79"/>
      <c r="L1442" s="80"/>
      <c r="M1442" s="81"/>
    </row>
    <row r="1443">
      <c r="A1443" s="75" t="s">
        <v>3601</v>
      </c>
      <c r="B1443" s="75" t="s">
        <v>319</v>
      </c>
      <c r="C1443" s="75" t="s">
        <v>1346</v>
      </c>
      <c r="D1443" s="75">
        <v>2023.0</v>
      </c>
      <c r="E1443" s="75">
        <v>8.60369054407224E14</v>
      </c>
      <c r="F1443" s="76" t="s">
        <v>326</v>
      </c>
      <c r="G1443" s="68" t="s">
        <v>328</v>
      </c>
      <c r="H1443" s="69">
        <v>45658.0</v>
      </c>
      <c r="I1443" s="78" t="s">
        <v>337</v>
      </c>
      <c r="J1443" s="78"/>
      <c r="K1443" s="79"/>
      <c r="L1443" s="80"/>
      <c r="M1443" s="81"/>
    </row>
    <row r="1444">
      <c r="A1444" s="75" t="s">
        <v>3602</v>
      </c>
      <c r="B1444" s="75" t="s">
        <v>319</v>
      </c>
      <c r="C1444" s="75" t="s">
        <v>1346</v>
      </c>
      <c r="D1444" s="75">
        <v>2023.0</v>
      </c>
      <c r="E1444" s="75">
        <v>8.60369054123011E14</v>
      </c>
      <c r="F1444" s="76" t="s">
        <v>326</v>
      </c>
      <c r="G1444" s="68" t="s">
        <v>328</v>
      </c>
      <c r="H1444" s="69">
        <v>45658.0</v>
      </c>
      <c r="I1444" s="78" t="s">
        <v>337</v>
      </c>
      <c r="J1444" s="78"/>
      <c r="K1444" s="79"/>
      <c r="L1444" s="80"/>
      <c r="M1444" s="81"/>
    </row>
    <row r="1445">
      <c r="A1445" s="75" t="s">
        <v>3603</v>
      </c>
      <c r="B1445" s="75" t="s">
        <v>319</v>
      </c>
      <c r="C1445" s="75" t="s">
        <v>1346</v>
      </c>
      <c r="D1445" s="75">
        <v>2023.0</v>
      </c>
      <c r="E1445" s="75">
        <v>8.60369054176431E14</v>
      </c>
      <c r="F1445" s="76" t="s">
        <v>326</v>
      </c>
      <c r="G1445" s="68" t="s">
        <v>328</v>
      </c>
      <c r="H1445" s="69">
        <v>45658.0</v>
      </c>
      <c r="I1445" s="78" t="s">
        <v>337</v>
      </c>
      <c r="J1445" s="78"/>
      <c r="K1445" s="79"/>
      <c r="L1445" s="80"/>
      <c r="M1445" s="81"/>
    </row>
    <row r="1446">
      <c r="A1446" s="75" t="s">
        <v>3604</v>
      </c>
      <c r="B1446" s="75" t="s">
        <v>319</v>
      </c>
      <c r="C1446" s="75" t="s">
        <v>1346</v>
      </c>
      <c r="D1446" s="75">
        <v>2023.0</v>
      </c>
      <c r="E1446" s="75">
        <v>8.6036905417771E14</v>
      </c>
      <c r="F1446" s="76" t="s">
        <v>326</v>
      </c>
      <c r="G1446" s="68" t="s">
        <v>328</v>
      </c>
      <c r="H1446" s="69">
        <v>45658.0</v>
      </c>
      <c r="I1446" s="78" t="s">
        <v>337</v>
      </c>
      <c r="J1446" s="78"/>
      <c r="K1446" s="79"/>
      <c r="L1446" s="80"/>
      <c r="M1446" s="81"/>
    </row>
    <row r="1447">
      <c r="A1447" s="75" t="s">
        <v>3605</v>
      </c>
      <c r="B1447" s="75" t="s">
        <v>319</v>
      </c>
      <c r="C1447" s="75" t="s">
        <v>1346</v>
      </c>
      <c r="D1447" s="75">
        <v>2023.0</v>
      </c>
      <c r="E1447" s="75">
        <v>8.60369052702766E14</v>
      </c>
      <c r="F1447" s="76" t="s">
        <v>326</v>
      </c>
      <c r="G1447" s="68" t="s">
        <v>328</v>
      </c>
      <c r="H1447" s="69">
        <v>45658.0</v>
      </c>
      <c r="I1447" s="78" t="s">
        <v>337</v>
      </c>
      <c r="J1447" s="78"/>
      <c r="K1447" s="79"/>
      <c r="L1447" s="80"/>
      <c r="M1447" s="81"/>
    </row>
    <row r="1448">
      <c r="A1448" s="75" t="s">
        <v>3606</v>
      </c>
      <c r="B1448" s="75" t="s">
        <v>319</v>
      </c>
      <c r="C1448" s="75" t="s">
        <v>1346</v>
      </c>
      <c r="D1448" s="75">
        <v>2023.0</v>
      </c>
      <c r="E1448" s="75">
        <v>8.60369054188675E14</v>
      </c>
      <c r="F1448" s="76" t="s">
        <v>326</v>
      </c>
      <c r="G1448" s="68" t="s">
        <v>328</v>
      </c>
      <c r="H1448" s="69">
        <v>45658.0</v>
      </c>
      <c r="I1448" s="78" t="s">
        <v>337</v>
      </c>
      <c r="J1448" s="78"/>
      <c r="K1448" s="79"/>
      <c r="L1448" s="80"/>
      <c r="M1448" s="81"/>
    </row>
    <row r="1449">
      <c r="A1449" s="75" t="s">
        <v>3607</v>
      </c>
      <c r="B1449" s="75" t="s">
        <v>319</v>
      </c>
      <c r="C1449" s="75" t="s">
        <v>1346</v>
      </c>
      <c r="D1449" s="75">
        <v>2023.0</v>
      </c>
      <c r="E1449" s="75">
        <v>8.6036905243747E14</v>
      </c>
      <c r="F1449" s="76" t="s">
        <v>326</v>
      </c>
      <c r="G1449" s="68" t="s">
        <v>328</v>
      </c>
      <c r="H1449" s="69">
        <v>45658.0</v>
      </c>
      <c r="I1449" s="78" t="s">
        <v>337</v>
      </c>
      <c r="J1449" s="78"/>
      <c r="K1449" s="79"/>
      <c r="L1449" s="80"/>
      <c r="M1449" s="81"/>
    </row>
    <row r="1450">
      <c r="A1450" s="75" t="s">
        <v>3608</v>
      </c>
      <c r="B1450" s="75" t="s">
        <v>319</v>
      </c>
      <c r="C1450" s="75" t="s">
        <v>1346</v>
      </c>
      <c r="D1450" s="75">
        <v>2023.0</v>
      </c>
      <c r="E1450" s="75">
        <v>8.60369054415466E14</v>
      </c>
      <c r="F1450" s="76" t="s">
        <v>326</v>
      </c>
      <c r="G1450" s="68" t="s">
        <v>328</v>
      </c>
      <c r="H1450" s="69">
        <v>45658.0</v>
      </c>
      <c r="I1450" s="78" t="s">
        <v>337</v>
      </c>
      <c r="J1450" s="78"/>
      <c r="K1450" s="79"/>
      <c r="L1450" s="80"/>
      <c r="M1450" s="81"/>
    </row>
    <row r="1451">
      <c r="A1451" s="75" t="s">
        <v>3609</v>
      </c>
      <c r="B1451" s="75" t="s">
        <v>319</v>
      </c>
      <c r="C1451" s="75" t="s">
        <v>1346</v>
      </c>
      <c r="D1451" s="75">
        <v>2023.0</v>
      </c>
      <c r="E1451" s="75">
        <v>8.60369054403983E14</v>
      </c>
      <c r="F1451" s="76" t="s">
        <v>326</v>
      </c>
      <c r="G1451" s="68" t="s">
        <v>328</v>
      </c>
      <c r="H1451" s="69">
        <v>45658.0</v>
      </c>
      <c r="I1451" s="78" t="s">
        <v>337</v>
      </c>
      <c r="J1451" s="78"/>
      <c r="K1451" s="79"/>
      <c r="L1451" s="80"/>
      <c r="M1451" s="81"/>
    </row>
    <row r="1452">
      <c r="A1452" s="75" t="s">
        <v>3610</v>
      </c>
      <c r="B1452" s="75" t="s">
        <v>319</v>
      </c>
      <c r="C1452" s="75" t="s">
        <v>1346</v>
      </c>
      <c r="D1452" s="75">
        <v>2023.0</v>
      </c>
      <c r="E1452" s="75">
        <v>8.60369054740905E14</v>
      </c>
      <c r="F1452" s="76" t="s">
        <v>326</v>
      </c>
      <c r="G1452" s="68" t="s">
        <v>328</v>
      </c>
      <c r="H1452" s="69">
        <v>45658.0</v>
      </c>
      <c r="I1452" s="78" t="s">
        <v>337</v>
      </c>
      <c r="J1452" s="78"/>
      <c r="K1452" s="79"/>
      <c r="L1452" s="80"/>
      <c r="M1452" s="81"/>
    </row>
    <row r="1453">
      <c r="A1453" s="75" t="s">
        <v>3611</v>
      </c>
      <c r="B1453" s="75" t="s">
        <v>319</v>
      </c>
      <c r="C1453" s="75" t="s">
        <v>1346</v>
      </c>
      <c r="D1453" s="75">
        <v>2023.0</v>
      </c>
      <c r="E1453" s="75">
        <v>8.60369054412661E14</v>
      </c>
      <c r="F1453" s="76" t="s">
        <v>326</v>
      </c>
      <c r="G1453" s="68" t="s">
        <v>328</v>
      </c>
      <c r="H1453" s="69">
        <v>45658.0</v>
      </c>
      <c r="I1453" s="78" t="s">
        <v>337</v>
      </c>
      <c r="J1453" s="78"/>
      <c r="K1453" s="79"/>
      <c r="L1453" s="80"/>
      <c r="M1453" s="81"/>
    </row>
    <row r="1454">
      <c r="A1454" s="75" t="s">
        <v>3612</v>
      </c>
      <c r="B1454" s="75" t="s">
        <v>319</v>
      </c>
      <c r="C1454" s="75" t="s">
        <v>1346</v>
      </c>
      <c r="D1454" s="75">
        <v>2023.0</v>
      </c>
      <c r="E1454" s="75">
        <v>8.60369052696232E14</v>
      </c>
      <c r="F1454" s="76" t="s">
        <v>326</v>
      </c>
      <c r="G1454" s="68" t="s">
        <v>328</v>
      </c>
      <c r="H1454" s="69">
        <v>45658.0</v>
      </c>
      <c r="I1454" s="78" t="s">
        <v>337</v>
      </c>
      <c r="J1454" s="78"/>
      <c r="K1454" s="79"/>
      <c r="L1454" s="80"/>
      <c r="M1454" s="81"/>
    </row>
    <row r="1455">
      <c r="A1455" s="75" t="s">
        <v>3613</v>
      </c>
      <c r="B1455" s="75" t="s">
        <v>319</v>
      </c>
      <c r="C1455" s="75" t="s">
        <v>1346</v>
      </c>
      <c r="D1455" s="75">
        <v>2023.0</v>
      </c>
      <c r="E1455" s="75">
        <v>8.60369054177041E14</v>
      </c>
      <c r="F1455" s="76" t="s">
        <v>326</v>
      </c>
      <c r="G1455" s="68" t="s">
        <v>328</v>
      </c>
      <c r="H1455" s="69">
        <v>45658.0</v>
      </c>
      <c r="I1455" s="78" t="s">
        <v>337</v>
      </c>
      <c r="J1455" s="78"/>
      <c r="K1455" s="79"/>
      <c r="L1455" s="80"/>
      <c r="M1455" s="81"/>
    </row>
    <row r="1456">
      <c r="A1456" s="75" t="s">
        <v>3614</v>
      </c>
      <c r="B1456" s="75" t="s">
        <v>319</v>
      </c>
      <c r="C1456" s="75" t="s">
        <v>1346</v>
      </c>
      <c r="D1456" s="75">
        <v>2023.0</v>
      </c>
      <c r="E1456" s="75">
        <v>8.60369054198013E14</v>
      </c>
      <c r="F1456" s="76" t="s">
        <v>326</v>
      </c>
      <c r="G1456" s="68" t="s">
        <v>328</v>
      </c>
      <c r="H1456" s="69">
        <v>45658.0</v>
      </c>
      <c r="I1456" s="78" t="s">
        <v>337</v>
      </c>
      <c r="J1456" s="78"/>
      <c r="K1456" s="79"/>
      <c r="L1456" s="80"/>
      <c r="M1456" s="81"/>
    </row>
    <row r="1457">
      <c r="A1457" s="75" t="s">
        <v>3615</v>
      </c>
      <c r="B1457" s="75" t="s">
        <v>319</v>
      </c>
      <c r="C1457" s="75" t="s">
        <v>1346</v>
      </c>
      <c r="D1457" s="75">
        <v>2023.0</v>
      </c>
      <c r="E1457" s="75">
        <v>8.60369052701347E14</v>
      </c>
      <c r="F1457" s="76" t="s">
        <v>326</v>
      </c>
      <c r="G1457" s="68" t="s">
        <v>328</v>
      </c>
      <c r="H1457" s="69">
        <v>45658.0</v>
      </c>
      <c r="I1457" s="78" t="s">
        <v>337</v>
      </c>
      <c r="J1457" s="78"/>
      <c r="K1457" s="79"/>
      <c r="L1457" s="80"/>
      <c r="M1457" s="81"/>
    </row>
    <row r="1458">
      <c r="A1458" s="75" t="s">
        <v>3616</v>
      </c>
      <c r="B1458" s="75" t="s">
        <v>319</v>
      </c>
      <c r="C1458" s="75" t="s">
        <v>1346</v>
      </c>
      <c r="D1458" s="75">
        <v>2023.0</v>
      </c>
      <c r="E1458" s="75">
        <v>8.60369052694898E14</v>
      </c>
      <c r="F1458" s="76" t="s">
        <v>326</v>
      </c>
      <c r="G1458" s="68" t="s">
        <v>328</v>
      </c>
      <c r="H1458" s="69">
        <v>45658.0</v>
      </c>
      <c r="I1458" s="78" t="s">
        <v>337</v>
      </c>
      <c r="J1458" s="78"/>
      <c r="K1458" s="79"/>
      <c r="L1458" s="80"/>
      <c r="M1458" s="81"/>
    </row>
    <row r="1459">
      <c r="A1459" s="75" t="s">
        <v>3617</v>
      </c>
      <c r="B1459" s="75" t="s">
        <v>319</v>
      </c>
      <c r="C1459" s="75" t="s">
        <v>1346</v>
      </c>
      <c r="D1459" s="75">
        <v>2023.0</v>
      </c>
      <c r="E1459" s="75">
        <v>8.6036905244563E14</v>
      </c>
      <c r="F1459" s="76" t="s">
        <v>326</v>
      </c>
      <c r="G1459" s="68" t="s">
        <v>328</v>
      </c>
      <c r="H1459" s="69">
        <v>45658.0</v>
      </c>
      <c r="I1459" s="78" t="s">
        <v>337</v>
      </c>
      <c r="J1459" s="78"/>
      <c r="K1459" s="79"/>
      <c r="L1459" s="80"/>
      <c r="M1459" s="81"/>
    </row>
    <row r="1460">
      <c r="A1460" s="75" t="s">
        <v>3618</v>
      </c>
      <c r="B1460" s="75" t="s">
        <v>319</v>
      </c>
      <c r="C1460" s="75" t="s">
        <v>1346</v>
      </c>
      <c r="D1460" s="75">
        <v>2023.0</v>
      </c>
      <c r="E1460" s="75">
        <v>8.6036905419143E14</v>
      </c>
      <c r="F1460" s="76" t="s">
        <v>326</v>
      </c>
      <c r="G1460" s="68" t="s">
        <v>328</v>
      </c>
      <c r="H1460" s="69">
        <v>45658.0</v>
      </c>
      <c r="I1460" s="78" t="s">
        <v>337</v>
      </c>
      <c r="J1460" s="78"/>
      <c r="K1460" s="79"/>
      <c r="L1460" s="80"/>
      <c r="M1460" s="81"/>
    </row>
    <row r="1461">
      <c r="A1461" s="75" t="s">
        <v>3619</v>
      </c>
      <c r="B1461" s="75" t="s">
        <v>319</v>
      </c>
      <c r="C1461" s="75" t="s">
        <v>1346</v>
      </c>
      <c r="D1461" s="75">
        <v>2023.0</v>
      </c>
      <c r="E1461" s="75">
        <v>8.6036905419869E14</v>
      </c>
      <c r="F1461" s="76" t="s">
        <v>326</v>
      </c>
      <c r="G1461" s="68" t="s">
        <v>328</v>
      </c>
      <c r="H1461" s="69">
        <v>45658.0</v>
      </c>
      <c r="I1461" s="78" t="s">
        <v>337</v>
      </c>
      <c r="J1461" s="78"/>
      <c r="K1461" s="79"/>
      <c r="L1461" s="80"/>
      <c r="M1461" s="81"/>
    </row>
    <row r="1462">
      <c r="A1462" s="75" t="s">
        <v>3620</v>
      </c>
      <c r="B1462" s="75" t="s">
        <v>319</v>
      </c>
      <c r="C1462" s="75" t="s">
        <v>1346</v>
      </c>
      <c r="D1462" s="75">
        <v>2023.0</v>
      </c>
      <c r="E1462" s="75">
        <v>8.60369054154883E14</v>
      </c>
      <c r="F1462" s="76" t="s">
        <v>326</v>
      </c>
      <c r="G1462" s="68" t="s">
        <v>328</v>
      </c>
      <c r="H1462" s="69">
        <v>45658.0</v>
      </c>
      <c r="I1462" s="78" t="s">
        <v>337</v>
      </c>
      <c r="J1462" s="78"/>
      <c r="K1462" s="79"/>
      <c r="L1462" s="80"/>
      <c r="M1462" s="81"/>
    </row>
    <row r="1463">
      <c r="A1463" s="75" t="s">
        <v>3621</v>
      </c>
      <c r="B1463" s="75" t="s">
        <v>319</v>
      </c>
      <c r="C1463" s="75" t="s">
        <v>1346</v>
      </c>
      <c r="D1463" s="75">
        <v>2023.0</v>
      </c>
      <c r="E1463" s="75">
        <v>8.60369053334072E14</v>
      </c>
      <c r="F1463" s="76" t="s">
        <v>326</v>
      </c>
      <c r="G1463" s="68" t="s">
        <v>328</v>
      </c>
      <c r="H1463" s="69">
        <v>45658.0</v>
      </c>
      <c r="I1463" s="78" t="s">
        <v>337</v>
      </c>
      <c r="J1463" s="78"/>
      <c r="K1463" s="79"/>
      <c r="L1463" s="80"/>
      <c r="M1463" s="81"/>
    </row>
    <row r="1464">
      <c r="A1464" s="75" t="s">
        <v>3622</v>
      </c>
      <c r="B1464" s="75" t="s">
        <v>319</v>
      </c>
      <c r="C1464" s="75" t="s">
        <v>1346</v>
      </c>
      <c r="D1464" s="75">
        <v>2023.0</v>
      </c>
      <c r="E1464" s="75">
        <v>8.60369054165814E14</v>
      </c>
      <c r="F1464" s="76" t="s">
        <v>326</v>
      </c>
      <c r="G1464" s="68" t="s">
        <v>328</v>
      </c>
      <c r="H1464" s="69">
        <v>45658.0</v>
      </c>
      <c r="I1464" s="78" t="s">
        <v>337</v>
      </c>
      <c r="J1464" s="78"/>
      <c r="K1464" s="79"/>
      <c r="L1464" s="80"/>
      <c r="M1464" s="81"/>
    </row>
    <row r="1465">
      <c r="A1465" s="75" t="s">
        <v>3623</v>
      </c>
      <c r="B1465" s="75" t="s">
        <v>319</v>
      </c>
      <c r="C1465" s="75" t="s">
        <v>1346</v>
      </c>
      <c r="D1465" s="75">
        <v>2023.0</v>
      </c>
      <c r="E1465" s="75">
        <v>8.60369052708953E14</v>
      </c>
      <c r="F1465" s="76" t="s">
        <v>326</v>
      </c>
      <c r="G1465" s="68" t="s">
        <v>328</v>
      </c>
      <c r="H1465" s="69">
        <v>45658.0</v>
      </c>
      <c r="I1465" s="78" t="s">
        <v>337</v>
      </c>
      <c r="J1465" s="78"/>
      <c r="K1465" s="79"/>
      <c r="L1465" s="80"/>
      <c r="M1465" s="81"/>
    </row>
    <row r="1466">
      <c r="A1466" s="75" t="s">
        <v>3624</v>
      </c>
      <c r="B1466" s="75" t="s">
        <v>319</v>
      </c>
      <c r="C1466" s="75" t="s">
        <v>1346</v>
      </c>
      <c r="D1466" s="75">
        <v>2023.0</v>
      </c>
      <c r="E1466" s="75">
        <v>8.60369054726193E14</v>
      </c>
      <c r="F1466" s="76" t="s">
        <v>326</v>
      </c>
      <c r="G1466" s="68" t="s">
        <v>328</v>
      </c>
      <c r="H1466" s="69">
        <v>45658.0</v>
      </c>
      <c r="I1466" s="78" t="s">
        <v>337</v>
      </c>
      <c r="J1466" s="78"/>
      <c r="K1466" s="79"/>
      <c r="L1466" s="80"/>
      <c r="M1466" s="81"/>
    </row>
    <row r="1467">
      <c r="A1467" s="75" t="s">
        <v>3625</v>
      </c>
      <c r="B1467" s="75" t="s">
        <v>319</v>
      </c>
      <c r="C1467" s="75" t="s">
        <v>1346</v>
      </c>
      <c r="D1467" s="75">
        <v>2023.0</v>
      </c>
      <c r="E1467" s="75">
        <v>8.60369052167622E14</v>
      </c>
      <c r="F1467" s="76" t="s">
        <v>398</v>
      </c>
      <c r="G1467" s="68" t="s">
        <v>328</v>
      </c>
      <c r="H1467" s="69">
        <v>45658.0</v>
      </c>
      <c r="I1467" s="78" t="s">
        <v>337</v>
      </c>
      <c r="J1467" s="78"/>
      <c r="K1467" s="79"/>
      <c r="L1467" s="80"/>
      <c r="M1467" s="81"/>
    </row>
    <row r="1468">
      <c r="A1468" s="75" t="s">
        <v>3626</v>
      </c>
      <c r="B1468" s="75" t="s">
        <v>319</v>
      </c>
      <c r="C1468" s="75" t="s">
        <v>1346</v>
      </c>
      <c r="D1468" s="75">
        <v>2023.0</v>
      </c>
      <c r="E1468" s="75">
        <v>8.60369052708946E14</v>
      </c>
      <c r="F1468" s="76" t="s">
        <v>326</v>
      </c>
      <c r="G1468" s="68" t="s">
        <v>328</v>
      </c>
      <c r="H1468" s="69">
        <v>45658.0</v>
      </c>
      <c r="I1468" s="78" t="s">
        <v>337</v>
      </c>
      <c r="J1468" s="78"/>
      <c r="K1468" s="79"/>
      <c r="L1468" s="80"/>
      <c r="M1468" s="81"/>
    </row>
    <row r="1469">
      <c r="A1469" s="75" t="s">
        <v>3627</v>
      </c>
      <c r="B1469" s="75" t="s">
        <v>319</v>
      </c>
      <c r="C1469" s="75" t="s">
        <v>1346</v>
      </c>
      <c r="D1469" s="75">
        <v>2023.0</v>
      </c>
      <c r="E1469" s="75">
        <v>8.60369054183213E14</v>
      </c>
      <c r="F1469" s="76" t="s">
        <v>326</v>
      </c>
      <c r="G1469" s="68" t="s">
        <v>328</v>
      </c>
      <c r="H1469" s="69">
        <v>45658.0</v>
      </c>
      <c r="I1469" s="78" t="s">
        <v>337</v>
      </c>
      <c r="J1469" s="78"/>
      <c r="K1469" s="79"/>
      <c r="L1469" s="80"/>
      <c r="M1469" s="81"/>
    </row>
    <row r="1470">
      <c r="A1470" s="75" t="s">
        <v>3628</v>
      </c>
      <c r="B1470" s="75" t="s">
        <v>319</v>
      </c>
      <c r="C1470" s="75" t="s">
        <v>1346</v>
      </c>
      <c r="D1470" s="75">
        <v>2023.0</v>
      </c>
      <c r="E1470" s="75">
        <v>8.60369054405236E14</v>
      </c>
      <c r="F1470" s="76" t="s">
        <v>326</v>
      </c>
      <c r="G1470" s="68" t="s">
        <v>328</v>
      </c>
      <c r="H1470" s="69">
        <v>45658.0</v>
      </c>
      <c r="I1470" s="78" t="s">
        <v>337</v>
      </c>
      <c r="J1470" s="78"/>
      <c r="K1470" s="79"/>
      <c r="L1470" s="80"/>
      <c r="M1470" s="81"/>
    </row>
    <row r="1471">
      <c r="A1471" s="75" t="s">
        <v>3629</v>
      </c>
      <c r="B1471" s="75" t="s">
        <v>319</v>
      </c>
      <c r="C1471" s="75" t="s">
        <v>1346</v>
      </c>
      <c r="D1471" s="75">
        <v>2023.0</v>
      </c>
      <c r="E1471" s="75">
        <v>8.60369054171051E14</v>
      </c>
      <c r="F1471" s="76" t="s">
        <v>326</v>
      </c>
      <c r="G1471" s="68" t="s">
        <v>328</v>
      </c>
      <c r="H1471" s="69">
        <v>45658.0</v>
      </c>
      <c r="I1471" s="78" t="s">
        <v>337</v>
      </c>
      <c r="J1471" s="78"/>
      <c r="K1471" s="79"/>
      <c r="L1471" s="80"/>
      <c r="M1471" s="81"/>
    </row>
    <row r="1472">
      <c r="A1472" s="75" t="s">
        <v>3630</v>
      </c>
      <c r="B1472" s="75" t="s">
        <v>319</v>
      </c>
      <c r="C1472" s="75" t="s">
        <v>1346</v>
      </c>
      <c r="D1472" s="75">
        <v>2023.0</v>
      </c>
      <c r="E1472" s="75">
        <v>8.6036905474059E14</v>
      </c>
      <c r="F1472" s="76" t="s">
        <v>326</v>
      </c>
      <c r="G1472" s="68" t="s">
        <v>328</v>
      </c>
      <c r="H1472" s="69">
        <v>45658.0</v>
      </c>
      <c r="I1472" s="78" t="s">
        <v>337</v>
      </c>
      <c r="J1472" s="78"/>
      <c r="K1472" s="79"/>
      <c r="L1472" s="80"/>
      <c r="M1472" s="81"/>
    </row>
    <row r="1473">
      <c r="A1473" s="75" t="s">
        <v>3631</v>
      </c>
      <c r="B1473" s="75" t="s">
        <v>319</v>
      </c>
      <c r="C1473" s="75" t="s">
        <v>1346</v>
      </c>
      <c r="D1473" s="75">
        <v>2023.0</v>
      </c>
      <c r="E1473" s="75">
        <v>8.60369054165228E14</v>
      </c>
      <c r="F1473" s="76" t="s">
        <v>326</v>
      </c>
      <c r="G1473" s="68" t="s">
        <v>328</v>
      </c>
      <c r="H1473" s="69">
        <v>45658.0</v>
      </c>
      <c r="I1473" s="78" t="s">
        <v>337</v>
      </c>
      <c r="J1473" s="78"/>
      <c r="K1473" s="79"/>
      <c r="L1473" s="80"/>
      <c r="M1473" s="81"/>
    </row>
    <row r="1474">
      <c r="A1474" s="75" t="s">
        <v>3632</v>
      </c>
      <c r="B1474" s="75" t="s">
        <v>319</v>
      </c>
      <c r="C1474" s="75" t="s">
        <v>1346</v>
      </c>
      <c r="D1474" s="75">
        <v>2023.0</v>
      </c>
      <c r="E1474" s="75">
        <v>8.60369052120381E14</v>
      </c>
      <c r="F1474" s="76" t="s">
        <v>398</v>
      </c>
      <c r="G1474" s="68" t="s">
        <v>328</v>
      </c>
      <c r="H1474" s="69">
        <v>45658.0</v>
      </c>
      <c r="I1474" s="78" t="s">
        <v>337</v>
      </c>
      <c r="J1474" s="78"/>
      <c r="K1474" s="79"/>
      <c r="L1474" s="80"/>
      <c r="M1474" s="81"/>
    </row>
    <row r="1475">
      <c r="A1475" s="75" t="s">
        <v>3633</v>
      </c>
      <c r="B1475" s="75" t="s">
        <v>319</v>
      </c>
      <c r="C1475" s="75" t="s">
        <v>1346</v>
      </c>
      <c r="D1475" s="75">
        <v>2023.0</v>
      </c>
      <c r="E1475" s="75">
        <v>8.603690527018E14</v>
      </c>
      <c r="F1475" s="76" t="s">
        <v>326</v>
      </c>
      <c r="G1475" s="68" t="s">
        <v>328</v>
      </c>
      <c r="H1475" s="69">
        <v>45658.0</v>
      </c>
      <c r="I1475" s="78" t="s">
        <v>337</v>
      </c>
      <c r="J1475" s="78"/>
      <c r="K1475" s="79"/>
      <c r="L1475" s="80"/>
      <c r="M1475" s="81"/>
    </row>
    <row r="1476">
      <c r="A1476" s="75" t="s">
        <v>3634</v>
      </c>
      <c r="B1476" s="75" t="s">
        <v>319</v>
      </c>
      <c r="C1476" s="75" t="s">
        <v>1346</v>
      </c>
      <c r="D1476" s="75">
        <v>2023.0</v>
      </c>
      <c r="E1476" s="75">
        <v>8.60369054195779E14</v>
      </c>
      <c r="F1476" s="76" t="s">
        <v>326</v>
      </c>
      <c r="G1476" s="68" t="s">
        <v>328</v>
      </c>
      <c r="H1476" s="69">
        <v>45658.0</v>
      </c>
      <c r="I1476" s="78" t="s">
        <v>337</v>
      </c>
      <c r="J1476" s="78"/>
      <c r="K1476" s="79"/>
      <c r="L1476" s="80"/>
      <c r="M1476" s="81"/>
    </row>
    <row r="1477">
      <c r="A1477" s="75" t="s">
        <v>3635</v>
      </c>
      <c r="B1477" s="75" t="s">
        <v>319</v>
      </c>
      <c r="C1477" s="75" t="s">
        <v>1346</v>
      </c>
      <c r="D1477" s="75">
        <v>2023.0</v>
      </c>
      <c r="E1477" s="75">
        <v>8.6036905333427E14</v>
      </c>
      <c r="F1477" s="76" t="s">
        <v>326</v>
      </c>
      <c r="G1477" s="68" t="s">
        <v>328</v>
      </c>
      <c r="H1477" s="69">
        <v>45658.0</v>
      </c>
      <c r="I1477" s="78" t="s">
        <v>337</v>
      </c>
      <c r="J1477" s="78"/>
      <c r="K1477" s="79"/>
      <c r="L1477" s="80"/>
      <c r="M1477" s="81"/>
    </row>
    <row r="1478">
      <c r="A1478" s="75" t="s">
        <v>3636</v>
      </c>
      <c r="B1478" s="75" t="s">
        <v>319</v>
      </c>
      <c r="C1478" s="75" t="s">
        <v>1346</v>
      </c>
      <c r="D1478" s="75">
        <v>2023.0</v>
      </c>
      <c r="E1478" s="75">
        <v>8.60369054163314E14</v>
      </c>
      <c r="F1478" s="76" t="s">
        <v>326</v>
      </c>
      <c r="G1478" s="68" t="s">
        <v>328</v>
      </c>
      <c r="H1478" s="69">
        <v>45658.0</v>
      </c>
      <c r="I1478" s="78" t="s">
        <v>337</v>
      </c>
      <c r="J1478" s="78"/>
      <c r="K1478" s="79"/>
      <c r="L1478" s="80"/>
      <c r="M1478" s="81"/>
    </row>
    <row r="1479">
      <c r="A1479" s="75" t="s">
        <v>3637</v>
      </c>
      <c r="B1479" s="75" t="s">
        <v>319</v>
      </c>
      <c r="C1479" s="75" t="s">
        <v>1346</v>
      </c>
      <c r="D1479" s="75">
        <v>2023.0</v>
      </c>
      <c r="E1479" s="75">
        <v>8.60369054401474E14</v>
      </c>
      <c r="F1479" s="76" t="s">
        <v>326</v>
      </c>
      <c r="G1479" s="68" t="s">
        <v>328</v>
      </c>
      <c r="H1479" s="69">
        <v>45658.0</v>
      </c>
      <c r="I1479" s="78" t="s">
        <v>337</v>
      </c>
      <c r="J1479" s="78"/>
      <c r="K1479" s="79"/>
      <c r="L1479" s="80"/>
      <c r="M1479" s="81"/>
    </row>
    <row r="1480">
      <c r="A1480" s="75" t="s">
        <v>3638</v>
      </c>
      <c r="B1480" s="75" t="s">
        <v>319</v>
      </c>
      <c r="C1480" s="75" t="s">
        <v>1346</v>
      </c>
      <c r="D1480" s="75">
        <v>2023.0</v>
      </c>
      <c r="E1480" s="75">
        <v>8.60369054178213E14</v>
      </c>
      <c r="F1480" s="76" t="s">
        <v>326</v>
      </c>
      <c r="G1480" s="68" t="s">
        <v>328</v>
      </c>
      <c r="H1480" s="69">
        <v>45658.0</v>
      </c>
      <c r="I1480" s="78" t="s">
        <v>337</v>
      </c>
      <c r="J1480" s="78"/>
      <c r="K1480" s="79"/>
      <c r="L1480" s="80"/>
      <c r="M1480" s="81"/>
    </row>
    <row r="1481">
      <c r="A1481" s="75" t="s">
        <v>3639</v>
      </c>
      <c r="B1481" s="75" t="s">
        <v>319</v>
      </c>
      <c r="C1481" s="75" t="s">
        <v>1346</v>
      </c>
      <c r="D1481" s="75">
        <v>2023.0</v>
      </c>
      <c r="E1481" s="75">
        <v>8.60369052696786E14</v>
      </c>
      <c r="F1481" s="76" t="s">
        <v>326</v>
      </c>
      <c r="G1481" s="68" t="s">
        <v>328</v>
      </c>
      <c r="H1481" s="69">
        <v>45658.0</v>
      </c>
      <c r="I1481" s="78" t="s">
        <v>337</v>
      </c>
      <c r="J1481" s="78"/>
      <c r="K1481" s="79"/>
      <c r="L1481" s="80"/>
      <c r="M1481" s="81"/>
    </row>
    <row r="1482">
      <c r="A1482" s="75" t="s">
        <v>3640</v>
      </c>
      <c r="B1482" s="75" t="s">
        <v>319</v>
      </c>
      <c r="C1482" s="75" t="s">
        <v>1346</v>
      </c>
      <c r="D1482" s="75">
        <v>2023.0</v>
      </c>
      <c r="E1482" s="75">
        <v>8.60369054403587E14</v>
      </c>
      <c r="F1482" s="76" t="s">
        <v>326</v>
      </c>
      <c r="G1482" s="68" t="s">
        <v>328</v>
      </c>
      <c r="H1482" s="69">
        <v>45658.0</v>
      </c>
      <c r="I1482" s="78" t="s">
        <v>337</v>
      </c>
      <c r="J1482" s="78"/>
      <c r="K1482" s="79"/>
      <c r="L1482" s="80"/>
      <c r="M1482" s="81"/>
    </row>
    <row r="1483">
      <c r="A1483" s="75" t="s">
        <v>3641</v>
      </c>
      <c r="B1483" s="75" t="s">
        <v>319</v>
      </c>
      <c r="C1483" s="75" t="s">
        <v>1346</v>
      </c>
      <c r="D1483" s="75">
        <v>2023.0</v>
      </c>
      <c r="E1483" s="75">
        <v>8.60369054415367E14</v>
      </c>
      <c r="F1483" s="76" t="s">
        <v>326</v>
      </c>
      <c r="G1483" s="68" t="s">
        <v>328</v>
      </c>
      <c r="H1483" s="69">
        <v>45658.0</v>
      </c>
      <c r="I1483" s="78" t="s">
        <v>337</v>
      </c>
      <c r="J1483" s="78"/>
      <c r="K1483" s="79"/>
      <c r="L1483" s="80"/>
      <c r="M1483" s="81"/>
    </row>
    <row r="1484">
      <c r="A1484" s="75" t="s">
        <v>3642</v>
      </c>
      <c r="B1484" s="75" t="s">
        <v>319</v>
      </c>
      <c r="C1484" s="75" t="s">
        <v>1346</v>
      </c>
      <c r="D1484" s="75">
        <v>2023.0</v>
      </c>
      <c r="E1484" s="75">
        <v>8.60369052166715E14</v>
      </c>
      <c r="F1484" s="76" t="s">
        <v>398</v>
      </c>
      <c r="G1484" s="68" t="s">
        <v>328</v>
      </c>
      <c r="H1484" s="69">
        <v>45658.0</v>
      </c>
      <c r="I1484" s="78" t="s">
        <v>337</v>
      </c>
      <c r="J1484" s="78"/>
      <c r="K1484" s="79"/>
      <c r="L1484" s="80"/>
      <c r="M1484" s="81"/>
    </row>
    <row r="1485">
      <c r="A1485" s="75" t="s">
        <v>3643</v>
      </c>
      <c r="B1485" s="75" t="s">
        <v>319</v>
      </c>
      <c r="C1485" s="75" t="s">
        <v>1346</v>
      </c>
      <c r="D1485" s="75">
        <v>2023.0</v>
      </c>
      <c r="E1485" s="75">
        <v>8.60369054184278E14</v>
      </c>
      <c r="F1485" s="76" t="s">
        <v>326</v>
      </c>
      <c r="G1485" s="68" t="s">
        <v>328</v>
      </c>
      <c r="H1485" s="69">
        <v>45658.0</v>
      </c>
      <c r="I1485" s="78" t="s">
        <v>337</v>
      </c>
      <c r="J1485" s="78"/>
      <c r="K1485" s="79"/>
      <c r="L1485" s="80"/>
      <c r="M1485" s="81"/>
    </row>
    <row r="1486">
      <c r="A1486" s="75" t="s">
        <v>3644</v>
      </c>
      <c r="B1486" s="75" t="s">
        <v>319</v>
      </c>
      <c r="C1486" s="75" t="s">
        <v>1346</v>
      </c>
      <c r="D1486" s="75">
        <v>2023.0</v>
      </c>
      <c r="E1486" s="75">
        <v>8.60369054177959E14</v>
      </c>
      <c r="F1486" s="76" t="s">
        <v>326</v>
      </c>
      <c r="G1486" s="68" t="s">
        <v>328</v>
      </c>
      <c r="H1486" s="69">
        <v>45658.0</v>
      </c>
      <c r="I1486" s="78" t="s">
        <v>337</v>
      </c>
      <c r="J1486" s="78"/>
      <c r="K1486" s="79"/>
      <c r="L1486" s="80"/>
      <c r="M1486" s="81"/>
    </row>
    <row r="1487">
      <c r="A1487" s="75" t="s">
        <v>3645</v>
      </c>
      <c r="B1487" s="75" t="s">
        <v>319</v>
      </c>
      <c r="C1487" s="75" t="s">
        <v>1346</v>
      </c>
      <c r="D1487" s="75">
        <v>2023.0</v>
      </c>
      <c r="E1487" s="75">
        <v>8.60369054402936E14</v>
      </c>
      <c r="F1487" s="76" t="s">
        <v>326</v>
      </c>
      <c r="G1487" s="68" t="s">
        <v>328</v>
      </c>
      <c r="H1487" s="69">
        <v>45658.0</v>
      </c>
      <c r="I1487" s="78" t="s">
        <v>337</v>
      </c>
      <c r="J1487" s="78"/>
      <c r="K1487" s="79"/>
      <c r="L1487" s="80"/>
      <c r="M1487" s="81"/>
    </row>
    <row r="1488">
      <c r="A1488" s="75" t="s">
        <v>3646</v>
      </c>
      <c r="B1488" s="75" t="s">
        <v>319</v>
      </c>
      <c r="C1488" s="75" t="s">
        <v>1346</v>
      </c>
      <c r="D1488" s="75">
        <v>2023.0</v>
      </c>
      <c r="E1488" s="75">
        <v>8.60369054135627E14</v>
      </c>
      <c r="F1488" s="76" t="s">
        <v>326</v>
      </c>
      <c r="G1488" s="68" t="s">
        <v>328</v>
      </c>
      <c r="H1488" s="69">
        <v>45658.0</v>
      </c>
      <c r="I1488" s="78" t="s">
        <v>337</v>
      </c>
      <c r="J1488" s="78"/>
      <c r="K1488" s="79"/>
      <c r="L1488" s="80"/>
      <c r="M1488" s="81"/>
    </row>
    <row r="1489">
      <c r="A1489" s="75" t="s">
        <v>3647</v>
      </c>
      <c r="B1489" s="75" t="s">
        <v>319</v>
      </c>
      <c r="C1489" s="75" t="s">
        <v>1346</v>
      </c>
      <c r="D1489" s="75">
        <v>2023.0</v>
      </c>
      <c r="E1489" s="75">
        <v>8.60369054169055E14</v>
      </c>
      <c r="F1489" s="76" t="s">
        <v>326</v>
      </c>
      <c r="G1489" s="68" t="s">
        <v>328</v>
      </c>
      <c r="H1489" s="69">
        <v>45658.0</v>
      </c>
      <c r="I1489" s="78" t="s">
        <v>337</v>
      </c>
      <c r="J1489" s="78"/>
      <c r="K1489" s="79"/>
      <c r="L1489" s="80"/>
      <c r="M1489" s="81"/>
    </row>
    <row r="1490">
      <c r="A1490" s="75" t="s">
        <v>3648</v>
      </c>
      <c r="B1490" s="75" t="s">
        <v>319</v>
      </c>
      <c r="C1490" s="75" t="s">
        <v>1346</v>
      </c>
      <c r="D1490" s="75">
        <v>2023.0</v>
      </c>
      <c r="E1490" s="75">
        <v>8.60369054759855E14</v>
      </c>
      <c r="F1490" s="76" t="s">
        <v>326</v>
      </c>
      <c r="G1490" s="68" t="s">
        <v>328</v>
      </c>
      <c r="H1490" s="69">
        <v>45658.0</v>
      </c>
      <c r="I1490" s="78" t="s">
        <v>337</v>
      </c>
      <c r="J1490" s="78"/>
      <c r="K1490" s="79"/>
      <c r="L1490" s="80"/>
      <c r="M1490" s="81"/>
    </row>
    <row r="1491">
      <c r="A1491" s="75" t="s">
        <v>3649</v>
      </c>
      <c r="B1491" s="75" t="s">
        <v>319</v>
      </c>
      <c r="C1491" s="75" t="s">
        <v>1346</v>
      </c>
      <c r="D1491" s="75">
        <v>2023.0</v>
      </c>
      <c r="E1491" s="75">
        <v>8.60369054156458E14</v>
      </c>
      <c r="F1491" s="76" t="s">
        <v>326</v>
      </c>
      <c r="G1491" s="68" t="s">
        <v>328</v>
      </c>
      <c r="H1491" s="69">
        <v>45658.0</v>
      </c>
      <c r="I1491" s="78" t="s">
        <v>337</v>
      </c>
      <c r="J1491" s="78"/>
      <c r="K1491" s="79"/>
      <c r="L1491" s="80"/>
      <c r="M1491" s="81"/>
    </row>
    <row r="1492">
      <c r="A1492" s="75" t="s">
        <v>3650</v>
      </c>
      <c r="B1492" s="75" t="s">
        <v>319</v>
      </c>
      <c r="C1492" s="75" t="s">
        <v>1346</v>
      </c>
      <c r="D1492" s="75">
        <v>2023.0</v>
      </c>
      <c r="E1492" s="75">
        <v>8.60369054178049E14</v>
      </c>
      <c r="F1492" s="76" t="s">
        <v>326</v>
      </c>
      <c r="G1492" s="68" t="s">
        <v>328</v>
      </c>
      <c r="H1492" s="69">
        <v>45658.0</v>
      </c>
      <c r="I1492" s="78" t="s">
        <v>337</v>
      </c>
      <c r="J1492" s="78"/>
      <c r="K1492" s="79"/>
      <c r="L1492" s="80"/>
      <c r="M1492" s="81"/>
    </row>
    <row r="1493">
      <c r="A1493" s="75" t="s">
        <v>3651</v>
      </c>
      <c r="B1493" s="75" t="s">
        <v>319</v>
      </c>
      <c r="C1493" s="75" t="s">
        <v>1346</v>
      </c>
      <c r="D1493" s="75">
        <v>2023.0</v>
      </c>
      <c r="E1493" s="75">
        <v>8.60369054181316E14</v>
      </c>
      <c r="F1493" s="76" t="s">
        <v>326</v>
      </c>
      <c r="G1493" s="68" t="s">
        <v>328</v>
      </c>
      <c r="H1493" s="69">
        <v>45658.0</v>
      </c>
      <c r="I1493" s="78" t="s">
        <v>337</v>
      </c>
      <c r="J1493" s="78"/>
      <c r="K1493" s="79"/>
      <c r="L1493" s="80"/>
      <c r="M1493" s="81"/>
    </row>
    <row r="1494">
      <c r="A1494" s="75" t="s">
        <v>3652</v>
      </c>
      <c r="B1494" s="75" t="s">
        <v>319</v>
      </c>
      <c r="C1494" s="75" t="s">
        <v>1346</v>
      </c>
      <c r="D1494" s="75">
        <v>2023.0</v>
      </c>
      <c r="E1494" s="75">
        <v>8.60369054195761E14</v>
      </c>
      <c r="F1494" s="76" t="s">
        <v>326</v>
      </c>
      <c r="G1494" s="68" t="s">
        <v>328</v>
      </c>
      <c r="H1494" s="69">
        <v>45658.0</v>
      </c>
      <c r="I1494" s="78" t="s">
        <v>337</v>
      </c>
      <c r="J1494" s="78"/>
      <c r="K1494" s="79"/>
      <c r="L1494" s="80"/>
      <c r="M1494" s="81"/>
    </row>
    <row r="1495">
      <c r="A1495" s="75" t="s">
        <v>3653</v>
      </c>
      <c r="B1495" s="75" t="s">
        <v>319</v>
      </c>
      <c r="C1495" s="75" t="s">
        <v>1346</v>
      </c>
      <c r="D1495" s="75">
        <v>2023.0</v>
      </c>
      <c r="E1495" s="75">
        <v>8.60369054165988E14</v>
      </c>
      <c r="F1495" s="76" t="s">
        <v>326</v>
      </c>
      <c r="G1495" s="68" t="s">
        <v>328</v>
      </c>
      <c r="H1495" s="69">
        <v>45658.0</v>
      </c>
      <c r="I1495" s="78" t="s">
        <v>337</v>
      </c>
      <c r="J1495" s="78"/>
      <c r="K1495" s="79"/>
      <c r="L1495" s="80"/>
      <c r="M1495" s="81"/>
    </row>
    <row r="1496">
      <c r="A1496" s="75" t="s">
        <v>3654</v>
      </c>
      <c r="B1496" s="75" t="s">
        <v>319</v>
      </c>
      <c r="C1496" s="75" t="s">
        <v>1346</v>
      </c>
      <c r="D1496" s="75">
        <v>2023.0</v>
      </c>
      <c r="E1496" s="75">
        <v>8.60369054161607E14</v>
      </c>
      <c r="F1496" s="76" t="s">
        <v>326</v>
      </c>
      <c r="G1496" s="68" t="s">
        <v>328</v>
      </c>
      <c r="H1496" s="69">
        <v>45658.0</v>
      </c>
      <c r="I1496" s="78" t="s">
        <v>337</v>
      </c>
      <c r="J1496" s="78"/>
      <c r="K1496" s="79"/>
      <c r="L1496" s="80"/>
      <c r="M1496" s="81"/>
    </row>
    <row r="1497">
      <c r="A1497" s="75" t="s">
        <v>3655</v>
      </c>
      <c r="B1497" s="75" t="s">
        <v>319</v>
      </c>
      <c r="C1497" s="75" t="s">
        <v>1346</v>
      </c>
      <c r="D1497" s="75">
        <v>2023.0</v>
      </c>
      <c r="E1497" s="75">
        <v>8.6036905415507E14</v>
      </c>
      <c r="F1497" s="76" t="s">
        <v>326</v>
      </c>
      <c r="G1497" s="68" t="s">
        <v>328</v>
      </c>
      <c r="H1497" s="69">
        <v>45658.0</v>
      </c>
      <c r="I1497" s="78" t="s">
        <v>337</v>
      </c>
      <c r="J1497" s="78"/>
      <c r="K1497" s="79"/>
      <c r="L1497" s="80"/>
      <c r="M1497" s="81"/>
    </row>
    <row r="1498">
      <c r="A1498" s="75" t="s">
        <v>3656</v>
      </c>
      <c r="B1498" s="75" t="s">
        <v>319</v>
      </c>
      <c r="C1498" s="75" t="s">
        <v>1346</v>
      </c>
      <c r="D1498" s="75">
        <v>2023.0</v>
      </c>
      <c r="E1498" s="75">
        <v>8.60369053334684E14</v>
      </c>
      <c r="F1498" s="76" t="s">
        <v>326</v>
      </c>
      <c r="G1498" s="68" t="s">
        <v>328</v>
      </c>
      <c r="H1498" s="69">
        <v>45658.0</v>
      </c>
      <c r="I1498" s="78" t="s">
        <v>337</v>
      </c>
      <c r="J1498" s="78"/>
      <c r="K1498" s="79"/>
      <c r="L1498" s="80"/>
      <c r="M1498" s="81"/>
    </row>
    <row r="1499">
      <c r="A1499" s="75" t="s">
        <v>3657</v>
      </c>
      <c r="B1499" s="75" t="s">
        <v>319</v>
      </c>
      <c r="C1499" s="75" t="s">
        <v>1346</v>
      </c>
      <c r="D1499" s="75">
        <v>2023.0</v>
      </c>
      <c r="E1499" s="75">
        <v>8.60369053340467E14</v>
      </c>
      <c r="F1499" s="76" t="s">
        <v>326</v>
      </c>
      <c r="G1499" s="68" t="s">
        <v>328</v>
      </c>
      <c r="H1499" s="69">
        <v>45658.0</v>
      </c>
      <c r="I1499" s="78" t="s">
        <v>337</v>
      </c>
      <c r="J1499" s="78"/>
      <c r="K1499" s="79"/>
      <c r="L1499" s="80"/>
      <c r="M1499" s="81"/>
    </row>
    <row r="1500">
      <c r="A1500" s="75" t="s">
        <v>3658</v>
      </c>
      <c r="B1500" s="75" t="s">
        <v>319</v>
      </c>
      <c r="C1500" s="75" t="s">
        <v>1346</v>
      </c>
      <c r="D1500" s="75">
        <v>2023.0</v>
      </c>
      <c r="E1500" s="75">
        <v>8.60369052695317E14</v>
      </c>
      <c r="F1500" s="76" t="s">
        <v>326</v>
      </c>
      <c r="G1500" s="68" t="s">
        <v>328</v>
      </c>
      <c r="H1500" s="69">
        <v>45658.0</v>
      </c>
      <c r="I1500" s="78" t="s">
        <v>337</v>
      </c>
      <c r="J1500" s="78"/>
      <c r="K1500" s="79"/>
      <c r="L1500" s="80"/>
      <c r="M1500" s="81"/>
    </row>
    <row r="1501">
      <c r="A1501" s="75" t="s">
        <v>3659</v>
      </c>
      <c r="B1501" s="75" t="s">
        <v>319</v>
      </c>
      <c r="C1501" s="75" t="s">
        <v>1346</v>
      </c>
      <c r="D1501" s="75">
        <v>2023.0</v>
      </c>
      <c r="E1501" s="75">
        <v>8.6036905333093E14</v>
      </c>
      <c r="F1501" s="76" t="s">
        <v>326</v>
      </c>
      <c r="G1501" s="68" t="s">
        <v>328</v>
      </c>
      <c r="H1501" s="69">
        <v>45658.0</v>
      </c>
      <c r="I1501" s="78" t="s">
        <v>337</v>
      </c>
      <c r="J1501" s="78"/>
      <c r="K1501" s="79"/>
      <c r="L1501" s="80"/>
      <c r="M1501" s="81"/>
    </row>
    <row r="1502">
      <c r="A1502" s="75" t="s">
        <v>3660</v>
      </c>
      <c r="B1502" s="75" t="s">
        <v>319</v>
      </c>
      <c r="C1502" s="75" t="s">
        <v>1346</v>
      </c>
      <c r="D1502" s="75">
        <v>2023.0</v>
      </c>
      <c r="E1502" s="75">
        <v>8.60369052701586E14</v>
      </c>
      <c r="F1502" s="76" t="s">
        <v>326</v>
      </c>
      <c r="G1502" s="68" t="s">
        <v>328</v>
      </c>
      <c r="H1502" s="69">
        <v>45658.0</v>
      </c>
      <c r="I1502" s="78" t="s">
        <v>337</v>
      </c>
      <c r="J1502" s="78"/>
      <c r="K1502" s="79"/>
      <c r="L1502" s="80"/>
      <c r="M1502" s="81"/>
    </row>
    <row r="1503">
      <c r="A1503" s="75" t="s">
        <v>3661</v>
      </c>
      <c r="B1503" s="75" t="s">
        <v>319</v>
      </c>
      <c r="C1503" s="75" t="s">
        <v>1346</v>
      </c>
      <c r="D1503" s="75">
        <v>2023.0</v>
      </c>
      <c r="E1503" s="75">
        <v>8.60369054165384E14</v>
      </c>
      <c r="F1503" s="76" t="s">
        <v>326</v>
      </c>
      <c r="G1503" s="68" t="s">
        <v>328</v>
      </c>
      <c r="H1503" s="69">
        <v>45658.0</v>
      </c>
      <c r="I1503" s="78" t="s">
        <v>337</v>
      </c>
      <c r="J1503" s="78"/>
      <c r="K1503" s="79"/>
      <c r="L1503" s="80"/>
      <c r="M1503" s="81"/>
    </row>
    <row r="1504">
      <c r="A1504" s="75" t="s">
        <v>3662</v>
      </c>
      <c r="B1504" s="75" t="s">
        <v>319</v>
      </c>
      <c r="C1504" s="75" t="s">
        <v>1346</v>
      </c>
      <c r="D1504" s="75">
        <v>2023.0</v>
      </c>
      <c r="E1504" s="75">
        <v>8.60369054405251E14</v>
      </c>
      <c r="F1504" s="76" t="s">
        <v>326</v>
      </c>
      <c r="G1504" s="68" t="s">
        <v>328</v>
      </c>
      <c r="H1504" s="69">
        <v>45658.0</v>
      </c>
      <c r="I1504" s="78" t="s">
        <v>337</v>
      </c>
      <c r="J1504" s="78"/>
      <c r="K1504" s="79"/>
      <c r="L1504" s="80"/>
      <c r="M1504" s="81"/>
    </row>
    <row r="1505">
      <c r="A1505" s="75" t="s">
        <v>3663</v>
      </c>
      <c r="B1505" s="75" t="s">
        <v>319</v>
      </c>
      <c r="C1505" s="75" t="s">
        <v>1346</v>
      </c>
      <c r="D1505" s="75">
        <v>2023.0</v>
      </c>
      <c r="E1505" s="75">
        <v>8.60369052701818E14</v>
      </c>
      <c r="F1505" s="76" t="s">
        <v>326</v>
      </c>
      <c r="G1505" s="68" t="s">
        <v>328</v>
      </c>
      <c r="H1505" s="69">
        <v>45658.0</v>
      </c>
      <c r="I1505" s="78" t="s">
        <v>337</v>
      </c>
      <c r="J1505" s="78"/>
      <c r="K1505" s="79"/>
      <c r="L1505" s="80"/>
      <c r="M1505" s="81"/>
    </row>
    <row r="1506">
      <c r="A1506" s="75" t="s">
        <v>3664</v>
      </c>
      <c r="B1506" s="75" t="s">
        <v>389</v>
      </c>
      <c r="C1506" s="75" t="s">
        <v>1483</v>
      </c>
      <c r="D1506" s="75">
        <v>2023.0</v>
      </c>
      <c r="E1506" s="75">
        <v>8.60369054164544E14</v>
      </c>
      <c r="F1506" s="76" t="s">
        <v>326</v>
      </c>
      <c r="G1506" s="68" t="s">
        <v>328</v>
      </c>
      <c r="H1506" s="69">
        <v>45658.0</v>
      </c>
      <c r="I1506" s="78" t="s">
        <v>337</v>
      </c>
      <c r="J1506" s="78"/>
      <c r="K1506" s="79"/>
      <c r="L1506" s="80"/>
      <c r="M1506" s="81"/>
      <c r="N1506" s="83" t="s">
        <v>380</v>
      </c>
    </row>
    <row r="1507">
      <c r="A1507" s="75" t="s">
        <v>3665</v>
      </c>
      <c r="B1507" s="75" t="s">
        <v>389</v>
      </c>
      <c r="C1507" s="75" t="s">
        <v>1483</v>
      </c>
      <c r="D1507" s="75">
        <v>2023.0</v>
      </c>
      <c r="E1507" s="75">
        <v>8.60369053340517E14</v>
      </c>
      <c r="F1507" s="76" t="s">
        <v>326</v>
      </c>
      <c r="G1507" s="68" t="s">
        <v>328</v>
      </c>
      <c r="H1507" s="69">
        <v>45658.0</v>
      </c>
      <c r="I1507" s="78" t="s">
        <v>337</v>
      </c>
      <c r="J1507" s="78"/>
      <c r="K1507" s="79"/>
      <c r="L1507" s="80"/>
      <c r="M1507" s="81"/>
      <c r="N1507" s="83" t="s">
        <v>380</v>
      </c>
    </row>
    <row r="1508">
      <c r="A1508" s="75" t="s">
        <v>3666</v>
      </c>
      <c r="B1508" s="75" t="s">
        <v>389</v>
      </c>
      <c r="C1508" s="75" t="s">
        <v>1483</v>
      </c>
      <c r="D1508" s="75">
        <v>2023.0</v>
      </c>
      <c r="E1508" s="75">
        <v>8.60369053345953E14</v>
      </c>
      <c r="F1508" s="76" t="s">
        <v>326</v>
      </c>
      <c r="G1508" s="68" t="s">
        <v>328</v>
      </c>
      <c r="H1508" s="69">
        <v>45658.0</v>
      </c>
      <c r="I1508" s="78" t="s">
        <v>337</v>
      </c>
      <c r="J1508" s="78"/>
      <c r="K1508" s="79"/>
      <c r="L1508" s="80"/>
      <c r="M1508" s="81"/>
      <c r="N1508" s="83" t="s">
        <v>380</v>
      </c>
    </row>
    <row r="1509">
      <c r="A1509" s="75" t="s">
        <v>3667</v>
      </c>
      <c r="B1509" s="75" t="s">
        <v>389</v>
      </c>
      <c r="C1509" s="75" t="s">
        <v>1483</v>
      </c>
      <c r="D1509" s="75">
        <v>2023.0</v>
      </c>
      <c r="E1509" s="75">
        <v>8.60369052123591E14</v>
      </c>
      <c r="F1509" s="76" t="s">
        <v>398</v>
      </c>
      <c r="G1509" s="68" t="s">
        <v>328</v>
      </c>
      <c r="H1509" s="69">
        <v>45658.0</v>
      </c>
      <c r="I1509" s="78" t="s">
        <v>337</v>
      </c>
      <c r="J1509" s="78"/>
      <c r="K1509" s="79"/>
      <c r="L1509" s="80"/>
      <c r="M1509" s="81"/>
      <c r="N1509" s="83" t="s">
        <v>380</v>
      </c>
    </row>
    <row r="1510">
      <c r="A1510" s="75" t="s">
        <v>3668</v>
      </c>
      <c r="B1510" s="75" t="s">
        <v>389</v>
      </c>
      <c r="C1510" s="75" t="s">
        <v>1483</v>
      </c>
      <c r="D1510" s="75">
        <v>2023.0</v>
      </c>
      <c r="E1510" s="75">
        <v>8.60369054168859E14</v>
      </c>
      <c r="F1510" s="76" t="s">
        <v>326</v>
      </c>
      <c r="G1510" s="68" t="s">
        <v>328</v>
      </c>
      <c r="H1510" s="69">
        <v>45658.0</v>
      </c>
      <c r="I1510" s="78" t="s">
        <v>337</v>
      </c>
      <c r="J1510" s="78"/>
      <c r="K1510" s="79"/>
      <c r="L1510" s="80"/>
      <c r="M1510" s="81"/>
      <c r="N1510" s="83" t="s">
        <v>380</v>
      </c>
    </row>
    <row r="1511">
      <c r="A1511" s="75" t="s">
        <v>3669</v>
      </c>
      <c r="B1511" s="75" t="s">
        <v>389</v>
      </c>
      <c r="C1511" s="75" t="s">
        <v>1483</v>
      </c>
      <c r="D1511" s="75">
        <v>2023.0</v>
      </c>
      <c r="E1511" s="75">
        <v>8.60369054194749E14</v>
      </c>
      <c r="F1511" s="76" t="s">
        <v>326</v>
      </c>
      <c r="G1511" s="68" t="s">
        <v>328</v>
      </c>
      <c r="H1511" s="69">
        <v>45658.0</v>
      </c>
      <c r="I1511" s="78" t="s">
        <v>337</v>
      </c>
      <c r="J1511" s="78"/>
      <c r="K1511" s="79"/>
      <c r="L1511" s="80"/>
      <c r="M1511" s="81"/>
      <c r="N1511" s="83" t="s">
        <v>380</v>
      </c>
    </row>
    <row r="1512">
      <c r="A1512" s="75" t="s">
        <v>3670</v>
      </c>
      <c r="B1512" s="75" t="s">
        <v>389</v>
      </c>
      <c r="C1512" s="75" t="s">
        <v>1483</v>
      </c>
      <c r="D1512" s="75">
        <v>2023.0</v>
      </c>
      <c r="E1512" s="75">
        <v>8.60369054170707E14</v>
      </c>
      <c r="F1512" s="76" t="s">
        <v>326</v>
      </c>
      <c r="G1512" s="68" t="s">
        <v>328</v>
      </c>
      <c r="H1512" s="69">
        <v>45658.0</v>
      </c>
      <c r="I1512" s="78" t="s">
        <v>337</v>
      </c>
      <c r="J1512" s="78"/>
      <c r="K1512" s="79"/>
      <c r="L1512" s="80"/>
      <c r="M1512" s="81"/>
      <c r="N1512" s="83" t="s">
        <v>380</v>
      </c>
    </row>
    <row r="1513">
      <c r="A1513" s="75" t="s">
        <v>3671</v>
      </c>
      <c r="B1513" s="75" t="s">
        <v>389</v>
      </c>
      <c r="C1513" s="75" t="s">
        <v>1483</v>
      </c>
      <c r="D1513" s="75">
        <v>2023.0</v>
      </c>
      <c r="E1513" s="75">
        <v>8.60369052471925E14</v>
      </c>
      <c r="F1513" s="76" t="s">
        <v>398</v>
      </c>
      <c r="G1513" s="68" t="s">
        <v>328</v>
      </c>
      <c r="H1513" s="69">
        <v>45658.0</v>
      </c>
      <c r="I1513" s="78" t="s">
        <v>337</v>
      </c>
      <c r="J1513" s="78"/>
      <c r="K1513" s="79"/>
      <c r="L1513" s="80"/>
      <c r="M1513" s="81"/>
      <c r="N1513" s="83" t="s">
        <v>380</v>
      </c>
    </row>
    <row r="1514">
      <c r="A1514" s="75" t="s">
        <v>3672</v>
      </c>
      <c r="B1514" s="75" t="s">
        <v>389</v>
      </c>
      <c r="C1514" s="75" t="s">
        <v>1483</v>
      </c>
      <c r="D1514" s="75">
        <v>2023.0</v>
      </c>
      <c r="E1514" s="75">
        <v>8.60369052167242E14</v>
      </c>
      <c r="F1514" s="76" t="s">
        <v>326</v>
      </c>
      <c r="G1514" s="68" t="s">
        <v>328</v>
      </c>
      <c r="H1514" s="69">
        <v>45658.0</v>
      </c>
      <c r="I1514" s="78" t="s">
        <v>337</v>
      </c>
      <c r="J1514" s="78"/>
      <c r="K1514" s="79"/>
      <c r="L1514" s="80"/>
      <c r="M1514" s="81"/>
      <c r="N1514" s="83" t="s">
        <v>380</v>
      </c>
    </row>
    <row r="1515">
      <c r="A1515" s="75" t="s">
        <v>3673</v>
      </c>
      <c r="B1515" s="75" t="s">
        <v>389</v>
      </c>
      <c r="C1515" s="75" t="s">
        <v>1483</v>
      </c>
      <c r="D1515" s="75">
        <v>2023.0</v>
      </c>
      <c r="E1515" s="75">
        <v>8.60369052126909E14</v>
      </c>
      <c r="F1515" s="76" t="s">
        <v>398</v>
      </c>
      <c r="G1515" s="68" t="s">
        <v>328</v>
      </c>
      <c r="H1515" s="69">
        <v>45658.0</v>
      </c>
      <c r="I1515" s="78" t="s">
        <v>337</v>
      </c>
      <c r="J1515" s="78"/>
      <c r="K1515" s="79"/>
      <c r="L1515" s="80"/>
      <c r="M1515" s="81"/>
      <c r="N1515" s="83" t="s">
        <v>380</v>
      </c>
    </row>
    <row r="1516">
      <c r="A1516" s="75" t="s">
        <v>3674</v>
      </c>
      <c r="B1516" s="75" t="s">
        <v>389</v>
      </c>
      <c r="C1516" s="75" t="s">
        <v>1483</v>
      </c>
      <c r="D1516" s="75">
        <v>2023.0</v>
      </c>
      <c r="E1516" s="75">
        <v>8.6036905214288E14</v>
      </c>
      <c r="F1516" s="76" t="s">
        <v>398</v>
      </c>
      <c r="G1516" s="68" t="s">
        <v>328</v>
      </c>
      <c r="H1516" s="69">
        <v>45658.0</v>
      </c>
      <c r="I1516" s="78" t="s">
        <v>337</v>
      </c>
      <c r="J1516" s="78"/>
      <c r="K1516" s="79"/>
      <c r="L1516" s="80"/>
      <c r="M1516" s="81"/>
      <c r="N1516" s="83" t="s">
        <v>380</v>
      </c>
    </row>
    <row r="1517">
      <c r="A1517" s="75" t="s">
        <v>3675</v>
      </c>
      <c r="B1517" s="75" t="s">
        <v>389</v>
      </c>
      <c r="C1517" s="75" t="s">
        <v>1483</v>
      </c>
      <c r="D1517" s="75">
        <v>2023.0</v>
      </c>
      <c r="E1517" s="75">
        <v>8.60369052154778E14</v>
      </c>
      <c r="F1517" s="76" t="s">
        <v>326</v>
      </c>
      <c r="G1517" s="68" t="s">
        <v>328</v>
      </c>
      <c r="H1517" s="69">
        <v>45658.0</v>
      </c>
      <c r="I1517" s="78" t="s">
        <v>337</v>
      </c>
      <c r="J1517" s="78"/>
      <c r="K1517" s="79"/>
      <c r="L1517" s="80"/>
      <c r="M1517" s="81"/>
      <c r="N1517" s="83" t="s">
        <v>380</v>
      </c>
    </row>
    <row r="1518">
      <c r="A1518" s="75" t="s">
        <v>3676</v>
      </c>
      <c r="B1518" s="75" t="s">
        <v>389</v>
      </c>
      <c r="C1518" s="75" t="s">
        <v>1483</v>
      </c>
      <c r="D1518" s="75">
        <v>2023.0</v>
      </c>
      <c r="E1518" s="75">
        <v>8.60369052416334E14</v>
      </c>
      <c r="F1518" s="76" t="s">
        <v>398</v>
      </c>
      <c r="G1518" s="68" t="s">
        <v>328</v>
      </c>
      <c r="H1518" s="69">
        <v>45658.0</v>
      </c>
      <c r="I1518" s="78" t="s">
        <v>337</v>
      </c>
      <c r="J1518" s="78"/>
      <c r="K1518" s="79"/>
      <c r="L1518" s="80"/>
      <c r="M1518" s="81"/>
      <c r="N1518" s="83" t="s">
        <v>380</v>
      </c>
    </row>
    <row r="1519">
      <c r="A1519" s="75" t="s">
        <v>3677</v>
      </c>
      <c r="B1519" s="75" t="s">
        <v>389</v>
      </c>
      <c r="C1519" s="75" t="s">
        <v>1483</v>
      </c>
      <c r="D1519" s="75">
        <v>2023.0</v>
      </c>
      <c r="E1519" s="75">
        <v>8.60369052154455E14</v>
      </c>
      <c r="F1519" s="76" t="s">
        <v>398</v>
      </c>
      <c r="G1519" s="68" t="s">
        <v>328</v>
      </c>
      <c r="H1519" s="69">
        <v>45658.0</v>
      </c>
      <c r="I1519" s="78" t="s">
        <v>337</v>
      </c>
      <c r="J1519" s="78"/>
      <c r="K1519" s="79"/>
      <c r="L1519" s="80"/>
      <c r="M1519" s="81"/>
      <c r="N1519" s="83" t="s">
        <v>380</v>
      </c>
    </row>
    <row r="1520">
      <c r="A1520" s="75" t="s">
        <v>3678</v>
      </c>
      <c r="B1520" s="75" t="s">
        <v>389</v>
      </c>
      <c r="C1520" s="75" t="s">
        <v>1483</v>
      </c>
      <c r="D1520" s="75">
        <v>2023.0</v>
      </c>
      <c r="E1520" s="75">
        <v>8.60369052144183E14</v>
      </c>
      <c r="F1520" s="76" t="s">
        <v>398</v>
      </c>
      <c r="G1520" s="68" t="s">
        <v>328</v>
      </c>
      <c r="H1520" s="69">
        <v>45658.0</v>
      </c>
      <c r="I1520" s="78" t="s">
        <v>337</v>
      </c>
      <c r="J1520" s="78"/>
      <c r="K1520" s="79"/>
      <c r="L1520" s="80"/>
      <c r="M1520" s="81"/>
      <c r="N1520" s="83" t="s">
        <v>380</v>
      </c>
    </row>
    <row r="1521">
      <c r="A1521" s="75" t="s">
        <v>3679</v>
      </c>
      <c r="B1521" s="75" t="s">
        <v>319</v>
      </c>
      <c r="C1521" s="75" t="s">
        <v>1346</v>
      </c>
      <c r="D1521" s="75">
        <v>2023.0</v>
      </c>
      <c r="E1521" s="75">
        <v>8.60369054187396E14</v>
      </c>
      <c r="F1521" s="76" t="s">
        <v>326</v>
      </c>
      <c r="G1521" s="68" t="s">
        <v>328</v>
      </c>
      <c r="H1521" s="69">
        <v>45658.0</v>
      </c>
      <c r="I1521" s="78" t="s">
        <v>337</v>
      </c>
      <c r="J1521" s="78"/>
      <c r="K1521" s="79"/>
      <c r="L1521" s="80"/>
      <c r="M1521" s="81"/>
    </row>
    <row r="1522">
      <c r="A1522" s="75" t="s">
        <v>3680</v>
      </c>
      <c r="B1522" s="75" t="s">
        <v>319</v>
      </c>
      <c r="C1522" s="75" t="s">
        <v>1346</v>
      </c>
      <c r="D1522" s="75">
        <v>2023.0</v>
      </c>
      <c r="E1522" s="75">
        <v>8.60369052707344E14</v>
      </c>
      <c r="F1522" s="76" t="s">
        <v>326</v>
      </c>
      <c r="G1522" s="68" t="s">
        <v>328</v>
      </c>
      <c r="H1522" s="69">
        <v>45658.0</v>
      </c>
      <c r="I1522" s="78" t="s">
        <v>337</v>
      </c>
      <c r="J1522" s="78"/>
      <c r="K1522" s="79"/>
      <c r="L1522" s="80"/>
      <c r="M1522" s="81"/>
    </row>
    <row r="1523">
      <c r="A1523" s="75" t="s">
        <v>3681</v>
      </c>
      <c r="B1523" s="75" t="s">
        <v>319</v>
      </c>
      <c r="C1523" s="75" t="s">
        <v>1346</v>
      </c>
      <c r="D1523" s="75">
        <v>2023.0</v>
      </c>
      <c r="E1523" s="75">
        <v>8.60369054173131E14</v>
      </c>
      <c r="F1523" s="76" t="s">
        <v>326</v>
      </c>
      <c r="G1523" s="68" t="s">
        <v>328</v>
      </c>
      <c r="H1523" s="69">
        <v>45658.0</v>
      </c>
      <c r="I1523" s="78" t="s">
        <v>337</v>
      </c>
      <c r="J1523" s="78"/>
      <c r="K1523" s="79"/>
      <c r="L1523" s="80"/>
      <c r="M1523" s="81"/>
    </row>
    <row r="1524">
      <c r="A1524" s="75" t="s">
        <v>3682</v>
      </c>
      <c r="B1524" s="75" t="s">
        <v>319</v>
      </c>
      <c r="C1524" s="75" t="s">
        <v>1346</v>
      </c>
      <c r="D1524" s="75">
        <v>2023.0</v>
      </c>
      <c r="E1524" s="75">
        <v>8.60369052144001E14</v>
      </c>
      <c r="F1524" s="76" t="s">
        <v>398</v>
      </c>
      <c r="G1524" s="68" t="s">
        <v>328</v>
      </c>
      <c r="H1524" s="69">
        <v>45658.0</v>
      </c>
      <c r="I1524" s="78" t="s">
        <v>337</v>
      </c>
      <c r="J1524" s="78"/>
      <c r="K1524" s="79"/>
      <c r="L1524" s="80"/>
      <c r="M1524" s="81"/>
    </row>
    <row r="1525">
      <c r="A1525" s="75" t="s">
        <v>3683</v>
      </c>
      <c r="B1525" s="75" t="s">
        <v>319</v>
      </c>
      <c r="C1525" s="75" t="s">
        <v>1346</v>
      </c>
      <c r="D1525" s="75">
        <v>2023.0</v>
      </c>
      <c r="E1525" s="75">
        <v>8.6036905441059E14</v>
      </c>
      <c r="F1525" s="76" t="s">
        <v>326</v>
      </c>
      <c r="G1525" s="68" t="s">
        <v>328</v>
      </c>
      <c r="H1525" s="69">
        <v>45658.0</v>
      </c>
      <c r="I1525" s="78" t="s">
        <v>337</v>
      </c>
      <c r="J1525" s="78"/>
      <c r="K1525" s="79"/>
      <c r="L1525" s="80"/>
      <c r="M1525" s="81"/>
    </row>
    <row r="1526">
      <c r="A1526" s="75" t="s">
        <v>3684</v>
      </c>
      <c r="B1526" s="75" t="s">
        <v>319</v>
      </c>
      <c r="C1526" s="75" t="s">
        <v>1346</v>
      </c>
      <c r="D1526" s="75">
        <v>2023.0</v>
      </c>
      <c r="E1526" s="75">
        <v>8.60369054184344E14</v>
      </c>
      <c r="F1526" s="76" t="s">
        <v>326</v>
      </c>
      <c r="G1526" s="68" t="s">
        <v>328</v>
      </c>
      <c r="H1526" s="69">
        <v>45658.0</v>
      </c>
      <c r="I1526" s="78" t="s">
        <v>337</v>
      </c>
      <c r="J1526" s="78"/>
      <c r="K1526" s="79"/>
      <c r="L1526" s="80"/>
      <c r="M1526" s="81"/>
    </row>
    <row r="1527">
      <c r="A1527" s="75" t="s">
        <v>3685</v>
      </c>
      <c r="B1527" s="75" t="s">
        <v>319</v>
      </c>
      <c r="C1527" s="75" t="s">
        <v>1346</v>
      </c>
      <c r="D1527" s="75">
        <v>2023.0</v>
      </c>
      <c r="E1527" s="75">
        <v>8.60369054189871E14</v>
      </c>
      <c r="F1527" s="76" t="s">
        <v>326</v>
      </c>
      <c r="G1527" s="68" t="s">
        <v>328</v>
      </c>
      <c r="H1527" s="69">
        <v>45658.0</v>
      </c>
      <c r="I1527" s="78" t="s">
        <v>337</v>
      </c>
      <c r="J1527" s="78"/>
      <c r="K1527" s="79"/>
      <c r="L1527" s="80"/>
      <c r="M1527" s="81"/>
    </row>
    <row r="1528">
      <c r="A1528" s="75" t="s">
        <v>3686</v>
      </c>
      <c r="B1528" s="75" t="s">
        <v>319</v>
      </c>
      <c r="C1528" s="75" t="s">
        <v>1346</v>
      </c>
      <c r="D1528" s="75">
        <v>2023.0</v>
      </c>
      <c r="E1528" s="75">
        <v>8.60369054415482E14</v>
      </c>
      <c r="F1528" s="76" t="s">
        <v>326</v>
      </c>
      <c r="G1528" s="68" t="s">
        <v>328</v>
      </c>
      <c r="H1528" s="69">
        <v>45658.0</v>
      </c>
      <c r="I1528" s="78" t="s">
        <v>337</v>
      </c>
      <c r="J1528" s="78"/>
      <c r="K1528" s="79"/>
      <c r="L1528" s="110" t="s">
        <v>3687</v>
      </c>
      <c r="M1528" s="81"/>
    </row>
    <row r="1529">
      <c r="A1529" s="75" t="s">
        <v>3688</v>
      </c>
      <c r="B1529" s="75" t="s">
        <v>319</v>
      </c>
      <c r="C1529" s="75" t="s">
        <v>1346</v>
      </c>
      <c r="D1529" s="75">
        <v>2023.0</v>
      </c>
      <c r="E1529" s="75">
        <v>8.60369053344485E14</v>
      </c>
      <c r="F1529" s="76" t="s">
        <v>326</v>
      </c>
      <c r="G1529" s="68" t="s">
        <v>328</v>
      </c>
      <c r="H1529" s="69">
        <v>45658.0</v>
      </c>
      <c r="I1529" s="78" t="s">
        <v>337</v>
      </c>
      <c r="J1529" s="78"/>
      <c r="K1529" s="79"/>
      <c r="L1529" s="80"/>
      <c r="M1529" s="81"/>
    </row>
    <row r="1530">
      <c r="A1530" s="75" t="s">
        <v>3689</v>
      </c>
      <c r="B1530" s="75" t="s">
        <v>319</v>
      </c>
      <c r="C1530" s="75" t="s">
        <v>1346</v>
      </c>
      <c r="D1530" s="75">
        <v>2023.0</v>
      </c>
      <c r="E1530" s="75">
        <v>8.603690541548E14</v>
      </c>
      <c r="F1530" s="76" t="s">
        <v>326</v>
      </c>
      <c r="G1530" s="68" t="s">
        <v>328</v>
      </c>
      <c r="H1530" s="69">
        <v>45658.0</v>
      </c>
      <c r="I1530" s="78" t="s">
        <v>337</v>
      </c>
      <c r="J1530" s="78"/>
      <c r="K1530" s="79"/>
      <c r="L1530" s="80"/>
      <c r="M1530" s="81"/>
    </row>
    <row r="1531">
      <c r="A1531" s="75" t="s">
        <v>3690</v>
      </c>
      <c r="B1531" s="75" t="s">
        <v>389</v>
      </c>
      <c r="C1531" s="75" t="s">
        <v>1483</v>
      </c>
      <c r="D1531" s="75">
        <v>2023.0</v>
      </c>
      <c r="E1531" s="75">
        <v>8.60369052142914E14</v>
      </c>
      <c r="F1531" s="76" t="s">
        <v>398</v>
      </c>
      <c r="G1531" s="68" t="s">
        <v>328</v>
      </c>
      <c r="H1531" s="69">
        <v>45658.0</v>
      </c>
      <c r="I1531" s="78" t="s">
        <v>337</v>
      </c>
      <c r="J1531" s="78"/>
      <c r="K1531" s="79"/>
      <c r="L1531" s="80"/>
      <c r="M1531" s="81"/>
      <c r="N1531" s="83" t="s">
        <v>380</v>
      </c>
    </row>
    <row r="1532">
      <c r="A1532" s="75" t="s">
        <v>3691</v>
      </c>
      <c r="B1532" s="75" t="s">
        <v>389</v>
      </c>
      <c r="C1532" s="75" t="s">
        <v>1483</v>
      </c>
      <c r="D1532" s="75">
        <v>2023.0</v>
      </c>
      <c r="E1532" s="75">
        <v>8.60369052172671E14</v>
      </c>
      <c r="F1532" s="76" t="s">
        <v>398</v>
      </c>
      <c r="G1532" s="68" t="s">
        <v>328</v>
      </c>
      <c r="H1532" s="69">
        <v>45658.0</v>
      </c>
      <c r="I1532" s="78" t="s">
        <v>337</v>
      </c>
      <c r="J1532" s="78"/>
      <c r="K1532" s="79"/>
      <c r="L1532" s="80"/>
      <c r="M1532" s="81"/>
      <c r="N1532" s="83" t="s">
        <v>380</v>
      </c>
    </row>
    <row r="1533">
      <c r="A1533" s="75" t="s">
        <v>3692</v>
      </c>
      <c r="B1533" s="75" t="s">
        <v>389</v>
      </c>
      <c r="C1533" s="75" t="s">
        <v>1483</v>
      </c>
      <c r="D1533" s="75">
        <v>2023.0</v>
      </c>
      <c r="E1533" s="75">
        <v>8.60369052166764E14</v>
      </c>
      <c r="F1533" s="76" t="s">
        <v>398</v>
      </c>
      <c r="G1533" s="68" t="s">
        <v>328</v>
      </c>
      <c r="H1533" s="69">
        <v>45658.0</v>
      </c>
      <c r="I1533" s="78" t="s">
        <v>337</v>
      </c>
      <c r="J1533" s="78"/>
      <c r="K1533" s="79"/>
      <c r="L1533" s="80"/>
      <c r="M1533" s="81"/>
      <c r="N1533" s="83" t="s">
        <v>380</v>
      </c>
    </row>
    <row r="1534">
      <c r="A1534" s="75" t="s">
        <v>3693</v>
      </c>
      <c r="B1534" s="75" t="s">
        <v>389</v>
      </c>
      <c r="C1534" s="75" t="s">
        <v>1483</v>
      </c>
      <c r="D1534" s="75">
        <v>2023.0</v>
      </c>
      <c r="E1534" s="75">
        <v>8.60369052118872E14</v>
      </c>
      <c r="F1534" s="76" t="s">
        <v>398</v>
      </c>
      <c r="G1534" s="68" t="s">
        <v>328</v>
      </c>
      <c r="H1534" s="69">
        <v>45658.0</v>
      </c>
      <c r="I1534" s="78" t="s">
        <v>337</v>
      </c>
      <c r="J1534" s="78"/>
      <c r="K1534" s="79"/>
      <c r="L1534" s="80"/>
      <c r="M1534" s="81"/>
      <c r="N1534" s="83" t="s">
        <v>380</v>
      </c>
    </row>
    <row r="1535">
      <c r="A1535" s="75" t="s">
        <v>3694</v>
      </c>
      <c r="B1535" s="75" t="s">
        <v>389</v>
      </c>
      <c r="C1535" s="75" t="s">
        <v>1483</v>
      </c>
      <c r="D1535" s="75">
        <v>2023.0</v>
      </c>
      <c r="E1535" s="75">
        <v>8.60369052113816E14</v>
      </c>
      <c r="F1535" s="76" t="s">
        <v>398</v>
      </c>
      <c r="G1535" s="68" t="s">
        <v>328</v>
      </c>
      <c r="H1535" s="69">
        <v>45658.0</v>
      </c>
      <c r="I1535" s="78" t="s">
        <v>337</v>
      </c>
      <c r="J1535" s="78"/>
      <c r="K1535" s="79"/>
      <c r="L1535" s="80"/>
      <c r="M1535" s="81"/>
      <c r="N1535" s="83" t="s">
        <v>380</v>
      </c>
    </row>
    <row r="1536">
      <c r="A1536" s="75" t="s">
        <v>3695</v>
      </c>
      <c r="B1536" s="75" t="s">
        <v>389</v>
      </c>
      <c r="C1536" s="75" t="s">
        <v>1483</v>
      </c>
      <c r="D1536" s="75">
        <v>2023.0</v>
      </c>
      <c r="E1536" s="75">
        <v>8.60369052143367E14</v>
      </c>
      <c r="F1536" s="76" t="s">
        <v>398</v>
      </c>
      <c r="G1536" s="68" t="s">
        <v>328</v>
      </c>
      <c r="H1536" s="69">
        <v>45658.0</v>
      </c>
      <c r="I1536" s="78" t="s">
        <v>337</v>
      </c>
      <c r="J1536" s="78"/>
      <c r="K1536" s="79"/>
      <c r="L1536" s="80"/>
      <c r="M1536" s="81"/>
      <c r="N1536" s="83" t="s">
        <v>380</v>
      </c>
    </row>
    <row r="1537">
      <c r="A1537" s="75" t="s">
        <v>3696</v>
      </c>
      <c r="B1537" s="75" t="s">
        <v>389</v>
      </c>
      <c r="C1537" s="75" t="s">
        <v>1483</v>
      </c>
      <c r="D1537" s="75">
        <v>2023.0</v>
      </c>
      <c r="E1537" s="75">
        <v>8.60369052144803E14</v>
      </c>
      <c r="F1537" s="76" t="s">
        <v>398</v>
      </c>
      <c r="G1537" s="68" t="s">
        <v>328</v>
      </c>
      <c r="H1537" s="69">
        <v>45658.0</v>
      </c>
      <c r="I1537" s="78" t="s">
        <v>337</v>
      </c>
      <c r="J1537" s="78"/>
      <c r="K1537" s="79"/>
      <c r="L1537" s="80"/>
      <c r="M1537" s="81"/>
      <c r="N1537" s="83" t="s">
        <v>380</v>
      </c>
    </row>
    <row r="1538">
      <c r="A1538" s="75" t="s">
        <v>3697</v>
      </c>
      <c r="B1538" s="75" t="s">
        <v>389</v>
      </c>
      <c r="C1538" s="75" t="s">
        <v>1483</v>
      </c>
      <c r="D1538" s="75">
        <v>2023.0</v>
      </c>
      <c r="E1538" s="75">
        <v>8.60369052141007E14</v>
      </c>
      <c r="F1538" s="76" t="s">
        <v>398</v>
      </c>
      <c r="G1538" s="68" t="s">
        <v>328</v>
      </c>
      <c r="H1538" s="69">
        <v>45658.0</v>
      </c>
      <c r="I1538" s="78" t="s">
        <v>337</v>
      </c>
      <c r="J1538" s="78"/>
      <c r="K1538" s="79"/>
      <c r="L1538" s="80"/>
      <c r="M1538" s="81"/>
      <c r="N1538" s="83" t="s">
        <v>380</v>
      </c>
    </row>
    <row r="1539">
      <c r="A1539" s="75" t="s">
        <v>3698</v>
      </c>
      <c r="B1539" s="75" t="s">
        <v>389</v>
      </c>
      <c r="C1539" s="75" t="s">
        <v>1483</v>
      </c>
      <c r="D1539" s="75">
        <v>2023.0</v>
      </c>
      <c r="E1539" s="75">
        <v>8.60369052408042E14</v>
      </c>
      <c r="F1539" s="76" t="s">
        <v>398</v>
      </c>
      <c r="G1539" s="68" t="s">
        <v>328</v>
      </c>
      <c r="H1539" s="69">
        <v>45658.0</v>
      </c>
      <c r="I1539" s="78" t="s">
        <v>337</v>
      </c>
      <c r="J1539" s="78"/>
      <c r="K1539" s="79"/>
      <c r="L1539" s="80"/>
      <c r="M1539" s="81"/>
      <c r="N1539" s="83" t="s">
        <v>380</v>
      </c>
    </row>
    <row r="1540">
      <c r="A1540" s="75" t="s">
        <v>3699</v>
      </c>
      <c r="B1540" s="75" t="s">
        <v>389</v>
      </c>
      <c r="C1540" s="75" t="s">
        <v>1483</v>
      </c>
      <c r="D1540" s="75">
        <v>2023.0</v>
      </c>
      <c r="E1540" s="75">
        <v>8.60369052173224E14</v>
      </c>
      <c r="F1540" s="76" t="s">
        <v>398</v>
      </c>
      <c r="G1540" s="68" t="s">
        <v>328</v>
      </c>
      <c r="H1540" s="69">
        <v>45658.0</v>
      </c>
      <c r="I1540" s="78" t="s">
        <v>337</v>
      </c>
      <c r="J1540" s="78"/>
      <c r="K1540" s="79"/>
      <c r="L1540" s="80"/>
      <c r="M1540" s="81"/>
      <c r="N1540" s="83" t="s">
        <v>380</v>
      </c>
    </row>
    <row r="1541">
      <c r="A1541" s="75" t="s">
        <v>3700</v>
      </c>
      <c r="B1541" s="75" t="s">
        <v>389</v>
      </c>
      <c r="C1541" s="75" t="s">
        <v>1483</v>
      </c>
      <c r="D1541" s="75">
        <v>2023.0</v>
      </c>
      <c r="E1541" s="75">
        <v>8.60369052168588E14</v>
      </c>
      <c r="F1541" s="76" t="s">
        <v>398</v>
      </c>
      <c r="G1541" s="68" t="s">
        <v>328</v>
      </c>
      <c r="H1541" s="69">
        <v>45658.0</v>
      </c>
      <c r="I1541" s="78" t="s">
        <v>337</v>
      </c>
      <c r="J1541" s="78"/>
      <c r="K1541" s="79"/>
      <c r="L1541" s="80"/>
      <c r="M1541" s="81"/>
      <c r="N1541" s="83" t="s">
        <v>380</v>
      </c>
    </row>
    <row r="1542">
      <c r="A1542" s="75" t="s">
        <v>3701</v>
      </c>
      <c r="B1542" s="75" t="s">
        <v>389</v>
      </c>
      <c r="C1542" s="75" t="s">
        <v>1483</v>
      </c>
      <c r="D1542" s="75">
        <v>2023.0</v>
      </c>
      <c r="E1542" s="75">
        <v>8.60369052470901E14</v>
      </c>
      <c r="F1542" s="76" t="s">
        <v>398</v>
      </c>
      <c r="G1542" s="68" t="s">
        <v>328</v>
      </c>
      <c r="H1542" s="69">
        <v>45658.0</v>
      </c>
      <c r="I1542" s="78" t="s">
        <v>337</v>
      </c>
      <c r="J1542" s="78"/>
      <c r="K1542" s="79"/>
      <c r="L1542" s="80"/>
      <c r="M1542" s="81"/>
      <c r="N1542" s="83" t="s">
        <v>380</v>
      </c>
    </row>
    <row r="1543">
      <c r="A1543" s="75" t="s">
        <v>3702</v>
      </c>
      <c r="B1543" s="75" t="s">
        <v>389</v>
      </c>
      <c r="C1543" s="75" t="s">
        <v>1483</v>
      </c>
      <c r="D1543" s="75">
        <v>2023.0</v>
      </c>
      <c r="E1543" s="75">
        <v>8.60369052167507E14</v>
      </c>
      <c r="F1543" s="76" t="s">
        <v>398</v>
      </c>
      <c r="G1543" s="68" t="s">
        <v>328</v>
      </c>
      <c r="H1543" s="69">
        <v>45658.0</v>
      </c>
      <c r="I1543" s="78" t="s">
        <v>337</v>
      </c>
      <c r="J1543" s="78"/>
      <c r="K1543" s="79"/>
      <c r="L1543" s="80"/>
      <c r="M1543" s="81"/>
      <c r="N1543" s="83" t="s">
        <v>380</v>
      </c>
    </row>
    <row r="1544">
      <c r="A1544" s="75" t="s">
        <v>3703</v>
      </c>
      <c r="B1544" s="75" t="s">
        <v>389</v>
      </c>
      <c r="C1544" s="75" t="s">
        <v>1483</v>
      </c>
      <c r="D1544" s="75">
        <v>2023.0</v>
      </c>
      <c r="E1544" s="75">
        <v>8.60369052168141E14</v>
      </c>
      <c r="F1544" s="76" t="s">
        <v>398</v>
      </c>
      <c r="G1544" s="68" t="s">
        <v>328</v>
      </c>
      <c r="H1544" s="69">
        <v>45658.0</v>
      </c>
      <c r="I1544" s="78" t="s">
        <v>337</v>
      </c>
      <c r="J1544" s="78"/>
      <c r="K1544" s="79"/>
      <c r="L1544" s="80"/>
      <c r="M1544" s="81"/>
      <c r="N1544" s="83" t="s">
        <v>380</v>
      </c>
    </row>
    <row r="1545">
      <c r="A1545" s="75" t="s">
        <v>3704</v>
      </c>
      <c r="B1545" s="75" t="s">
        <v>389</v>
      </c>
      <c r="C1545" s="75" t="s">
        <v>1483</v>
      </c>
      <c r="D1545" s="75">
        <v>2023.0</v>
      </c>
      <c r="E1545" s="75">
        <v>8.60369052113915E14</v>
      </c>
      <c r="F1545" s="76" t="s">
        <v>398</v>
      </c>
      <c r="G1545" s="68" t="s">
        <v>328</v>
      </c>
      <c r="H1545" s="69">
        <v>45658.0</v>
      </c>
      <c r="I1545" s="78" t="s">
        <v>337</v>
      </c>
      <c r="J1545" s="78"/>
      <c r="K1545" s="79"/>
      <c r="L1545" s="80"/>
      <c r="M1545" s="81"/>
      <c r="N1545" s="83" t="s">
        <v>380</v>
      </c>
    </row>
    <row r="1546">
      <c r="A1546" s="75" t="s">
        <v>3705</v>
      </c>
      <c r="B1546" s="75" t="s">
        <v>389</v>
      </c>
      <c r="C1546" s="75" t="s">
        <v>1483</v>
      </c>
      <c r="D1546" s="75">
        <v>2023.0</v>
      </c>
      <c r="E1546" s="75">
        <v>8.60369052155759E14</v>
      </c>
      <c r="F1546" s="76" t="s">
        <v>398</v>
      </c>
      <c r="G1546" s="68" t="s">
        <v>328</v>
      </c>
      <c r="H1546" s="69">
        <v>45658.0</v>
      </c>
      <c r="I1546" s="78" t="s">
        <v>337</v>
      </c>
      <c r="J1546" s="78"/>
      <c r="K1546" s="79"/>
      <c r="L1546" s="80"/>
      <c r="M1546" s="81"/>
      <c r="N1546" s="83" t="s">
        <v>380</v>
      </c>
    </row>
    <row r="1547">
      <c r="A1547" s="75" t="s">
        <v>3706</v>
      </c>
      <c r="B1547" s="75" t="s">
        <v>389</v>
      </c>
      <c r="C1547" s="75" t="s">
        <v>1483</v>
      </c>
      <c r="D1547" s="75">
        <v>2023.0</v>
      </c>
      <c r="E1547" s="75">
        <v>8.60369052176201E14</v>
      </c>
      <c r="F1547" s="76" t="s">
        <v>326</v>
      </c>
      <c r="G1547" s="68" t="s">
        <v>328</v>
      </c>
      <c r="H1547" s="69">
        <v>45658.0</v>
      </c>
      <c r="I1547" s="78" t="s">
        <v>337</v>
      </c>
      <c r="J1547" s="78"/>
      <c r="K1547" s="79"/>
      <c r="L1547" s="80"/>
      <c r="M1547" s="81"/>
      <c r="N1547" s="83" t="s">
        <v>380</v>
      </c>
    </row>
    <row r="1548">
      <c r="A1548" s="75" t="s">
        <v>3707</v>
      </c>
      <c r="B1548" s="75" t="s">
        <v>389</v>
      </c>
      <c r="C1548" s="75" t="s">
        <v>1483</v>
      </c>
      <c r="D1548" s="75">
        <v>2023.0</v>
      </c>
      <c r="E1548" s="75">
        <v>8.60369054170319E14</v>
      </c>
      <c r="F1548" s="76" t="s">
        <v>326</v>
      </c>
      <c r="G1548" s="68" t="s">
        <v>328</v>
      </c>
      <c r="H1548" s="69">
        <v>45658.0</v>
      </c>
      <c r="I1548" s="78" t="s">
        <v>337</v>
      </c>
      <c r="J1548" s="78"/>
      <c r="K1548" s="79"/>
      <c r="L1548" s="80"/>
      <c r="M1548" s="81"/>
      <c r="N1548" s="83" t="s">
        <v>380</v>
      </c>
    </row>
    <row r="1549">
      <c r="A1549" s="75" t="s">
        <v>3708</v>
      </c>
      <c r="B1549" s="75" t="s">
        <v>319</v>
      </c>
      <c r="C1549" s="75" t="s">
        <v>1346</v>
      </c>
      <c r="D1549" s="75">
        <v>2024.0</v>
      </c>
      <c r="E1549" s="75">
        <v>8.60369054402779E14</v>
      </c>
      <c r="F1549" s="76" t="s">
        <v>326</v>
      </c>
      <c r="G1549" s="68" t="s">
        <v>328</v>
      </c>
      <c r="H1549" s="69">
        <v>45658.0</v>
      </c>
      <c r="I1549" s="78" t="s">
        <v>337</v>
      </c>
      <c r="J1549" s="78"/>
      <c r="K1549" s="79"/>
      <c r="L1549" s="80"/>
      <c r="M1549" s="81"/>
    </row>
    <row r="1550">
      <c r="A1550" s="75" t="s">
        <v>3709</v>
      </c>
      <c r="B1550" s="75" t="s">
        <v>319</v>
      </c>
      <c r="C1550" s="75" t="s">
        <v>1346</v>
      </c>
      <c r="D1550" s="75">
        <v>2024.0</v>
      </c>
      <c r="E1550" s="75">
        <v>8.60369054170772E14</v>
      </c>
      <c r="F1550" s="76" t="s">
        <v>326</v>
      </c>
      <c r="G1550" s="68" t="s">
        <v>328</v>
      </c>
      <c r="H1550" s="69">
        <v>45658.0</v>
      </c>
      <c r="I1550" s="78" t="s">
        <v>337</v>
      </c>
      <c r="J1550" s="78"/>
      <c r="K1550" s="79"/>
      <c r="L1550" s="80"/>
      <c r="M1550" s="81"/>
    </row>
    <row r="1551">
      <c r="A1551" s="75" t="s">
        <v>3710</v>
      </c>
      <c r="B1551" s="75" t="s">
        <v>319</v>
      </c>
      <c r="C1551" s="75" t="s">
        <v>1346</v>
      </c>
      <c r="D1551" s="75">
        <v>2024.0</v>
      </c>
      <c r="E1551" s="75">
        <v>8.60369052444666E14</v>
      </c>
      <c r="F1551" s="76" t="s">
        <v>326</v>
      </c>
      <c r="G1551" s="68" t="s">
        <v>328</v>
      </c>
      <c r="H1551" s="69">
        <v>45658.0</v>
      </c>
      <c r="I1551" s="78" t="s">
        <v>337</v>
      </c>
      <c r="J1551" s="78"/>
      <c r="K1551" s="79"/>
      <c r="L1551" s="80"/>
      <c r="M1551" s="81"/>
    </row>
    <row r="1552">
      <c r="A1552" s="75" t="s">
        <v>3711</v>
      </c>
      <c r="B1552" s="75" t="s">
        <v>319</v>
      </c>
      <c r="C1552" s="75" t="s">
        <v>1346</v>
      </c>
      <c r="D1552" s="75">
        <v>2024.0</v>
      </c>
      <c r="E1552" s="75">
        <v>8.60369054165376E14</v>
      </c>
      <c r="F1552" s="76" t="s">
        <v>326</v>
      </c>
      <c r="G1552" s="68" t="s">
        <v>328</v>
      </c>
      <c r="H1552" s="69">
        <v>45658.0</v>
      </c>
      <c r="I1552" s="78" t="s">
        <v>337</v>
      </c>
      <c r="J1552" s="78"/>
      <c r="K1552" s="79"/>
      <c r="L1552" s="80"/>
      <c r="M1552" s="81"/>
    </row>
    <row r="1553">
      <c r="A1553" s="75" t="s">
        <v>3712</v>
      </c>
      <c r="B1553" s="75" t="s">
        <v>319</v>
      </c>
      <c r="C1553" s="75" t="s">
        <v>1346</v>
      </c>
      <c r="D1553" s="75">
        <v>2024.0</v>
      </c>
      <c r="E1553" s="75">
        <v>8.60369052429675E14</v>
      </c>
      <c r="F1553" s="76" t="s">
        <v>326</v>
      </c>
      <c r="G1553" s="68" t="s">
        <v>328</v>
      </c>
      <c r="H1553" s="69">
        <v>45658.0</v>
      </c>
      <c r="I1553" s="78" t="s">
        <v>337</v>
      </c>
      <c r="J1553" s="78"/>
      <c r="K1553" s="79"/>
      <c r="L1553" s="80"/>
      <c r="M1553" s="81"/>
    </row>
    <row r="1554">
      <c r="A1554" s="75" t="s">
        <v>3713</v>
      </c>
      <c r="B1554" s="75" t="s">
        <v>319</v>
      </c>
      <c r="C1554" s="75" t="s">
        <v>1346</v>
      </c>
      <c r="D1554" s="75">
        <v>2024.0</v>
      </c>
      <c r="E1554" s="75">
        <v>8.60369054759905E14</v>
      </c>
      <c r="F1554" s="76" t="s">
        <v>326</v>
      </c>
      <c r="G1554" s="68" t="s">
        <v>328</v>
      </c>
      <c r="H1554" s="69">
        <v>45658.0</v>
      </c>
      <c r="I1554" s="78" t="s">
        <v>337</v>
      </c>
      <c r="J1554" s="78"/>
      <c r="K1554" s="79"/>
      <c r="L1554" s="80"/>
      <c r="M1554" s="81"/>
    </row>
    <row r="1555">
      <c r="A1555" s="75" t="s">
        <v>3714</v>
      </c>
      <c r="B1555" s="75" t="s">
        <v>319</v>
      </c>
      <c r="C1555" s="75" t="s">
        <v>1346</v>
      </c>
      <c r="D1555" s="75">
        <v>2024.0</v>
      </c>
      <c r="E1555" s="75">
        <v>8.60369054172927E14</v>
      </c>
      <c r="F1555" s="76" t="s">
        <v>326</v>
      </c>
      <c r="G1555" s="68" t="s">
        <v>328</v>
      </c>
      <c r="H1555" s="69">
        <v>45658.0</v>
      </c>
      <c r="I1555" s="78" t="s">
        <v>337</v>
      </c>
      <c r="J1555" s="78"/>
      <c r="K1555" s="79"/>
      <c r="L1555" s="80"/>
      <c r="M1555" s="81"/>
    </row>
    <row r="1556">
      <c r="A1556" s="75" t="s">
        <v>3715</v>
      </c>
      <c r="B1556" s="75" t="s">
        <v>319</v>
      </c>
      <c r="C1556" s="75" t="s">
        <v>1346</v>
      </c>
      <c r="D1556" s="75">
        <v>2024.0</v>
      </c>
      <c r="E1556" s="75">
        <v>8.60369052193925E14</v>
      </c>
      <c r="F1556" s="76" t="s">
        <v>326</v>
      </c>
      <c r="G1556" s="68" t="s">
        <v>328</v>
      </c>
      <c r="H1556" s="69">
        <v>45658.0</v>
      </c>
      <c r="I1556" s="78" t="s">
        <v>337</v>
      </c>
      <c r="J1556" s="78"/>
      <c r="K1556" s="79"/>
      <c r="L1556" s="80"/>
      <c r="M1556" s="81"/>
    </row>
    <row r="1557">
      <c r="A1557" s="75" t="s">
        <v>3716</v>
      </c>
      <c r="B1557" s="75" t="s">
        <v>319</v>
      </c>
      <c r="C1557" s="75" t="s">
        <v>1346</v>
      </c>
      <c r="D1557" s="75">
        <v>2024.0</v>
      </c>
      <c r="E1557" s="75">
        <v>8.60369054153067E14</v>
      </c>
      <c r="F1557" s="76" t="s">
        <v>326</v>
      </c>
      <c r="G1557" s="68" t="s">
        <v>328</v>
      </c>
      <c r="H1557" s="69">
        <v>45658.0</v>
      </c>
      <c r="I1557" s="78" t="s">
        <v>337</v>
      </c>
      <c r="J1557" s="78"/>
      <c r="K1557" s="79"/>
      <c r="L1557" s="80"/>
      <c r="M1557" s="81"/>
    </row>
    <row r="1558">
      <c r="A1558" s="75" t="s">
        <v>3717</v>
      </c>
      <c r="B1558" s="75" t="s">
        <v>319</v>
      </c>
      <c r="C1558" s="75" t="s">
        <v>321</v>
      </c>
      <c r="D1558" s="75">
        <v>2024.0</v>
      </c>
      <c r="E1558" s="75">
        <v>8.60369052481049E14</v>
      </c>
      <c r="F1558" s="76" t="s">
        <v>398</v>
      </c>
      <c r="G1558" s="68" t="s">
        <v>328</v>
      </c>
      <c r="H1558" s="69">
        <v>45658.0</v>
      </c>
      <c r="I1558" s="78" t="s">
        <v>337</v>
      </c>
      <c r="J1558" s="78"/>
      <c r="K1558" s="79"/>
      <c r="L1558" s="80"/>
      <c r="M1558" s="81"/>
    </row>
    <row r="1559">
      <c r="A1559" s="75" t="s">
        <v>3718</v>
      </c>
      <c r="B1559" s="75" t="s">
        <v>319</v>
      </c>
      <c r="C1559" s="75" t="s">
        <v>321</v>
      </c>
      <c r="D1559" s="75">
        <v>2024.0</v>
      </c>
      <c r="E1559" s="75">
        <v>8.60369054192446E14</v>
      </c>
      <c r="F1559" s="76" t="s">
        <v>326</v>
      </c>
      <c r="G1559" s="68" t="s">
        <v>328</v>
      </c>
      <c r="H1559" s="69">
        <v>45658.0</v>
      </c>
      <c r="I1559" s="78" t="s">
        <v>337</v>
      </c>
      <c r="J1559" s="78"/>
      <c r="K1559" s="79"/>
      <c r="L1559" s="80"/>
      <c r="M1559" s="81"/>
    </row>
    <row r="1560">
      <c r="A1560" s="75" t="s">
        <v>3719</v>
      </c>
      <c r="B1560" s="75" t="s">
        <v>319</v>
      </c>
      <c r="C1560" s="75" t="s">
        <v>321</v>
      </c>
      <c r="D1560" s="75">
        <v>2024.0</v>
      </c>
      <c r="E1560" s="75">
        <v>8.60369052705736E14</v>
      </c>
      <c r="F1560" s="76" t="s">
        <v>326</v>
      </c>
      <c r="G1560" s="68" t="s">
        <v>328</v>
      </c>
      <c r="H1560" s="69">
        <v>45658.0</v>
      </c>
      <c r="I1560" s="78" t="s">
        <v>337</v>
      </c>
      <c r="J1560" s="78"/>
      <c r="K1560" s="79"/>
      <c r="L1560" s="80"/>
      <c r="M1560" s="81"/>
    </row>
    <row r="1561">
      <c r="A1561" s="75" t="s">
        <v>3720</v>
      </c>
      <c r="B1561" s="75" t="s">
        <v>319</v>
      </c>
      <c r="C1561" s="75" t="s">
        <v>321</v>
      </c>
      <c r="D1561" s="75">
        <v>2024.0</v>
      </c>
      <c r="E1561" s="75">
        <v>8.60369054199417E14</v>
      </c>
      <c r="F1561" s="76" t="s">
        <v>326</v>
      </c>
      <c r="G1561" s="68" t="s">
        <v>328</v>
      </c>
      <c r="H1561" s="69">
        <v>45658.0</v>
      </c>
      <c r="I1561" s="78" t="s">
        <v>337</v>
      </c>
      <c r="J1561" s="78"/>
      <c r="K1561" s="79"/>
      <c r="L1561" s="80"/>
      <c r="M1561" s="81"/>
    </row>
    <row r="1562">
      <c r="A1562" s="75" t="s">
        <v>3721</v>
      </c>
      <c r="B1562" s="75" t="s">
        <v>319</v>
      </c>
      <c r="C1562" s="75" t="s">
        <v>321</v>
      </c>
      <c r="D1562" s="75">
        <v>2024.0</v>
      </c>
      <c r="E1562" s="75">
        <v>8.60369052696505E14</v>
      </c>
      <c r="F1562" s="76" t="s">
        <v>326</v>
      </c>
      <c r="G1562" s="68" t="s">
        <v>328</v>
      </c>
      <c r="H1562" s="69">
        <v>45658.0</v>
      </c>
      <c r="I1562" s="78" t="s">
        <v>337</v>
      </c>
      <c r="J1562" s="78"/>
      <c r="K1562" s="79"/>
      <c r="L1562" s="80"/>
      <c r="M1562" s="81"/>
    </row>
    <row r="1563">
      <c r="A1563" s="75" t="s">
        <v>3722</v>
      </c>
      <c r="B1563" s="75" t="s">
        <v>319</v>
      </c>
      <c r="C1563" s="75" t="s">
        <v>321</v>
      </c>
      <c r="D1563" s="75">
        <v>2024.0</v>
      </c>
      <c r="E1563" s="75">
        <v>8.60369054406416E14</v>
      </c>
      <c r="F1563" s="76" t="s">
        <v>326</v>
      </c>
      <c r="G1563" s="68" t="s">
        <v>328</v>
      </c>
      <c r="H1563" s="69">
        <v>45658.0</v>
      </c>
      <c r="I1563" s="78" t="s">
        <v>337</v>
      </c>
      <c r="J1563" s="78"/>
      <c r="K1563" s="79"/>
      <c r="L1563" s="80"/>
      <c r="M1563" s="81"/>
    </row>
    <row r="1564">
      <c r="A1564" s="75" t="s">
        <v>3723</v>
      </c>
      <c r="B1564" s="75" t="s">
        <v>319</v>
      </c>
      <c r="C1564" s="75" t="s">
        <v>321</v>
      </c>
      <c r="D1564" s="75">
        <v>2024.0</v>
      </c>
      <c r="E1564" s="75">
        <v>8.60369052701222E14</v>
      </c>
      <c r="F1564" s="76" t="s">
        <v>326</v>
      </c>
      <c r="G1564" s="68" t="s">
        <v>328</v>
      </c>
      <c r="H1564" s="69">
        <v>45658.0</v>
      </c>
      <c r="I1564" s="78" t="s">
        <v>337</v>
      </c>
      <c r="J1564" s="78"/>
      <c r="K1564" s="79"/>
      <c r="L1564" s="80"/>
      <c r="M1564" s="81"/>
    </row>
    <row r="1565">
      <c r="A1565" s="75" t="s">
        <v>3724</v>
      </c>
      <c r="B1565" s="75" t="s">
        <v>319</v>
      </c>
      <c r="C1565" s="75" t="s">
        <v>321</v>
      </c>
      <c r="D1565" s="75">
        <v>2024.0</v>
      </c>
      <c r="E1565" s="75">
        <v>8.60369052703301E14</v>
      </c>
      <c r="F1565" s="76" t="s">
        <v>326</v>
      </c>
      <c r="G1565" s="68" t="s">
        <v>328</v>
      </c>
      <c r="H1565" s="69">
        <v>45658.0</v>
      </c>
      <c r="I1565" s="78" t="s">
        <v>337</v>
      </c>
      <c r="J1565" s="78"/>
      <c r="K1565" s="79"/>
      <c r="L1565" s="80"/>
      <c r="M1565" s="81"/>
    </row>
    <row r="1566">
      <c r="A1566" s="75" t="s">
        <v>3725</v>
      </c>
      <c r="B1566" s="75" t="s">
        <v>319</v>
      </c>
      <c r="C1566" s="75" t="s">
        <v>321</v>
      </c>
      <c r="D1566" s="75">
        <v>2024.0</v>
      </c>
      <c r="E1566" s="75">
        <v>8.60369054179633E14</v>
      </c>
      <c r="F1566" s="76" t="s">
        <v>326</v>
      </c>
      <c r="G1566" s="68" t="s">
        <v>328</v>
      </c>
      <c r="H1566" s="69">
        <v>45658.0</v>
      </c>
      <c r="I1566" s="78" t="s">
        <v>337</v>
      </c>
      <c r="J1566" s="78"/>
      <c r="K1566" s="79"/>
      <c r="L1566" s="80"/>
      <c r="M1566" s="81"/>
    </row>
    <row r="1567">
      <c r="A1567" s="75" t="s">
        <v>3726</v>
      </c>
      <c r="B1567" s="75" t="s">
        <v>319</v>
      </c>
      <c r="C1567" s="75" t="s">
        <v>321</v>
      </c>
      <c r="D1567" s="75">
        <v>2024.0</v>
      </c>
      <c r="E1567" s="75">
        <v>8.60369052695515E14</v>
      </c>
      <c r="F1567" s="76" t="s">
        <v>326</v>
      </c>
      <c r="G1567" s="68" t="s">
        <v>328</v>
      </c>
      <c r="H1567" s="69">
        <v>45658.0</v>
      </c>
      <c r="I1567" s="78" t="s">
        <v>337</v>
      </c>
      <c r="J1567" s="78"/>
      <c r="K1567" s="79"/>
      <c r="L1567" s="80"/>
      <c r="M1567" s="81"/>
    </row>
    <row r="1568">
      <c r="A1568" s="75" t="s">
        <v>3727</v>
      </c>
      <c r="B1568" s="75" t="s">
        <v>319</v>
      </c>
      <c r="C1568" s="75" t="s">
        <v>321</v>
      </c>
      <c r="D1568" s="75">
        <v>2024.0</v>
      </c>
      <c r="E1568" s="75">
        <v>8.60369052696182E14</v>
      </c>
      <c r="F1568" s="76" t="s">
        <v>326</v>
      </c>
      <c r="G1568" s="68" t="s">
        <v>328</v>
      </c>
      <c r="H1568" s="69">
        <v>45658.0</v>
      </c>
      <c r="I1568" s="78" t="s">
        <v>337</v>
      </c>
      <c r="J1568" s="78"/>
      <c r="K1568" s="79"/>
      <c r="L1568" s="80"/>
      <c r="M1568" s="81"/>
    </row>
    <row r="1569">
      <c r="A1569" s="75" t="s">
        <v>3728</v>
      </c>
      <c r="B1569" s="75" t="s">
        <v>319</v>
      </c>
      <c r="C1569" s="75" t="s">
        <v>321</v>
      </c>
      <c r="D1569" s="75">
        <v>2024.0</v>
      </c>
      <c r="E1569" s="75">
        <v>8.60369054405129E14</v>
      </c>
      <c r="F1569" s="76" t="s">
        <v>326</v>
      </c>
      <c r="G1569" s="68" t="s">
        <v>328</v>
      </c>
      <c r="H1569" s="69">
        <v>45658.0</v>
      </c>
      <c r="I1569" s="78" t="s">
        <v>337</v>
      </c>
      <c r="J1569" s="78"/>
      <c r="K1569" s="79"/>
      <c r="L1569" s="80"/>
      <c r="M1569" s="81"/>
    </row>
    <row r="1570">
      <c r="A1570" s="75" t="s">
        <v>3729</v>
      </c>
      <c r="B1570" s="75" t="s">
        <v>319</v>
      </c>
      <c r="C1570" s="75" t="s">
        <v>321</v>
      </c>
      <c r="D1570" s="75">
        <v>2024.0</v>
      </c>
      <c r="E1570" s="75">
        <v>8.60369054159106E14</v>
      </c>
      <c r="F1570" s="76" t="s">
        <v>326</v>
      </c>
      <c r="G1570" s="68" t="s">
        <v>328</v>
      </c>
      <c r="H1570" s="69">
        <v>45658.0</v>
      </c>
      <c r="I1570" s="78" t="s">
        <v>337</v>
      </c>
      <c r="J1570" s="78"/>
      <c r="K1570" s="79"/>
      <c r="L1570" s="80"/>
      <c r="M1570" s="81"/>
    </row>
    <row r="1571">
      <c r="A1571" s="75" t="s">
        <v>3730</v>
      </c>
      <c r="B1571" s="75" t="s">
        <v>319</v>
      </c>
      <c r="C1571" s="75" t="s">
        <v>321</v>
      </c>
      <c r="D1571" s="75">
        <v>2024.0</v>
      </c>
      <c r="E1571" s="75">
        <v>8.6036905415913E14</v>
      </c>
      <c r="F1571" s="76" t="s">
        <v>326</v>
      </c>
      <c r="G1571" s="68" t="s">
        <v>328</v>
      </c>
      <c r="H1571" s="69">
        <v>45658.0</v>
      </c>
      <c r="I1571" s="78" t="s">
        <v>337</v>
      </c>
      <c r="J1571" s="78"/>
      <c r="K1571" s="79"/>
      <c r="L1571" s="80"/>
      <c r="M1571" s="81"/>
    </row>
    <row r="1572">
      <c r="A1572" s="75" t="s">
        <v>3731</v>
      </c>
      <c r="B1572" s="75" t="s">
        <v>319</v>
      </c>
      <c r="C1572" s="75" t="s">
        <v>321</v>
      </c>
      <c r="D1572" s="75">
        <v>2024.0</v>
      </c>
      <c r="E1572" s="75">
        <v>8.60369054408842E14</v>
      </c>
      <c r="F1572" s="76" t="s">
        <v>326</v>
      </c>
      <c r="G1572" s="68" t="s">
        <v>328</v>
      </c>
      <c r="H1572" s="69">
        <v>45658.0</v>
      </c>
      <c r="I1572" s="78" t="s">
        <v>337</v>
      </c>
      <c r="J1572" s="78"/>
      <c r="K1572" s="79"/>
      <c r="L1572" s="80"/>
      <c r="M1572" s="81"/>
    </row>
    <row r="1573">
      <c r="A1573" s="75" t="s">
        <v>3732</v>
      </c>
      <c r="B1573" s="75" t="s">
        <v>319</v>
      </c>
      <c r="C1573" s="75" t="s">
        <v>321</v>
      </c>
      <c r="D1573" s="75">
        <v>2024.0</v>
      </c>
      <c r="E1573" s="75">
        <v>8.60369052701305E14</v>
      </c>
      <c r="F1573" s="76" t="s">
        <v>326</v>
      </c>
      <c r="G1573" s="68" t="s">
        <v>328</v>
      </c>
      <c r="H1573" s="69">
        <v>45658.0</v>
      </c>
      <c r="I1573" s="78" t="s">
        <v>337</v>
      </c>
      <c r="J1573" s="78"/>
      <c r="K1573" s="79"/>
      <c r="L1573" s="80"/>
      <c r="M1573" s="81"/>
    </row>
    <row r="1574">
      <c r="A1574" s="75" t="s">
        <v>3733</v>
      </c>
      <c r="B1574" s="75" t="s">
        <v>319</v>
      </c>
      <c r="C1574" s="75" t="s">
        <v>321</v>
      </c>
      <c r="D1574" s="75">
        <v>2024.0</v>
      </c>
      <c r="E1574" s="75">
        <v>8.60369052695994E14</v>
      </c>
      <c r="F1574" s="76" t="s">
        <v>326</v>
      </c>
      <c r="G1574" s="68" t="s">
        <v>328</v>
      </c>
      <c r="H1574" s="69">
        <v>45658.0</v>
      </c>
      <c r="I1574" s="78" t="s">
        <v>337</v>
      </c>
      <c r="J1574" s="78"/>
      <c r="K1574" s="79"/>
      <c r="L1574" s="80"/>
      <c r="M1574" s="81"/>
    </row>
    <row r="1575">
      <c r="A1575" s="75" t="s">
        <v>3734</v>
      </c>
      <c r="B1575" s="75" t="s">
        <v>319</v>
      </c>
      <c r="C1575" s="75" t="s">
        <v>321</v>
      </c>
      <c r="D1575" s="75">
        <v>2024.0</v>
      </c>
      <c r="E1575" s="75">
        <v>8.60369054178767E14</v>
      </c>
      <c r="F1575" s="76" t="s">
        <v>326</v>
      </c>
      <c r="G1575" s="68" t="s">
        <v>328</v>
      </c>
      <c r="H1575" s="69">
        <v>45658.0</v>
      </c>
      <c r="I1575" s="78" t="s">
        <v>337</v>
      </c>
      <c r="J1575" s="78"/>
      <c r="K1575" s="79"/>
      <c r="L1575" s="80"/>
      <c r="M1575" s="81"/>
    </row>
    <row r="1576">
      <c r="A1576" s="75" t="s">
        <v>3735</v>
      </c>
      <c r="B1576" s="75" t="s">
        <v>389</v>
      </c>
      <c r="C1576" s="75" t="s">
        <v>1483</v>
      </c>
      <c r="D1576" s="75">
        <v>2024.0</v>
      </c>
      <c r="E1576" s="75">
        <v>8.60369052166889E14</v>
      </c>
      <c r="F1576" s="76" t="s">
        <v>398</v>
      </c>
      <c r="G1576" s="68" t="s">
        <v>328</v>
      </c>
      <c r="H1576" s="69">
        <v>45658.0</v>
      </c>
      <c r="I1576" s="78" t="s">
        <v>337</v>
      </c>
      <c r="J1576" s="78"/>
      <c r="K1576" s="79"/>
      <c r="L1576" s="80"/>
      <c r="M1576" s="81"/>
      <c r="N1576" s="83" t="s">
        <v>380</v>
      </c>
    </row>
    <row r="1577">
      <c r="A1577" s="75" t="s">
        <v>3736</v>
      </c>
      <c r="B1577" s="75" t="s">
        <v>389</v>
      </c>
      <c r="C1577" s="75" t="s">
        <v>1483</v>
      </c>
      <c r="D1577" s="75">
        <v>2024.0</v>
      </c>
      <c r="E1577" s="75">
        <v>8.60369052142351E14</v>
      </c>
      <c r="F1577" s="76" t="s">
        <v>398</v>
      </c>
      <c r="G1577" s="68" t="s">
        <v>328</v>
      </c>
      <c r="H1577" s="69">
        <v>45658.0</v>
      </c>
      <c r="I1577" s="78" t="s">
        <v>337</v>
      </c>
      <c r="J1577" s="78"/>
      <c r="K1577" s="79"/>
      <c r="L1577" s="80"/>
      <c r="M1577" s="81"/>
      <c r="N1577" s="83" t="s">
        <v>380</v>
      </c>
    </row>
    <row r="1578">
      <c r="A1578" s="75" t="s">
        <v>3737</v>
      </c>
      <c r="B1578" s="75" t="s">
        <v>389</v>
      </c>
      <c r="C1578" s="75" t="s">
        <v>1483</v>
      </c>
      <c r="D1578" s="75">
        <v>2024.0</v>
      </c>
      <c r="E1578" s="75">
        <v>8.60369052144688E14</v>
      </c>
      <c r="F1578" s="76" t="s">
        <v>398</v>
      </c>
      <c r="G1578" s="68" t="s">
        <v>328</v>
      </c>
      <c r="H1578" s="69">
        <v>45658.0</v>
      </c>
      <c r="I1578" s="78" t="s">
        <v>337</v>
      </c>
      <c r="J1578" s="78"/>
      <c r="K1578" s="79"/>
      <c r="L1578" s="80"/>
      <c r="M1578" s="81"/>
      <c r="N1578" s="83" t="s">
        <v>380</v>
      </c>
    </row>
    <row r="1579">
      <c r="A1579" s="75" t="s">
        <v>3738</v>
      </c>
      <c r="B1579" s="75" t="s">
        <v>389</v>
      </c>
      <c r="C1579" s="75" t="s">
        <v>1483</v>
      </c>
      <c r="D1579" s="75">
        <v>2024.0</v>
      </c>
      <c r="E1579" s="75">
        <v>8.60369052167531E14</v>
      </c>
      <c r="F1579" s="76" t="s">
        <v>398</v>
      </c>
      <c r="G1579" s="68" t="s">
        <v>328</v>
      </c>
      <c r="H1579" s="69">
        <v>45658.0</v>
      </c>
      <c r="I1579" s="78" t="s">
        <v>337</v>
      </c>
      <c r="J1579" s="78"/>
      <c r="K1579" s="79"/>
      <c r="L1579" s="80"/>
      <c r="M1579" s="81"/>
      <c r="N1579" s="83" t="s">
        <v>380</v>
      </c>
    </row>
    <row r="1580">
      <c r="A1580" s="75" t="s">
        <v>3739</v>
      </c>
      <c r="B1580" s="75" t="s">
        <v>389</v>
      </c>
      <c r="C1580" s="75" t="s">
        <v>1483</v>
      </c>
      <c r="D1580" s="75">
        <v>2024.0</v>
      </c>
      <c r="E1580" s="75">
        <v>8.60369052167614E14</v>
      </c>
      <c r="F1580" s="76" t="s">
        <v>398</v>
      </c>
      <c r="G1580" s="68" t="s">
        <v>328</v>
      </c>
      <c r="H1580" s="69">
        <v>45658.0</v>
      </c>
      <c r="I1580" s="78" t="s">
        <v>337</v>
      </c>
      <c r="J1580" s="78"/>
      <c r="K1580" s="79"/>
      <c r="L1580" s="80"/>
      <c r="M1580" s="81"/>
      <c r="N1580" s="83" t="s">
        <v>380</v>
      </c>
    </row>
    <row r="1581">
      <c r="A1581" s="75" t="s">
        <v>3740</v>
      </c>
      <c r="B1581" s="75" t="s">
        <v>389</v>
      </c>
      <c r="C1581" s="75" t="s">
        <v>1483</v>
      </c>
      <c r="D1581" s="75">
        <v>2024.0</v>
      </c>
      <c r="E1581" s="75">
        <v>8.60369052142005E14</v>
      </c>
      <c r="F1581" s="76" t="s">
        <v>398</v>
      </c>
      <c r="G1581" s="68" t="s">
        <v>328</v>
      </c>
      <c r="H1581" s="69">
        <v>45658.0</v>
      </c>
      <c r="I1581" s="78" t="s">
        <v>337</v>
      </c>
      <c r="J1581" s="78"/>
      <c r="K1581" s="79"/>
      <c r="L1581" s="80"/>
      <c r="M1581" s="81"/>
      <c r="N1581" s="83" t="s">
        <v>380</v>
      </c>
    </row>
    <row r="1582">
      <c r="A1582" s="75" t="s">
        <v>3741</v>
      </c>
      <c r="B1582" s="75" t="s">
        <v>319</v>
      </c>
      <c r="C1582" s="75" t="s">
        <v>321</v>
      </c>
      <c r="D1582" s="75">
        <v>2024.0</v>
      </c>
      <c r="E1582" s="75">
        <v>8.60369052706692E14</v>
      </c>
      <c r="F1582" s="76" t="s">
        <v>326</v>
      </c>
      <c r="G1582" s="68" t="s">
        <v>328</v>
      </c>
      <c r="H1582" s="69">
        <v>45658.0</v>
      </c>
      <c r="I1582" s="78" t="s">
        <v>337</v>
      </c>
      <c r="J1582" s="78"/>
      <c r="K1582" s="79"/>
      <c r="L1582" s="80"/>
      <c r="M1582" s="81"/>
    </row>
    <row r="1583">
      <c r="A1583" s="75" t="s">
        <v>3742</v>
      </c>
      <c r="B1583" s="75" t="s">
        <v>319</v>
      </c>
      <c r="C1583" s="75" t="s">
        <v>321</v>
      </c>
      <c r="D1583" s="75">
        <v>2024.0</v>
      </c>
      <c r="E1583" s="75">
        <v>8.60369052690672E14</v>
      </c>
      <c r="F1583" s="76" t="s">
        <v>326</v>
      </c>
      <c r="G1583" s="68" t="s">
        <v>328</v>
      </c>
      <c r="H1583" s="69">
        <v>45658.0</v>
      </c>
      <c r="I1583" s="78" t="s">
        <v>337</v>
      </c>
      <c r="J1583" s="78"/>
      <c r="K1583" s="79"/>
      <c r="L1583" s="80"/>
      <c r="M1583" s="81"/>
    </row>
    <row r="1584">
      <c r="A1584" s="75" t="s">
        <v>3743</v>
      </c>
      <c r="B1584" s="75" t="s">
        <v>319</v>
      </c>
      <c r="C1584" s="75" t="s">
        <v>321</v>
      </c>
      <c r="D1584" s="75">
        <v>2024.0</v>
      </c>
      <c r="E1584" s="75">
        <v>8.60369054178635E14</v>
      </c>
      <c r="F1584" s="76" t="s">
        <v>326</v>
      </c>
      <c r="G1584" s="68" t="s">
        <v>328</v>
      </c>
      <c r="H1584" s="69">
        <v>45658.0</v>
      </c>
      <c r="I1584" s="78" t="s">
        <v>337</v>
      </c>
      <c r="J1584" s="78"/>
      <c r="K1584" s="79"/>
      <c r="L1584" s="80"/>
      <c r="M1584" s="81"/>
    </row>
    <row r="1585">
      <c r="A1585" s="75" t="s">
        <v>3744</v>
      </c>
      <c r="B1585" s="75" t="s">
        <v>319</v>
      </c>
      <c r="C1585" s="75" t="s">
        <v>321</v>
      </c>
      <c r="D1585" s="75">
        <v>2024.0</v>
      </c>
      <c r="E1585" s="75">
        <v>8.60369052439989E14</v>
      </c>
      <c r="F1585" s="76" t="s">
        <v>326</v>
      </c>
      <c r="G1585" s="68" t="s">
        <v>328</v>
      </c>
      <c r="H1585" s="69">
        <v>45658.0</v>
      </c>
      <c r="I1585" s="78" t="s">
        <v>337</v>
      </c>
      <c r="J1585" s="78"/>
      <c r="K1585" s="79"/>
      <c r="L1585" s="80"/>
      <c r="M1585" s="81"/>
    </row>
    <row r="1586">
      <c r="A1586" s="75" t="s">
        <v>3745</v>
      </c>
      <c r="B1586" s="75" t="s">
        <v>319</v>
      </c>
      <c r="C1586" s="75" t="s">
        <v>321</v>
      </c>
      <c r="D1586" s="75">
        <v>2024.0</v>
      </c>
      <c r="E1586" s="75">
        <v>8.60369052706593E14</v>
      </c>
      <c r="F1586" s="76" t="s">
        <v>326</v>
      </c>
      <c r="G1586" s="68" t="s">
        <v>328</v>
      </c>
      <c r="H1586" s="69">
        <v>45658.0</v>
      </c>
      <c r="I1586" s="78" t="s">
        <v>337</v>
      </c>
      <c r="J1586" s="78"/>
      <c r="K1586" s="79"/>
      <c r="L1586" s="80"/>
      <c r="M1586" s="81"/>
    </row>
    <row r="1587">
      <c r="A1587" s="75" t="s">
        <v>3746</v>
      </c>
      <c r="B1587" s="75" t="s">
        <v>319</v>
      </c>
      <c r="C1587" s="75" t="s">
        <v>321</v>
      </c>
      <c r="D1587" s="75">
        <v>2024.0</v>
      </c>
      <c r="E1587" s="75">
        <v>8.60369054155815E14</v>
      </c>
      <c r="F1587" s="76" t="s">
        <v>326</v>
      </c>
      <c r="G1587" s="68" t="s">
        <v>328</v>
      </c>
      <c r="H1587" s="69">
        <v>45658.0</v>
      </c>
      <c r="I1587" s="78" t="s">
        <v>337</v>
      </c>
      <c r="J1587" s="78"/>
      <c r="K1587" s="79"/>
      <c r="L1587" s="80"/>
      <c r="M1587" s="81"/>
    </row>
    <row r="1588">
      <c r="A1588" s="75" t="s">
        <v>3747</v>
      </c>
      <c r="B1588" s="75" t="s">
        <v>319</v>
      </c>
      <c r="C1588" s="75" t="s">
        <v>321</v>
      </c>
      <c r="D1588" s="75">
        <v>2024.0</v>
      </c>
      <c r="E1588" s="75">
        <v>8.60369054153083E14</v>
      </c>
      <c r="F1588" s="76" t="s">
        <v>326</v>
      </c>
      <c r="G1588" s="68" t="s">
        <v>328</v>
      </c>
      <c r="H1588" s="69">
        <v>45658.0</v>
      </c>
      <c r="I1588" s="78" t="s">
        <v>337</v>
      </c>
      <c r="J1588" s="78"/>
      <c r="K1588" s="79"/>
      <c r="L1588" s="80"/>
      <c r="M1588" s="81"/>
    </row>
    <row r="1589">
      <c r="A1589" s="75" t="s">
        <v>3748</v>
      </c>
      <c r="B1589" s="75" t="s">
        <v>319</v>
      </c>
      <c r="C1589" s="75" t="s">
        <v>321</v>
      </c>
      <c r="D1589" s="75">
        <v>2024.0</v>
      </c>
      <c r="E1589" s="75">
        <v>8.60369053345607E14</v>
      </c>
      <c r="F1589" s="76" t="s">
        <v>326</v>
      </c>
      <c r="G1589" s="68" t="s">
        <v>328</v>
      </c>
      <c r="H1589" s="69">
        <v>45658.0</v>
      </c>
      <c r="I1589" s="78" t="s">
        <v>337</v>
      </c>
      <c r="J1589" s="78"/>
      <c r="K1589" s="79"/>
      <c r="L1589" s="80"/>
      <c r="M1589" s="81"/>
    </row>
    <row r="1590">
      <c r="A1590" s="75" t="s">
        <v>3749</v>
      </c>
      <c r="B1590" s="75" t="s">
        <v>389</v>
      </c>
      <c r="C1590" s="75" t="s">
        <v>1483</v>
      </c>
      <c r="D1590" s="75">
        <v>2024.0</v>
      </c>
      <c r="E1590" s="75">
        <v>8.60369054186927E14</v>
      </c>
      <c r="F1590" s="76" t="s">
        <v>326</v>
      </c>
      <c r="G1590" s="68" t="s">
        <v>328</v>
      </c>
      <c r="H1590" s="69">
        <v>45658.0</v>
      </c>
      <c r="I1590" s="78" t="s">
        <v>337</v>
      </c>
      <c r="J1590" s="78"/>
      <c r="K1590" s="79"/>
      <c r="L1590" s="80"/>
      <c r="M1590" s="81"/>
      <c r="N1590" s="83" t="s">
        <v>380</v>
      </c>
    </row>
    <row r="1591">
      <c r="A1591" s="75" t="s">
        <v>3750</v>
      </c>
      <c r="B1591" s="75" t="s">
        <v>319</v>
      </c>
      <c r="C1591" s="75" t="s">
        <v>321</v>
      </c>
      <c r="D1591" s="75">
        <v>2024.0</v>
      </c>
      <c r="E1591" s="75">
        <v>8.60369052140926E14</v>
      </c>
      <c r="F1591" s="76" t="s">
        <v>398</v>
      </c>
      <c r="G1591" s="68" t="s">
        <v>328</v>
      </c>
      <c r="H1591" s="69">
        <v>45658.0</v>
      </c>
      <c r="I1591" s="78" t="s">
        <v>337</v>
      </c>
      <c r="J1591" s="78"/>
      <c r="K1591" s="79"/>
      <c r="L1591" s="80"/>
      <c r="M1591" s="81"/>
    </row>
    <row r="1592">
      <c r="A1592" s="75" t="s">
        <v>3751</v>
      </c>
      <c r="B1592" s="75" t="s">
        <v>319</v>
      </c>
      <c r="C1592" s="75" t="s">
        <v>321</v>
      </c>
      <c r="D1592" s="75">
        <v>2024.0</v>
      </c>
      <c r="E1592" s="75">
        <v>8.60369054170913E14</v>
      </c>
      <c r="F1592" s="76" t="s">
        <v>326</v>
      </c>
      <c r="G1592" s="68" t="s">
        <v>328</v>
      </c>
      <c r="H1592" s="69">
        <v>45658.0</v>
      </c>
      <c r="I1592" s="78" t="s">
        <v>337</v>
      </c>
      <c r="J1592" s="78"/>
      <c r="K1592" s="79"/>
      <c r="L1592" s="80"/>
      <c r="M1592" s="81"/>
    </row>
    <row r="1593">
      <c r="A1593" s="75" t="s">
        <v>3752</v>
      </c>
      <c r="B1593" s="75" t="s">
        <v>319</v>
      </c>
      <c r="C1593" s="75" t="s">
        <v>321</v>
      </c>
      <c r="D1593" s="75">
        <v>2024.0</v>
      </c>
      <c r="E1593" s="75">
        <v>8.6036905216777E14</v>
      </c>
      <c r="F1593" s="76" t="s">
        <v>398</v>
      </c>
      <c r="G1593" s="68" t="s">
        <v>328</v>
      </c>
      <c r="H1593" s="69">
        <v>45658.0</v>
      </c>
      <c r="I1593" s="78" t="s">
        <v>337</v>
      </c>
      <c r="J1593" s="78"/>
      <c r="K1593" s="79"/>
      <c r="L1593" s="80"/>
      <c r="M1593" s="81"/>
    </row>
    <row r="1594">
      <c r="A1594" s="75" t="s">
        <v>3753</v>
      </c>
      <c r="B1594" s="75" t="s">
        <v>319</v>
      </c>
      <c r="C1594" s="75" t="s">
        <v>321</v>
      </c>
      <c r="D1594" s="75">
        <v>2024.0</v>
      </c>
      <c r="E1594" s="75">
        <v>8.60369051061354E14</v>
      </c>
      <c r="F1594" s="76" t="s">
        <v>398</v>
      </c>
      <c r="G1594" s="68" t="s">
        <v>328</v>
      </c>
      <c r="H1594" s="69">
        <v>45658.0</v>
      </c>
      <c r="I1594" s="78" t="s">
        <v>337</v>
      </c>
      <c r="J1594" s="78"/>
      <c r="K1594" s="79"/>
      <c r="L1594" s="80"/>
      <c r="M1594" s="81"/>
    </row>
    <row r="1595">
      <c r="A1595" s="75" t="s">
        <v>3754</v>
      </c>
      <c r="B1595" s="75" t="s">
        <v>319</v>
      </c>
      <c r="C1595" s="75" t="s">
        <v>321</v>
      </c>
      <c r="D1595" s="75">
        <v>2024.0</v>
      </c>
      <c r="E1595" s="75">
        <v>8.60369054169386E14</v>
      </c>
      <c r="F1595" s="76" t="s">
        <v>326</v>
      </c>
      <c r="G1595" s="68" t="s">
        <v>328</v>
      </c>
      <c r="H1595" s="69">
        <v>45658.0</v>
      </c>
      <c r="I1595" s="78" t="s">
        <v>337</v>
      </c>
      <c r="J1595" s="78"/>
      <c r="K1595" s="79"/>
      <c r="L1595" s="80"/>
      <c r="M1595" s="81"/>
    </row>
    <row r="1596">
      <c r="A1596" s="75" t="s">
        <v>3755</v>
      </c>
      <c r="B1596" s="75" t="s">
        <v>319</v>
      </c>
      <c r="C1596" s="75" t="s">
        <v>321</v>
      </c>
      <c r="D1596" s="75">
        <v>2024.0</v>
      </c>
      <c r="E1596" s="75">
        <v>8.60369052692066E14</v>
      </c>
      <c r="F1596" s="76" t="s">
        <v>326</v>
      </c>
      <c r="G1596" s="68" t="s">
        <v>328</v>
      </c>
      <c r="H1596" s="69">
        <v>45658.0</v>
      </c>
      <c r="I1596" s="78" t="s">
        <v>337</v>
      </c>
      <c r="J1596" s="78"/>
      <c r="K1596" s="79"/>
      <c r="L1596" s="80"/>
      <c r="M1596" s="81"/>
    </row>
    <row r="1597">
      <c r="A1597" s="75" t="s">
        <v>3756</v>
      </c>
      <c r="B1597" s="75" t="s">
        <v>319</v>
      </c>
      <c r="C1597" s="75" t="s">
        <v>321</v>
      </c>
      <c r="D1597" s="75">
        <v>2024.0</v>
      </c>
      <c r="E1597" s="75">
        <v>8.60369054170483E14</v>
      </c>
      <c r="F1597" s="76" t="s">
        <v>326</v>
      </c>
      <c r="G1597" s="68" t="s">
        <v>328</v>
      </c>
      <c r="H1597" s="69">
        <v>45658.0</v>
      </c>
      <c r="I1597" s="78" t="s">
        <v>337</v>
      </c>
      <c r="J1597" s="78"/>
      <c r="K1597" s="79"/>
      <c r="L1597" s="80"/>
      <c r="M1597" s="81"/>
    </row>
    <row r="1598">
      <c r="A1598" s="75" t="s">
        <v>3757</v>
      </c>
      <c r="B1598" s="75" t="s">
        <v>319</v>
      </c>
      <c r="C1598" s="75" t="s">
        <v>321</v>
      </c>
      <c r="D1598" s="75">
        <v>2024.0</v>
      </c>
      <c r="E1598" s="75">
        <v>8.60369052695341E14</v>
      </c>
      <c r="F1598" s="76" t="s">
        <v>326</v>
      </c>
      <c r="G1598" s="68" t="s">
        <v>328</v>
      </c>
      <c r="H1598" s="69">
        <v>45658.0</v>
      </c>
      <c r="I1598" s="78" t="s">
        <v>337</v>
      </c>
      <c r="J1598" s="78"/>
      <c r="K1598" s="79"/>
      <c r="L1598" s="80"/>
      <c r="M1598" s="81"/>
    </row>
    <row r="1599">
      <c r="A1599" s="75" t="s">
        <v>3758</v>
      </c>
      <c r="B1599" s="75" t="s">
        <v>389</v>
      </c>
      <c r="C1599" s="75" t="s">
        <v>1483</v>
      </c>
      <c r="D1599" s="75">
        <v>2023.0</v>
      </c>
      <c r="E1599" s="75">
        <v>8.60369052405188E14</v>
      </c>
      <c r="F1599" s="76" t="s">
        <v>398</v>
      </c>
      <c r="G1599" s="68" t="s">
        <v>328</v>
      </c>
      <c r="H1599" s="69">
        <v>45658.0</v>
      </c>
      <c r="I1599" s="78" t="s">
        <v>337</v>
      </c>
      <c r="J1599" s="78"/>
      <c r="K1599" s="79"/>
      <c r="L1599" s="80"/>
      <c r="M1599" s="81"/>
      <c r="N1599" s="83" t="s">
        <v>380</v>
      </c>
    </row>
    <row r="1600">
      <c r="A1600" s="75" t="s">
        <v>3759</v>
      </c>
      <c r="B1600" s="75" t="s">
        <v>389</v>
      </c>
      <c r="C1600" s="75" t="s">
        <v>1483</v>
      </c>
      <c r="D1600" s="75">
        <v>2023.0</v>
      </c>
      <c r="E1600" s="75">
        <v>8.60369052470836E14</v>
      </c>
      <c r="F1600" s="76" t="s">
        <v>398</v>
      </c>
      <c r="G1600" s="68" t="s">
        <v>328</v>
      </c>
      <c r="H1600" s="69">
        <v>45658.0</v>
      </c>
      <c r="I1600" s="78" t="s">
        <v>337</v>
      </c>
      <c r="J1600" s="78"/>
      <c r="K1600" s="79"/>
      <c r="L1600" s="80"/>
      <c r="M1600" s="81"/>
      <c r="N1600" s="83" t="s">
        <v>380</v>
      </c>
    </row>
    <row r="1601">
      <c r="A1601" s="75" t="s">
        <v>3760</v>
      </c>
      <c r="B1601" s="75" t="s">
        <v>389</v>
      </c>
      <c r="C1601" s="75" t="s">
        <v>1483</v>
      </c>
      <c r="D1601" s="75">
        <v>2023.0</v>
      </c>
      <c r="E1601" s="75">
        <v>8.60369052143045E14</v>
      </c>
      <c r="F1601" s="76" t="s">
        <v>398</v>
      </c>
      <c r="G1601" s="68" t="s">
        <v>328</v>
      </c>
      <c r="H1601" s="69">
        <v>45658.0</v>
      </c>
      <c r="I1601" s="78" t="s">
        <v>337</v>
      </c>
      <c r="J1601" s="78"/>
      <c r="K1601" s="79"/>
      <c r="L1601" s="80"/>
      <c r="M1601" s="81"/>
      <c r="N1601" s="83" t="s">
        <v>380</v>
      </c>
    </row>
    <row r="1602">
      <c r="A1602" s="75" t="s">
        <v>3761</v>
      </c>
      <c r="B1602" s="75" t="s">
        <v>389</v>
      </c>
      <c r="C1602" s="75" t="s">
        <v>1483</v>
      </c>
      <c r="D1602" s="75">
        <v>2023.0</v>
      </c>
      <c r="E1602" s="75">
        <v>8.60369052170782E14</v>
      </c>
      <c r="F1602" s="76" t="s">
        <v>398</v>
      </c>
      <c r="G1602" s="68" t="s">
        <v>328</v>
      </c>
      <c r="H1602" s="69">
        <v>45658.0</v>
      </c>
      <c r="I1602" s="78" t="s">
        <v>337</v>
      </c>
      <c r="J1602" s="78"/>
      <c r="K1602" s="79"/>
      <c r="L1602" s="80"/>
      <c r="M1602" s="81"/>
      <c r="N1602" s="83" t="s">
        <v>380</v>
      </c>
    </row>
    <row r="1603">
      <c r="A1603" s="75" t="s">
        <v>3762</v>
      </c>
      <c r="B1603" s="75" t="s">
        <v>319</v>
      </c>
      <c r="C1603" s="75" t="s">
        <v>1346</v>
      </c>
      <c r="D1603" s="75">
        <v>2024.0</v>
      </c>
      <c r="E1603" s="75">
        <v>8.60369054162423E14</v>
      </c>
      <c r="F1603" s="76" t="s">
        <v>326</v>
      </c>
      <c r="G1603" s="68" t="s">
        <v>328</v>
      </c>
      <c r="H1603" s="69">
        <v>45658.0</v>
      </c>
      <c r="I1603" s="78" t="s">
        <v>337</v>
      </c>
      <c r="J1603" s="78"/>
      <c r="K1603" s="79"/>
      <c r="L1603" s="80"/>
      <c r="M1603" s="81"/>
    </row>
    <row r="1604">
      <c r="A1604" s="75" t="s">
        <v>3763</v>
      </c>
      <c r="B1604" s="75" t="s">
        <v>319</v>
      </c>
      <c r="C1604" s="75" t="s">
        <v>1346</v>
      </c>
      <c r="D1604" s="75">
        <v>2024.0</v>
      </c>
      <c r="E1604" s="75">
        <v>8.60369054159601E14</v>
      </c>
      <c r="F1604" s="76" t="s">
        <v>326</v>
      </c>
      <c r="G1604" s="68" t="s">
        <v>328</v>
      </c>
      <c r="H1604" s="69">
        <v>45658.0</v>
      </c>
      <c r="I1604" s="78" t="s">
        <v>337</v>
      </c>
      <c r="J1604" s="78"/>
      <c r="K1604" s="79"/>
      <c r="L1604" s="80"/>
      <c r="M1604" s="81"/>
    </row>
    <row r="1605">
      <c r="A1605" s="75" t="s">
        <v>3764</v>
      </c>
      <c r="B1605" s="75" t="s">
        <v>319</v>
      </c>
      <c r="C1605" s="75" t="s">
        <v>1346</v>
      </c>
      <c r="D1605" s="75">
        <v>2024.0</v>
      </c>
      <c r="E1605" s="75">
        <v>8.60369052707294E14</v>
      </c>
      <c r="F1605" s="76" t="s">
        <v>326</v>
      </c>
      <c r="G1605" s="68" t="s">
        <v>328</v>
      </c>
      <c r="H1605" s="69">
        <v>45658.0</v>
      </c>
      <c r="I1605" s="78" t="s">
        <v>337</v>
      </c>
      <c r="J1605" s="78"/>
      <c r="K1605" s="79"/>
      <c r="L1605" s="80"/>
      <c r="M1605" s="81"/>
    </row>
    <row r="1606">
      <c r="A1606" s="75" t="s">
        <v>3765</v>
      </c>
      <c r="B1606" s="75" t="s">
        <v>319</v>
      </c>
      <c r="C1606" s="75" t="s">
        <v>321</v>
      </c>
      <c r="D1606" s="75">
        <v>2024.0</v>
      </c>
      <c r="E1606" s="75">
        <v>8.60369054741002E14</v>
      </c>
      <c r="F1606" s="76" t="s">
        <v>326</v>
      </c>
      <c r="G1606" s="68" t="s">
        <v>328</v>
      </c>
      <c r="H1606" s="69">
        <v>45658.0</v>
      </c>
      <c r="I1606" s="78" t="s">
        <v>337</v>
      </c>
      <c r="J1606" s="78"/>
      <c r="K1606" s="79"/>
      <c r="L1606" s="80"/>
      <c r="M1606" s="81"/>
    </row>
    <row r="1607">
      <c r="A1607" s="75" t="s">
        <v>3766</v>
      </c>
      <c r="B1607" s="75" t="s">
        <v>319</v>
      </c>
      <c r="C1607" s="75" t="s">
        <v>321</v>
      </c>
      <c r="D1607" s="75">
        <v>2024.0</v>
      </c>
      <c r="E1607" s="75">
        <v>8.60369054184211E14</v>
      </c>
      <c r="F1607" s="76" t="s">
        <v>326</v>
      </c>
      <c r="G1607" s="68" t="s">
        <v>328</v>
      </c>
      <c r="H1607" s="69">
        <v>45658.0</v>
      </c>
      <c r="I1607" s="78" t="s">
        <v>337</v>
      </c>
      <c r="J1607" s="78"/>
      <c r="K1607" s="79"/>
      <c r="L1607" s="80"/>
      <c r="M1607" s="81"/>
    </row>
    <row r="1608">
      <c r="A1608" s="75" t="s">
        <v>3767</v>
      </c>
      <c r="B1608" s="75" t="s">
        <v>319</v>
      </c>
      <c r="C1608" s="75" t="s">
        <v>321</v>
      </c>
      <c r="D1608" s="75">
        <v>2024.0</v>
      </c>
      <c r="E1608" s="75">
        <v>8.60369054154586E14</v>
      </c>
      <c r="F1608" s="76" t="s">
        <v>326</v>
      </c>
      <c r="G1608" s="68" t="s">
        <v>328</v>
      </c>
      <c r="H1608" s="69">
        <v>45658.0</v>
      </c>
      <c r="I1608" s="78" t="s">
        <v>337</v>
      </c>
      <c r="J1608" s="78"/>
      <c r="K1608" s="79"/>
      <c r="L1608" s="80"/>
      <c r="M1608" s="81"/>
    </row>
    <row r="1609">
      <c r="A1609" s="75" t="s">
        <v>3768</v>
      </c>
      <c r="B1609" s="75" t="s">
        <v>319</v>
      </c>
      <c r="C1609" s="75" t="s">
        <v>1346</v>
      </c>
      <c r="D1609" s="75">
        <v>2024.0</v>
      </c>
      <c r="E1609" s="75">
        <v>8.60369052703111E14</v>
      </c>
      <c r="F1609" s="76" t="s">
        <v>326</v>
      </c>
      <c r="G1609" s="68" t="s">
        <v>328</v>
      </c>
      <c r="H1609" s="69">
        <v>45658.0</v>
      </c>
      <c r="I1609" s="78" t="s">
        <v>337</v>
      </c>
      <c r="J1609" s="78"/>
      <c r="K1609" s="79"/>
      <c r="L1609" s="80"/>
      <c r="M1609" s="81"/>
    </row>
    <row r="1610">
      <c r="A1610" s="75" t="s">
        <v>3769</v>
      </c>
      <c r="B1610" s="75" t="s">
        <v>319</v>
      </c>
      <c r="C1610" s="75" t="s">
        <v>1346</v>
      </c>
      <c r="D1610" s="75">
        <v>2023.0</v>
      </c>
      <c r="E1610" s="75">
        <v>8.60369054176738E14</v>
      </c>
      <c r="F1610" s="76" t="s">
        <v>326</v>
      </c>
      <c r="G1610" s="68" t="s">
        <v>328</v>
      </c>
      <c r="H1610" s="69">
        <v>45658.0</v>
      </c>
      <c r="I1610" s="78" t="s">
        <v>337</v>
      </c>
      <c r="J1610" s="78"/>
      <c r="K1610" s="79"/>
      <c r="L1610" s="80"/>
      <c r="M1610" s="81"/>
    </row>
    <row r="1611">
      <c r="A1611" s="75" t="s">
        <v>3770</v>
      </c>
      <c r="B1611" s="75" t="s">
        <v>319</v>
      </c>
      <c r="C1611" s="75" t="s">
        <v>321</v>
      </c>
      <c r="D1611" s="75">
        <v>2024.0</v>
      </c>
      <c r="E1611" s="75">
        <v>8.6036905416917E14</v>
      </c>
      <c r="F1611" s="76" t="s">
        <v>326</v>
      </c>
      <c r="G1611" s="68" t="s">
        <v>328</v>
      </c>
      <c r="H1611" s="69">
        <v>45658.0</v>
      </c>
      <c r="I1611" s="78" t="s">
        <v>337</v>
      </c>
      <c r="J1611" s="78"/>
      <c r="K1611" s="79"/>
      <c r="L1611" s="80"/>
      <c r="M1611" s="81"/>
    </row>
    <row r="1612">
      <c r="A1612" s="75" t="s">
        <v>3771</v>
      </c>
      <c r="B1612" s="75" t="s">
        <v>319</v>
      </c>
      <c r="C1612" s="75" t="s">
        <v>321</v>
      </c>
      <c r="D1612" s="75">
        <v>2024.0</v>
      </c>
      <c r="E1612" s="75">
        <v>8.60369054407398E14</v>
      </c>
      <c r="F1612" s="76" t="s">
        <v>326</v>
      </c>
      <c r="G1612" s="68" t="s">
        <v>328</v>
      </c>
      <c r="H1612" s="69">
        <v>45658.0</v>
      </c>
      <c r="I1612" s="78" t="s">
        <v>337</v>
      </c>
      <c r="J1612" s="78"/>
      <c r="K1612" s="79"/>
      <c r="L1612" s="80"/>
      <c r="M1612" s="81"/>
    </row>
    <row r="1613">
      <c r="A1613" s="75" t="s">
        <v>3772</v>
      </c>
      <c r="B1613" s="75" t="s">
        <v>319</v>
      </c>
      <c r="C1613" s="75" t="s">
        <v>321</v>
      </c>
      <c r="D1613" s="75">
        <v>2024.0</v>
      </c>
      <c r="E1613" s="75">
        <v>8.60369054162779E14</v>
      </c>
      <c r="F1613" s="76" t="s">
        <v>326</v>
      </c>
      <c r="G1613" s="68" t="s">
        <v>328</v>
      </c>
      <c r="H1613" s="69">
        <v>45658.0</v>
      </c>
      <c r="I1613" s="78" t="s">
        <v>337</v>
      </c>
      <c r="J1613" s="78"/>
      <c r="K1613" s="79"/>
      <c r="L1613" s="80"/>
      <c r="M1613" s="81"/>
    </row>
    <row r="1614">
      <c r="A1614" s="75" t="s">
        <v>3773</v>
      </c>
      <c r="B1614" s="75" t="s">
        <v>319</v>
      </c>
      <c r="C1614" s="75" t="s">
        <v>321</v>
      </c>
      <c r="D1614" s="75">
        <v>2024.0</v>
      </c>
      <c r="E1614" s="75">
        <v>8.60369054412125E14</v>
      </c>
      <c r="F1614" s="76" t="s">
        <v>326</v>
      </c>
      <c r="G1614" s="68" t="s">
        <v>328</v>
      </c>
      <c r="H1614" s="69">
        <v>45658.0</v>
      </c>
      <c r="I1614" s="78" t="s">
        <v>337</v>
      </c>
      <c r="J1614" s="78"/>
      <c r="K1614" s="79"/>
      <c r="L1614" s="80"/>
      <c r="M1614" s="81"/>
    </row>
    <row r="1615">
      <c r="A1615" s="75" t="s">
        <v>3774</v>
      </c>
      <c r="B1615" s="75" t="s">
        <v>319</v>
      </c>
      <c r="C1615" s="75" t="s">
        <v>321</v>
      </c>
      <c r="D1615" s="75">
        <v>2024.0</v>
      </c>
      <c r="E1615" s="75">
        <v>8.60369054184732E14</v>
      </c>
      <c r="F1615" s="76" t="s">
        <v>326</v>
      </c>
      <c r="G1615" s="68" t="s">
        <v>328</v>
      </c>
      <c r="H1615" s="69">
        <v>45658.0</v>
      </c>
      <c r="I1615" s="78" t="s">
        <v>337</v>
      </c>
      <c r="J1615" s="78"/>
      <c r="K1615" s="79"/>
      <c r="L1615" s="80"/>
      <c r="M1615" s="81"/>
    </row>
    <row r="1616">
      <c r="A1616" s="75" t="s">
        <v>3775</v>
      </c>
      <c r="B1616" s="75" t="s">
        <v>319</v>
      </c>
      <c r="C1616" s="75" t="s">
        <v>1346</v>
      </c>
      <c r="D1616" s="75">
        <v>2023.0</v>
      </c>
      <c r="E1616" s="75">
        <v>8.60369053345664E14</v>
      </c>
      <c r="F1616" s="76" t="s">
        <v>326</v>
      </c>
      <c r="G1616" s="68" t="s">
        <v>328</v>
      </c>
      <c r="H1616" s="69">
        <v>45658.0</v>
      </c>
      <c r="I1616" s="78" t="s">
        <v>337</v>
      </c>
      <c r="J1616" s="78"/>
      <c r="K1616" s="79"/>
      <c r="L1616" s="80"/>
      <c r="M1616" s="81"/>
    </row>
    <row r="1617">
      <c r="A1617" s="75" t="s">
        <v>3776</v>
      </c>
      <c r="B1617" s="75" t="s">
        <v>389</v>
      </c>
      <c r="C1617" s="75" t="s">
        <v>1483</v>
      </c>
      <c r="D1617" s="75">
        <v>2023.0</v>
      </c>
      <c r="E1617" s="75">
        <v>8.6036905241847E14</v>
      </c>
      <c r="F1617" s="76" t="s">
        <v>398</v>
      </c>
      <c r="G1617" s="68" t="s">
        <v>328</v>
      </c>
      <c r="H1617" s="69">
        <v>45658.0</v>
      </c>
      <c r="I1617" s="78" t="s">
        <v>337</v>
      </c>
      <c r="J1617" s="78"/>
      <c r="K1617" s="79"/>
      <c r="L1617" s="80"/>
      <c r="M1617" s="81"/>
      <c r="N1617" s="83" t="s">
        <v>380</v>
      </c>
    </row>
    <row r="1618">
      <c r="A1618" s="75" t="s">
        <v>3777</v>
      </c>
      <c r="B1618" s="75" t="s">
        <v>389</v>
      </c>
      <c r="C1618" s="75" t="s">
        <v>1483</v>
      </c>
      <c r="D1618" s="75">
        <v>2023.0</v>
      </c>
      <c r="E1618" s="75">
        <v>8.60369052143938E14</v>
      </c>
      <c r="F1618" s="76" t="s">
        <v>398</v>
      </c>
      <c r="G1618" s="68" t="s">
        <v>328</v>
      </c>
      <c r="H1618" s="69">
        <v>45658.0</v>
      </c>
      <c r="I1618" s="78" t="s">
        <v>337</v>
      </c>
      <c r="J1618" s="78"/>
      <c r="K1618" s="79"/>
      <c r="L1618" s="80"/>
      <c r="M1618" s="81"/>
      <c r="N1618" s="83" t="s">
        <v>380</v>
      </c>
    </row>
    <row r="1619">
      <c r="A1619" s="75" t="s">
        <v>3778</v>
      </c>
      <c r="B1619" s="75" t="s">
        <v>389</v>
      </c>
      <c r="C1619" s="75" t="s">
        <v>1483</v>
      </c>
      <c r="D1619" s="75">
        <v>2023.0</v>
      </c>
      <c r="E1619" s="75">
        <v>8.60369052142831E14</v>
      </c>
      <c r="F1619" s="76" t="s">
        <v>398</v>
      </c>
      <c r="G1619" s="68" t="s">
        <v>328</v>
      </c>
      <c r="H1619" s="69">
        <v>45658.0</v>
      </c>
      <c r="I1619" s="78" t="s">
        <v>337</v>
      </c>
      <c r="J1619" s="78"/>
      <c r="K1619" s="79"/>
      <c r="L1619" s="80"/>
      <c r="M1619" s="81"/>
      <c r="N1619" s="83" t="s">
        <v>380</v>
      </c>
    </row>
    <row r="1620">
      <c r="A1620" s="75" t="s">
        <v>3779</v>
      </c>
      <c r="B1620" s="75" t="s">
        <v>389</v>
      </c>
      <c r="C1620" s="75" t="s">
        <v>1483</v>
      </c>
      <c r="D1620" s="75">
        <v>2023.0</v>
      </c>
      <c r="E1620" s="75">
        <v>8.60369052144159E14</v>
      </c>
      <c r="F1620" s="76" t="s">
        <v>398</v>
      </c>
      <c r="G1620" s="68" t="s">
        <v>328</v>
      </c>
      <c r="H1620" s="69">
        <v>45658.0</v>
      </c>
      <c r="I1620" s="78" t="s">
        <v>1240</v>
      </c>
      <c r="J1620" s="78"/>
      <c r="K1620" s="79"/>
      <c r="L1620" s="80"/>
      <c r="M1620" s="81"/>
      <c r="N1620" s="83" t="s">
        <v>380</v>
      </c>
    </row>
    <row r="1621">
      <c r="A1621" s="75" t="s">
        <v>3780</v>
      </c>
      <c r="B1621" s="75" t="s">
        <v>319</v>
      </c>
      <c r="C1621" s="75" t="s">
        <v>1346</v>
      </c>
      <c r="D1621" s="75">
        <v>2024.0</v>
      </c>
      <c r="E1621" s="75">
        <v>8.60369054176464E14</v>
      </c>
      <c r="F1621" s="76" t="s">
        <v>326</v>
      </c>
      <c r="G1621" s="68" t="s">
        <v>328</v>
      </c>
      <c r="H1621" s="69">
        <v>45658.0</v>
      </c>
      <c r="I1621" s="78" t="s">
        <v>337</v>
      </c>
      <c r="J1621" s="78"/>
      <c r="K1621" s="79"/>
      <c r="L1621" s="80"/>
      <c r="M1621" s="81"/>
    </row>
    <row r="1622">
      <c r="A1622" s="75" t="s">
        <v>3781</v>
      </c>
      <c r="B1622" s="75" t="s">
        <v>319</v>
      </c>
      <c r="C1622" s="75" t="s">
        <v>1346</v>
      </c>
      <c r="D1622" s="75">
        <v>2024.0</v>
      </c>
      <c r="E1622" s="75">
        <v>8.60369054184112E14</v>
      </c>
      <c r="F1622" s="76" t="s">
        <v>326</v>
      </c>
      <c r="G1622" s="68" t="s">
        <v>328</v>
      </c>
      <c r="H1622" s="69">
        <v>45658.0</v>
      </c>
      <c r="I1622" s="78" t="s">
        <v>337</v>
      </c>
      <c r="J1622" s="78"/>
      <c r="K1622" s="79"/>
      <c r="L1622" s="80"/>
      <c r="M1622" s="81"/>
    </row>
    <row r="1623">
      <c r="A1623" s="75" t="s">
        <v>3782</v>
      </c>
      <c r="B1623" s="75" t="s">
        <v>319</v>
      </c>
      <c r="C1623" s="75" t="s">
        <v>1346</v>
      </c>
      <c r="D1623" s="75">
        <v>2024.0</v>
      </c>
      <c r="E1623" s="75">
        <v>8.60369054176902E14</v>
      </c>
      <c r="F1623" s="76" t="s">
        <v>326</v>
      </c>
      <c r="G1623" s="68" t="s">
        <v>328</v>
      </c>
      <c r="H1623" s="69">
        <v>45658.0</v>
      </c>
      <c r="I1623" s="78" t="s">
        <v>337</v>
      </c>
      <c r="J1623" s="78"/>
      <c r="K1623" s="79"/>
      <c r="L1623" s="80"/>
      <c r="M1623" s="81"/>
    </row>
    <row r="1624">
      <c r="A1624" s="75" t="s">
        <v>3783</v>
      </c>
      <c r="B1624" s="75" t="s">
        <v>319</v>
      </c>
      <c r="C1624" s="75" t="s">
        <v>321</v>
      </c>
      <c r="D1624" s="75">
        <v>2024.0</v>
      </c>
      <c r="E1624" s="75">
        <v>8.60369054763923E14</v>
      </c>
      <c r="F1624" s="76" t="s">
        <v>326</v>
      </c>
      <c r="G1624" s="68" t="s">
        <v>328</v>
      </c>
      <c r="H1624" s="69">
        <v>45658.0</v>
      </c>
      <c r="I1624" s="78" t="s">
        <v>337</v>
      </c>
      <c r="J1624" s="78"/>
      <c r="K1624" s="79"/>
      <c r="L1624" s="80"/>
      <c r="M1624" s="81"/>
    </row>
    <row r="1625">
      <c r="A1625" s="75" t="s">
        <v>3784</v>
      </c>
      <c r="B1625" s="75" t="s">
        <v>319</v>
      </c>
      <c r="C1625" s="75" t="s">
        <v>321</v>
      </c>
      <c r="D1625" s="75">
        <v>2024.0</v>
      </c>
      <c r="E1625" s="75">
        <v>8.60369054178601E14</v>
      </c>
      <c r="F1625" s="76" t="s">
        <v>326</v>
      </c>
      <c r="G1625" s="68" t="s">
        <v>328</v>
      </c>
      <c r="H1625" s="69">
        <v>45658.0</v>
      </c>
      <c r="I1625" s="78" t="s">
        <v>337</v>
      </c>
      <c r="J1625" s="78"/>
      <c r="K1625" s="79"/>
      <c r="L1625" s="80"/>
      <c r="M1625" s="81"/>
    </row>
    <row r="1626">
      <c r="A1626" s="75" t="s">
        <v>3785</v>
      </c>
      <c r="B1626" s="75" t="s">
        <v>319</v>
      </c>
      <c r="C1626" s="75" t="s">
        <v>1346</v>
      </c>
      <c r="D1626" s="75">
        <v>2024.0</v>
      </c>
      <c r="E1626" s="75">
        <v>8.60369054188055E14</v>
      </c>
      <c r="F1626" s="76" t="s">
        <v>326</v>
      </c>
      <c r="G1626" s="68" t="s">
        <v>328</v>
      </c>
      <c r="H1626" s="69">
        <v>45658.0</v>
      </c>
      <c r="I1626" s="78" t="s">
        <v>337</v>
      </c>
      <c r="J1626" s="78"/>
      <c r="K1626" s="79"/>
      <c r="L1626" s="80"/>
      <c r="M1626" s="81"/>
    </row>
    <row r="1627">
      <c r="A1627" s="75" t="s">
        <v>3786</v>
      </c>
      <c r="B1627" s="75" t="s">
        <v>389</v>
      </c>
      <c r="C1627" s="75" t="s">
        <v>1483</v>
      </c>
      <c r="D1627" s="75">
        <v>2023.0</v>
      </c>
      <c r="E1627" s="75">
        <v>8.60369052143698E14</v>
      </c>
      <c r="F1627" s="76" t="s">
        <v>398</v>
      </c>
      <c r="G1627" s="68" t="s">
        <v>328</v>
      </c>
      <c r="H1627" s="69">
        <v>45658.0</v>
      </c>
      <c r="I1627" s="78" t="s">
        <v>337</v>
      </c>
      <c r="J1627" s="78"/>
      <c r="K1627" s="79"/>
      <c r="L1627" s="80"/>
      <c r="M1627" s="81"/>
      <c r="N1627" s="83" t="s">
        <v>380</v>
      </c>
    </row>
    <row r="1628">
      <c r="A1628" s="75" t="s">
        <v>3787</v>
      </c>
      <c r="B1628" s="75" t="s">
        <v>319</v>
      </c>
      <c r="C1628" s="75" t="s">
        <v>321</v>
      </c>
      <c r="D1628" s="75">
        <v>2024.0</v>
      </c>
      <c r="E1628" s="75">
        <v>8.60369054153E14</v>
      </c>
      <c r="F1628" s="76" t="s">
        <v>326</v>
      </c>
      <c r="G1628" s="68" t="s">
        <v>328</v>
      </c>
      <c r="H1628" s="69">
        <v>45658.0</v>
      </c>
      <c r="I1628" s="78" t="s">
        <v>337</v>
      </c>
      <c r="J1628" s="78"/>
      <c r="K1628" s="79"/>
      <c r="L1628" s="80"/>
      <c r="M1628" s="81"/>
    </row>
    <row r="1629">
      <c r="A1629" s="75" t="s">
        <v>3788</v>
      </c>
      <c r="B1629" s="75" t="s">
        <v>319</v>
      </c>
      <c r="C1629" s="75" t="s">
        <v>321</v>
      </c>
      <c r="D1629" s="75">
        <v>2024.0</v>
      </c>
      <c r="E1629" s="75">
        <v>8.60369052695614E14</v>
      </c>
      <c r="F1629" s="76" t="s">
        <v>326</v>
      </c>
      <c r="G1629" s="68" t="s">
        <v>328</v>
      </c>
      <c r="H1629" s="69">
        <v>45658.0</v>
      </c>
      <c r="I1629" s="78" t="s">
        <v>337</v>
      </c>
      <c r="J1629" s="78"/>
      <c r="K1629" s="79"/>
      <c r="L1629" s="80"/>
      <c r="M1629" s="81"/>
    </row>
    <row r="1630">
      <c r="A1630" s="75" t="s">
        <v>3789</v>
      </c>
      <c r="B1630" s="75" t="s">
        <v>389</v>
      </c>
      <c r="C1630" s="75" t="s">
        <v>1483</v>
      </c>
      <c r="D1630" s="75">
        <v>2024.0</v>
      </c>
      <c r="E1630" s="75">
        <v>8.60369052123542E14</v>
      </c>
      <c r="F1630" s="76" t="s">
        <v>398</v>
      </c>
      <c r="G1630" s="68" t="s">
        <v>328</v>
      </c>
      <c r="H1630" s="69">
        <v>45658.0</v>
      </c>
      <c r="I1630" s="78" t="s">
        <v>337</v>
      </c>
      <c r="J1630" s="78"/>
      <c r="K1630" s="79"/>
      <c r="L1630" s="80"/>
      <c r="M1630" s="81"/>
      <c r="N1630" s="83" t="s">
        <v>380</v>
      </c>
    </row>
    <row r="1631">
      <c r="A1631" s="75" t="s">
        <v>3790</v>
      </c>
      <c r="B1631" s="75" t="s">
        <v>319</v>
      </c>
      <c r="C1631" s="75" t="s">
        <v>1346</v>
      </c>
      <c r="D1631" s="75">
        <v>2023.0</v>
      </c>
      <c r="E1631" s="75">
        <v>8.60369053334486E14</v>
      </c>
      <c r="F1631" s="76" t="s">
        <v>326</v>
      </c>
      <c r="G1631" s="68" t="s">
        <v>328</v>
      </c>
      <c r="H1631" s="69">
        <v>45658.0</v>
      </c>
      <c r="I1631" s="78" t="s">
        <v>337</v>
      </c>
      <c r="J1631" s="78"/>
      <c r="K1631" s="79"/>
      <c r="L1631" s="80"/>
      <c r="M1631" s="81"/>
    </row>
    <row r="1632">
      <c r="A1632" s="75" t="s">
        <v>3791</v>
      </c>
      <c r="B1632" s="75" t="s">
        <v>319</v>
      </c>
      <c r="C1632" s="75" t="s">
        <v>1346</v>
      </c>
      <c r="D1632" s="75">
        <v>2023.0</v>
      </c>
      <c r="E1632" s="75">
        <v>8.60369054176803E14</v>
      </c>
      <c r="F1632" s="76" t="s">
        <v>326</v>
      </c>
      <c r="G1632" s="68" t="s">
        <v>328</v>
      </c>
      <c r="H1632" s="69">
        <v>45658.0</v>
      </c>
      <c r="I1632" s="78" t="s">
        <v>337</v>
      </c>
      <c r="J1632" s="78"/>
      <c r="K1632" s="79"/>
      <c r="L1632" s="80"/>
      <c r="M1632" s="81"/>
    </row>
    <row r="1633">
      <c r="A1633" s="75" t="s">
        <v>3792</v>
      </c>
      <c r="B1633" s="75" t="s">
        <v>319</v>
      </c>
      <c r="C1633" s="75" t="s">
        <v>1346</v>
      </c>
      <c r="D1633" s="75">
        <v>2023.0</v>
      </c>
      <c r="E1633" s="75">
        <v>8.60369052155676E14</v>
      </c>
      <c r="F1633" s="76" t="s">
        <v>326</v>
      </c>
      <c r="G1633" s="68" t="s">
        <v>328</v>
      </c>
      <c r="H1633" s="69">
        <v>45658.0</v>
      </c>
      <c r="I1633" s="78" t="s">
        <v>337</v>
      </c>
      <c r="J1633" s="78"/>
      <c r="K1633" s="79"/>
      <c r="L1633" s="80"/>
      <c r="M1633" s="81"/>
    </row>
    <row r="1634">
      <c r="A1634" s="75" t="s">
        <v>3793</v>
      </c>
      <c r="B1634" s="75" t="s">
        <v>319</v>
      </c>
      <c r="C1634" s="75" t="s">
        <v>1346</v>
      </c>
      <c r="D1634" s="75">
        <v>2023.0</v>
      </c>
      <c r="E1634" s="75">
        <v>8.60369053334494E14</v>
      </c>
      <c r="F1634" s="76" t="s">
        <v>326</v>
      </c>
      <c r="G1634" s="68" t="s">
        <v>328</v>
      </c>
      <c r="H1634" s="69">
        <v>45658.0</v>
      </c>
      <c r="I1634" s="78" t="s">
        <v>337</v>
      </c>
      <c r="J1634" s="78"/>
      <c r="K1634" s="79"/>
      <c r="L1634" s="80"/>
      <c r="M1634" s="81"/>
    </row>
    <row r="1635">
      <c r="A1635" s="76">
        <v>8.60369052167275E14</v>
      </c>
      <c r="B1635" s="75" t="s">
        <v>389</v>
      </c>
      <c r="C1635" s="75" t="s">
        <v>1483</v>
      </c>
      <c r="D1635" s="75">
        <v>2023.0</v>
      </c>
      <c r="E1635" s="75">
        <v>8.60369052167275E14</v>
      </c>
      <c r="F1635" s="76" t="s">
        <v>398</v>
      </c>
      <c r="G1635" s="68" t="s">
        <v>328</v>
      </c>
      <c r="H1635" s="69">
        <v>45658.0</v>
      </c>
      <c r="I1635" s="78" t="s">
        <v>1240</v>
      </c>
      <c r="J1635" s="78"/>
      <c r="K1635" s="79"/>
      <c r="L1635" s="80"/>
      <c r="M1635" s="81"/>
    </row>
    <row r="1636">
      <c r="A1636" s="75" t="s">
        <v>3794</v>
      </c>
      <c r="B1636" s="75" t="s">
        <v>389</v>
      </c>
      <c r="C1636" s="75" t="s">
        <v>1483</v>
      </c>
      <c r="D1636" s="75">
        <v>2023.0</v>
      </c>
      <c r="E1636" s="75">
        <v>8.60369052144852E14</v>
      </c>
      <c r="F1636" s="76" t="s">
        <v>398</v>
      </c>
      <c r="G1636" s="68" t="s">
        <v>328</v>
      </c>
      <c r="H1636" s="69">
        <v>45658.0</v>
      </c>
      <c r="I1636" s="78" t="s">
        <v>337</v>
      </c>
      <c r="J1636" s="78"/>
      <c r="K1636" s="79"/>
      <c r="L1636" s="80"/>
      <c r="M1636" s="81"/>
      <c r="N1636" s="83" t="s">
        <v>380</v>
      </c>
    </row>
    <row r="1637">
      <c r="A1637" s="75" t="s">
        <v>3795</v>
      </c>
      <c r="B1637" s="75" t="s">
        <v>389</v>
      </c>
      <c r="C1637" s="75" t="s">
        <v>1483</v>
      </c>
      <c r="D1637" s="75">
        <v>2023.0</v>
      </c>
      <c r="E1637" s="75">
        <v>8.60369054165244E14</v>
      </c>
      <c r="F1637" s="76" t="s">
        <v>326</v>
      </c>
      <c r="G1637" s="68" t="s">
        <v>328</v>
      </c>
      <c r="H1637" s="69">
        <v>45658.0</v>
      </c>
      <c r="I1637" s="78" t="s">
        <v>337</v>
      </c>
      <c r="J1637" s="78"/>
      <c r="K1637" s="79"/>
      <c r="L1637" s="80"/>
      <c r="M1637" s="81"/>
      <c r="N1637" s="83" t="s">
        <v>380</v>
      </c>
    </row>
    <row r="1638">
      <c r="A1638" s="75" t="s">
        <v>3796</v>
      </c>
      <c r="B1638" s="75" t="s">
        <v>319</v>
      </c>
      <c r="C1638" s="75" t="s">
        <v>1346</v>
      </c>
      <c r="D1638" s="75">
        <v>2024.0</v>
      </c>
      <c r="E1638" s="75">
        <v>8.60369052194915E14</v>
      </c>
      <c r="F1638" s="76" t="s">
        <v>326</v>
      </c>
      <c r="G1638" s="68" t="s">
        <v>328</v>
      </c>
      <c r="H1638" s="69">
        <v>45658.0</v>
      </c>
      <c r="I1638" s="78" t="s">
        <v>337</v>
      </c>
      <c r="J1638" s="78"/>
      <c r="K1638" s="79"/>
      <c r="L1638" s="80"/>
      <c r="M1638" s="81"/>
    </row>
    <row r="1639">
      <c r="A1639" s="75" t="s">
        <v>3797</v>
      </c>
      <c r="B1639" s="75" t="s">
        <v>319</v>
      </c>
      <c r="C1639" s="75" t="s">
        <v>1346</v>
      </c>
      <c r="D1639" s="75">
        <v>2024.0</v>
      </c>
      <c r="E1639" s="75">
        <v>8.60369054157589E14</v>
      </c>
      <c r="F1639" s="76" t="s">
        <v>326</v>
      </c>
      <c r="G1639" s="68" t="s">
        <v>328</v>
      </c>
      <c r="H1639" s="69">
        <v>45658.0</v>
      </c>
      <c r="I1639" s="78" t="s">
        <v>337</v>
      </c>
      <c r="J1639" s="78"/>
      <c r="K1639" s="79"/>
      <c r="L1639" s="80"/>
      <c r="M1639" s="81"/>
    </row>
    <row r="1640">
      <c r="A1640" s="75" t="s">
        <v>3798</v>
      </c>
      <c r="B1640" s="75" t="s">
        <v>319</v>
      </c>
      <c r="C1640" s="75" t="s">
        <v>321</v>
      </c>
      <c r="D1640" s="75">
        <v>2024.0</v>
      </c>
      <c r="E1640" s="75">
        <v>8.60369052155692E14</v>
      </c>
      <c r="F1640" s="76" t="s">
        <v>398</v>
      </c>
      <c r="G1640" s="68" t="s">
        <v>328</v>
      </c>
      <c r="H1640" s="69">
        <v>45658.0</v>
      </c>
      <c r="I1640" s="78" t="s">
        <v>337</v>
      </c>
      <c r="J1640" s="78"/>
      <c r="K1640" s="79"/>
      <c r="L1640" s="80"/>
      <c r="M1640" s="81"/>
    </row>
    <row r="1641">
      <c r="A1641" s="75" t="s">
        <v>3799</v>
      </c>
      <c r="B1641" s="75" t="s">
        <v>319</v>
      </c>
      <c r="C1641" s="75" t="s">
        <v>321</v>
      </c>
      <c r="D1641" s="75">
        <v>2024.0</v>
      </c>
      <c r="E1641" s="75">
        <v>8.60369052696851E14</v>
      </c>
      <c r="F1641" s="76" t="s">
        <v>326</v>
      </c>
      <c r="G1641" s="68" t="s">
        <v>328</v>
      </c>
      <c r="H1641" s="69">
        <v>45658.0</v>
      </c>
      <c r="I1641" s="78" t="s">
        <v>337</v>
      </c>
      <c r="J1641" s="78"/>
      <c r="K1641" s="79"/>
      <c r="L1641" s="80"/>
      <c r="M1641" s="81"/>
    </row>
    <row r="1642">
      <c r="A1642" s="75" t="s">
        <v>3800</v>
      </c>
      <c r="B1642" s="75" t="s">
        <v>319</v>
      </c>
      <c r="C1642" s="75" t="s">
        <v>321</v>
      </c>
      <c r="D1642" s="75">
        <v>2024.0</v>
      </c>
      <c r="E1642" s="75">
        <v>8.6036905243455E14</v>
      </c>
      <c r="F1642" s="76" t="s">
        <v>326</v>
      </c>
      <c r="G1642" s="68" t="s">
        <v>328</v>
      </c>
      <c r="H1642" s="69">
        <v>45658.0</v>
      </c>
      <c r="I1642" s="78" t="s">
        <v>337</v>
      </c>
      <c r="J1642" s="78"/>
      <c r="K1642" s="79"/>
      <c r="L1642" s="80"/>
      <c r="M1642" s="81"/>
    </row>
    <row r="1643">
      <c r="A1643" s="75" t="s">
        <v>3801</v>
      </c>
      <c r="B1643" s="75" t="s">
        <v>319</v>
      </c>
      <c r="C1643" s="75" t="s">
        <v>321</v>
      </c>
      <c r="D1643" s="75">
        <v>2024.0</v>
      </c>
      <c r="E1643" s="75">
        <v>8.60369054164833E14</v>
      </c>
      <c r="F1643" s="76" t="s">
        <v>326</v>
      </c>
      <c r="G1643" s="68" t="s">
        <v>328</v>
      </c>
      <c r="H1643" s="69">
        <v>45658.0</v>
      </c>
      <c r="I1643" s="78" t="s">
        <v>337</v>
      </c>
      <c r="J1643" s="78"/>
      <c r="K1643" s="79"/>
      <c r="L1643" s="80"/>
      <c r="M1643" s="81"/>
    </row>
    <row r="1644">
      <c r="A1644" s="75" t="s">
        <v>3802</v>
      </c>
      <c r="B1644" s="75" t="s">
        <v>389</v>
      </c>
      <c r="C1644" s="75" t="s">
        <v>1483</v>
      </c>
      <c r="D1644" s="75">
        <v>2023.0</v>
      </c>
      <c r="E1644" s="75">
        <v>8.60369052168331E14</v>
      </c>
      <c r="F1644" s="76" t="s">
        <v>398</v>
      </c>
      <c r="G1644" s="68" t="s">
        <v>328</v>
      </c>
      <c r="H1644" s="69">
        <v>45658.0</v>
      </c>
      <c r="I1644" s="78" t="s">
        <v>337</v>
      </c>
      <c r="J1644" s="78"/>
      <c r="K1644" s="79"/>
      <c r="L1644" s="80"/>
      <c r="M1644" s="81"/>
      <c r="N1644" s="83" t="s">
        <v>380</v>
      </c>
    </row>
    <row r="1645">
      <c r="A1645" s="75" t="s">
        <v>3803</v>
      </c>
      <c r="B1645" s="75" t="s">
        <v>389</v>
      </c>
      <c r="C1645" s="75" t="s">
        <v>1483</v>
      </c>
      <c r="D1645" s="75">
        <v>2023.0</v>
      </c>
      <c r="E1645" s="75">
        <v>8.60369052480702E14</v>
      </c>
      <c r="F1645" s="76" t="s">
        <v>398</v>
      </c>
      <c r="G1645" s="68" t="s">
        <v>328</v>
      </c>
      <c r="H1645" s="69">
        <v>45658.0</v>
      </c>
      <c r="I1645" s="78" t="s">
        <v>337</v>
      </c>
      <c r="J1645" s="78"/>
      <c r="K1645" s="79"/>
      <c r="L1645" s="80"/>
      <c r="M1645" s="81"/>
      <c r="N1645" s="83" t="s">
        <v>380</v>
      </c>
    </row>
    <row r="1646">
      <c r="A1646" s="75" t="s">
        <v>3804</v>
      </c>
      <c r="B1646" s="75" t="s">
        <v>319</v>
      </c>
      <c r="C1646" s="75" t="s">
        <v>321</v>
      </c>
      <c r="D1646" s="75">
        <v>2024.0</v>
      </c>
      <c r="E1646" s="75">
        <v>8.60369053343842E14</v>
      </c>
      <c r="F1646" s="76" t="s">
        <v>326</v>
      </c>
      <c r="G1646" s="68" t="s">
        <v>328</v>
      </c>
      <c r="H1646" s="69">
        <v>45658.0</v>
      </c>
      <c r="I1646" s="78" t="s">
        <v>337</v>
      </c>
      <c r="J1646" s="78"/>
      <c r="K1646" s="79"/>
      <c r="L1646" s="80"/>
      <c r="M1646" s="81"/>
    </row>
    <row r="1647">
      <c r="A1647" s="75" t="s">
        <v>3805</v>
      </c>
      <c r="B1647" s="75" t="s">
        <v>319</v>
      </c>
      <c r="C1647" s="75" t="s">
        <v>321</v>
      </c>
      <c r="D1647" s="75">
        <v>2024.0</v>
      </c>
      <c r="E1647" s="75">
        <v>8.60369054181621E14</v>
      </c>
      <c r="F1647" s="76" t="s">
        <v>326</v>
      </c>
      <c r="G1647" s="68" t="s">
        <v>328</v>
      </c>
      <c r="H1647" s="69">
        <v>45658.0</v>
      </c>
      <c r="I1647" s="78" t="s">
        <v>337</v>
      </c>
      <c r="J1647" s="78"/>
      <c r="K1647" s="79"/>
      <c r="L1647" s="80"/>
      <c r="M1647" s="81"/>
    </row>
    <row r="1648">
      <c r="A1648" s="75" t="s">
        <v>3806</v>
      </c>
      <c r="B1648" s="75" t="s">
        <v>319</v>
      </c>
      <c r="C1648" s="75" t="s">
        <v>321</v>
      </c>
      <c r="D1648" s="75">
        <v>2023.0</v>
      </c>
      <c r="E1648" s="75">
        <v>8.603690541589E14</v>
      </c>
      <c r="F1648" s="76" t="s">
        <v>326</v>
      </c>
      <c r="G1648" s="68" t="s">
        <v>328</v>
      </c>
      <c r="H1648" s="69">
        <v>45658.0</v>
      </c>
      <c r="I1648" s="78" t="s">
        <v>337</v>
      </c>
      <c r="J1648" s="78"/>
      <c r="K1648" s="79"/>
      <c r="L1648" s="80"/>
      <c r="M1648" s="81"/>
    </row>
    <row r="1649">
      <c r="A1649" s="75" t="s">
        <v>3807</v>
      </c>
      <c r="B1649" s="75" t="s">
        <v>389</v>
      </c>
      <c r="C1649" s="75" t="s">
        <v>1483</v>
      </c>
      <c r="D1649" s="75">
        <v>2023.0</v>
      </c>
      <c r="E1649" s="75">
        <v>8.6036905216895E14</v>
      </c>
      <c r="F1649" s="76" t="s">
        <v>398</v>
      </c>
      <c r="G1649" s="68" t="s">
        <v>328</v>
      </c>
      <c r="H1649" s="69">
        <v>45658.0</v>
      </c>
      <c r="I1649" s="78" t="s">
        <v>337</v>
      </c>
      <c r="J1649" s="78"/>
      <c r="K1649" s="79"/>
      <c r="L1649" s="80"/>
      <c r="M1649" s="81"/>
      <c r="N1649" s="83" t="s">
        <v>380</v>
      </c>
    </row>
    <row r="1650">
      <c r="A1650" s="75" t="s">
        <v>3808</v>
      </c>
      <c r="B1650" s="75" t="s">
        <v>389</v>
      </c>
      <c r="C1650" s="75" t="s">
        <v>1483</v>
      </c>
      <c r="D1650" s="75">
        <v>2023.0</v>
      </c>
      <c r="E1650" s="75">
        <v>8.60369052408471E14</v>
      </c>
      <c r="F1650" s="76" t="s">
        <v>398</v>
      </c>
      <c r="G1650" s="68" t="s">
        <v>328</v>
      </c>
      <c r="H1650" s="69">
        <v>45658.0</v>
      </c>
      <c r="I1650" s="78" t="s">
        <v>337</v>
      </c>
      <c r="J1650" s="78"/>
      <c r="K1650" s="79"/>
      <c r="L1650" s="80"/>
      <c r="M1650" s="81"/>
      <c r="N1650" s="83" t="s">
        <v>380</v>
      </c>
    </row>
    <row r="1651">
      <c r="A1651" s="75" t="s">
        <v>3809</v>
      </c>
      <c r="B1651" s="75" t="s">
        <v>389</v>
      </c>
      <c r="C1651" s="75" t="s">
        <v>1483</v>
      </c>
      <c r="D1651" s="75">
        <v>2023.0</v>
      </c>
      <c r="E1651" s="75">
        <v>8.60369052155668E14</v>
      </c>
      <c r="F1651" s="76" t="s">
        <v>398</v>
      </c>
      <c r="G1651" s="68" t="s">
        <v>328</v>
      </c>
      <c r="H1651" s="69">
        <v>45658.0</v>
      </c>
      <c r="I1651" s="78" t="s">
        <v>337</v>
      </c>
      <c r="J1651" s="78"/>
      <c r="K1651" s="79"/>
      <c r="L1651" s="80"/>
      <c r="M1651" s="81"/>
      <c r="N1651" s="83" t="s">
        <v>380</v>
      </c>
    </row>
    <row r="1652">
      <c r="A1652" s="75" t="s">
        <v>3810</v>
      </c>
      <c r="B1652" s="75" t="s">
        <v>389</v>
      </c>
      <c r="C1652" s="75" t="s">
        <v>1483</v>
      </c>
      <c r="D1652" s="75">
        <v>2023.0</v>
      </c>
      <c r="E1652" s="75">
        <v>8.60369052144696E14</v>
      </c>
      <c r="F1652" s="76" t="s">
        <v>398</v>
      </c>
      <c r="G1652" s="68" t="s">
        <v>328</v>
      </c>
      <c r="H1652" s="69">
        <v>45658.0</v>
      </c>
      <c r="I1652" s="78" t="s">
        <v>337</v>
      </c>
      <c r="J1652" s="78"/>
      <c r="K1652" s="79"/>
      <c r="L1652" s="80"/>
      <c r="M1652" s="81"/>
      <c r="N1652" s="83" t="s">
        <v>380</v>
      </c>
    </row>
    <row r="1653">
      <c r="A1653" s="75" t="s">
        <v>3811</v>
      </c>
      <c r="B1653" s="75" t="s">
        <v>389</v>
      </c>
      <c r="C1653" s="75" t="s">
        <v>1483</v>
      </c>
      <c r="D1653" s="75">
        <v>2023.0</v>
      </c>
      <c r="E1653" s="75">
        <v>8.60369052175716E14</v>
      </c>
      <c r="F1653" s="76" t="s">
        <v>398</v>
      </c>
      <c r="G1653" s="68" t="s">
        <v>328</v>
      </c>
      <c r="H1653" s="69">
        <v>45658.0</v>
      </c>
      <c r="I1653" s="78" t="s">
        <v>337</v>
      </c>
      <c r="J1653" s="78"/>
      <c r="K1653" s="79"/>
      <c r="L1653" s="80"/>
      <c r="M1653" s="81"/>
      <c r="N1653" s="83" t="s">
        <v>380</v>
      </c>
    </row>
    <row r="1654">
      <c r="A1654" s="75" t="s">
        <v>3812</v>
      </c>
      <c r="B1654" s="75" t="s">
        <v>389</v>
      </c>
      <c r="C1654" s="75" t="s">
        <v>1483</v>
      </c>
      <c r="D1654" s="75">
        <v>2023.0</v>
      </c>
      <c r="E1654" s="75">
        <v>8.60369052407473E14</v>
      </c>
      <c r="F1654" s="76" t="s">
        <v>326</v>
      </c>
      <c r="G1654" s="68" t="s">
        <v>328</v>
      </c>
      <c r="H1654" s="69">
        <v>45658.0</v>
      </c>
      <c r="I1654" s="78" t="s">
        <v>337</v>
      </c>
      <c r="J1654" s="78"/>
      <c r="K1654" s="79"/>
      <c r="L1654" s="80"/>
      <c r="M1654" s="81"/>
      <c r="N1654" s="83" t="s">
        <v>380</v>
      </c>
    </row>
    <row r="1655">
      <c r="A1655" s="75" t="s">
        <v>3813</v>
      </c>
      <c r="B1655" s="75" t="s">
        <v>389</v>
      </c>
      <c r="C1655" s="75" t="s">
        <v>1483</v>
      </c>
      <c r="D1655" s="75">
        <v>2023.0</v>
      </c>
      <c r="E1655" s="75">
        <v>8.60369052142625E14</v>
      </c>
      <c r="F1655" s="76" t="s">
        <v>398</v>
      </c>
      <c r="G1655" s="68" t="s">
        <v>328</v>
      </c>
      <c r="H1655" s="69">
        <v>45658.0</v>
      </c>
      <c r="I1655" s="78" t="s">
        <v>337</v>
      </c>
      <c r="J1655" s="78"/>
      <c r="K1655" s="79"/>
      <c r="L1655" s="80"/>
      <c r="M1655" s="81"/>
      <c r="N1655" s="83" t="s">
        <v>380</v>
      </c>
    </row>
    <row r="1656">
      <c r="A1656" s="75" t="s">
        <v>3814</v>
      </c>
      <c r="B1656" s="75" t="s">
        <v>389</v>
      </c>
      <c r="C1656" s="75" t="s">
        <v>1483</v>
      </c>
      <c r="D1656" s="75">
        <v>2023.0</v>
      </c>
      <c r="E1656" s="75">
        <v>8.6036905214387E14</v>
      </c>
      <c r="F1656" s="76" t="s">
        <v>398</v>
      </c>
      <c r="G1656" s="68" t="s">
        <v>328</v>
      </c>
      <c r="H1656" s="69">
        <v>45658.0</v>
      </c>
      <c r="I1656" s="78" t="s">
        <v>337</v>
      </c>
      <c r="J1656" s="78"/>
      <c r="K1656" s="79"/>
      <c r="L1656" s="80"/>
      <c r="M1656" s="81"/>
      <c r="N1656" s="83" t="s">
        <v>380</v>
      </c>
    </row>
    <row r="1657">
      <c r="A1657" s="75" t="s">
        <v>3815</v>
      </c>
      <c r="B1657" s="75" t="s">
        <v>389</v>
      </c>
      <c r="C1657" s="75" t="s">
        <v>1483</v>
      </c>
      <c r="D1657" s="75">
        <v>2023.0</v>
      </c>
      <c r="E1657" s="75">
        <v>8.60369052171129E14</v>
      </c>
      <c r="F1657" s="76" t="s">
        <v>398</v>
      </c>
      <c r="G1657" s="68" t="s">
        <v>328</v>
      </c>
      <c r="H1657" s="69">
        <v>45658.0</v>
      </c>
      <c r="I1657" s="78" t="s">
        <v>337</v>
      </c>
      <c r="J1657" s="78"/>
      <c r="K1657" s="79"/>
      <c r="L1657" s="80"/>
      <c r="M1657" s="81"/>
      <c r="N1657" s="83" t="s">
        <v>380</v>
      </c>
    </row>
    <row r="1658">
      <c r="A1658" s="75" t="s">
        <v>3816</v>
      </c>
      <c r="B1658" s="75" t="s">
        <v>319</v>
      </c>
      <c r="C1658" s="75" t="s">
        <v>321</v>
      </c>
      <c r="D1658" s="75">
        <v>2024.0</v>
      </c>
      <c r="E1658" s="75">
        <v>8.60369054406499E14</v>
      </c>
      <c r="F1658" s="76" t="s">
        <v>326</v>
      </c>
      <c r="G1658" s="68" t="s">
        <v>328</v>
      </c>
      <c r="H1658" s="69">
        <v>45658.0</v>
      </c>
      <c r="I1658" s="78" t="s">
        <v>337</v>
      </c>
      <c r="J1658" s="78"/>
      <c r="K1658" s="79"/>
      <c r="L1658" s="80"/>
      <c r="M1658" s="81"/>
    </row>
    <row r="1659">
      <c r="A1659" s="75" t="s">
        <v>3817</v>
      </c>
      <c r="B1659" s="75" t="s">
        <v>319</v>
      </c>
      <c r="C1659" s="75" t="s">
        <v>321</v>
      </c>
      <c r="D1659" s="75">
        <v>2024.0</v>
      </c>
      <c r="E1659" s="75">
        <v>8.60369054171481E14</v>
      </c>
      <c r="F1659" s="76" t="s">
        <v>326</v>
      </c>
      <c r="G1659" s="68" t="s">
        <v>328</v>
      </c>
      <c r="H1659" s="69">
        <v>45658.0</v>
      </c>
      <c r="I1659" s="78" t="s">
        <v>337</v>
      </c>
      <c r="J1659" s="78"/>
      <c r="K1659" s="79"/>
      <c r="L1659" s="80"/>
      <c r="M1659" s="81"/>
    </row>
    <row r="1660">
      <c r="A1660" s="75" t="s">
        <v>3818</v>
      </c>
      <c r="B1660" s="75" t="s">
        <v>389</v>
      </c>
      <c r="C1660" s="75" t="s">
        <v>1483</v>
      </c>
      <c r="D1660" s="75">
        <v>2023.0</v>
      </c>
      <c r="E1660" s="75">
        <v>8.60369052176789E14</v>
      </c>
      <c r="F1660" s="76" t="s">
        <v>326</v>
      </c>
      <c r="G1660" s="68" t="s">
        <v>328</v>
      </c>
      <c r="H1660" s="69">
        <v>45658.0</v>
      </c>
      <c r="I1660" s="78" t="s">
        <v>337</v>
      </c>
      <c r="J1660" s="78"/>
      <c r="K1660" s="79"/>
      <c r="L1660" s="80"/>
      <c r="M1660" s="81"/>
      <c r="N1660" s="83" t="s">
        <v>380</v>
      </c>
    </row>
    <row r="1661">
      <c r="A1661" s="75" t="s">
        <v>3819</v>
      </c>
      <c r="B1661" s="75" t="s">
        <v>319</v>
      </c>
      <c r="C1661" s="75" t="s">
        <v>321</v>
      </c>
      <c r="D1661" s="75">
        <v>2024.0</v>
      </c>
      <c r="E1661" s="75">
        <v>8.60369052143664E14</v>
      </c>
      <c r="F1661" s="76" t="s">
        <v>398</v>
      </c>
      <c r="G1661" s="68" t="s">
        <v>328</v>
      </c>
      <c r="H1661" s="69">
        <v>45658.0</v>
      </c>
      <c r="I1661" s="78" t="s">
        <v>337</v>
      </c>
      <c r="J1661" s="78"/>
      <c r="K1661" s="79"/>
      <c r="L1661" s="80"/>
      <c r="M1661" s="81"/>
    </row>
    <row r="1662">
      <c r="A1662" s="75" t="s">
        <v>3820</v>
      </c>
      <c r="B1662" s="75" t="s">
        <v>319</v>
      </c>
      <c r="C1662" s="75" t="s">
        <v>321</v>
      </c>
      <c r="D1662" s="75">
        <v>2024.0</v>
      </c>
      <c r="E1662" s="75">
        <v>8.60369053344329E14</v>
      </c>
      <c r="F1662" s="76" t="s">
        <v>326</v>
      </c>
      <c r="G1662" s="68" t="s">
        <v>328</v>
      </c>
      <c r="H1662" s="69">
        <v>45658.0</v>
      </c>
      <c r="I1662" s="78" t="s">
        <v>337</v>
      </c>
      <c r="J1662" s="78"/>
      <c r="K1662" s="79"/>
      <c r="L1662" s="80"/>
      <c r="M1662" s="81"/>
    </row>
    <row r="1663">
      <c r="A1663" s="75" t="s">
        <v>3821</v>
      </c>
      <c r="B1663" s="75" t="s">
        <v>319</v>
      </c>
      <c r="C1663" s="75" t="s">
        <v>321</v>
      </c>
      <c r="D1663" s="75">
        <v>2024.0</v>
      </c>
      <c r="E1663" s="75">
        <v>8.60369052168646E14</v>
      </c>
      <c r="F1663" s="76" t="s">
        <v>398</v>
      </c>
      <c r="G1663" s="68" t="s">
        <v>328</v>
      </c>
      <c r="H1663" s="69">
        <v>45658.0</v>
      </c>
      <c r="I1663" s="78" t="s">
        <v>337</v>
      </c>
      <c r="J1663" s="78"/>
      <c r="K1663" s="79"/>
      <c r="L1663" s="80"/>
      <c r="M1663" s="81"/>
    </row>
    <row r="1664">
      <c r="A1664" s="75" t="s">
        <v>3822</v>
      </c>
      <c r="B1664" s="75" t="s">
        <v>319</v>
      </c>
      <c r="C1664" s="75" t="s">
        <v>321</v>
      </c>
      <c r="D1664" s="75">
        <v>2024.0</v>
      </c>
      <c r="E1664" s="75">
        <v>8.60369054191836E14</v>
      </c>
      <c r="F1664" s="76" t="s">
        <v>326</v>
      </c>
      <c r="G1664" s="68" t="s">
        <v>328</v>
      </c>
      <c r="H1664" s="69">
        <v>45658.0</v>
      </c>
      <c r="I1664" s="78" t="s">
        <v>337</v>
      </c>
      <c r="J1664" s="78"/>
      <c r="K1664" s="79"/>
      <c r="L1664" s="80"/>
      <c r="M1664" s="81"/>
    </row>
    <row r="1665">
      <c r="A1665" s="75" t="s">
        <v>3823</v>
      </c>
      <c r="B1665" s="75" t="s">
        <v>319</v>
      </c>
      <c r="C1665" s="75" t="s">
        <v>321</v>
      </c>
      <c r="D1665" s="75">
        <v>2024.0</v>
      </c>
      <c r="E1665" s="75">
        <v>8.60369052416037E14</v>
      </c>
      <c r="F1665" s="76" t="s">
        <v>326</v>
      </c>
      <c r="G1665" s="68" t="s">
        <v>328</v>
      </c>
      <c r="H1665" s="69">
        <v>45658.0</v>
      </c>
      <c r="I1665" s="78" t="s">
        <v>337</v>
      </c>
      <c r="J1665" s="78"/>
      <c r="K1665" s="79"/>
      <c r="L1665" s="80"/>
      <c r="M1665" s="81"/>
    </row>
    <row r="1666">
      <c r="A1666" s="75" t="s">
        <v>3824</v>
      </c>
      <c r="B1666" s="75" t="s">
        <v>319</v>
      </c>
      <c r="C1666" s="75" t="s">
        <v>321</v>
      </c>
      <c r="D1666" s="75">
        <v>2024.0</v>
      </c>
      <c r="E1666" s="75">
        <v>8.60369052695333E14</v>
      </c>
      <c r="F1666" s="76" t="s">
        <v>326</v>
      </c>
      <c r="G1666" s="68" t="s">
        <v>328</v>
      </c>
      <c r="H1666" s="69">
        <v>45658.0</v>
      </c>
      <c r="I1666" s="78" t="s">
        <v>337</v>
      </c>
      <c r="J1666" s="78"/>
      <c r="K1666" s="79"/>
      <c r="L1666" s="110" t="s">
        <v>3588</v>
      </c>
      <c r="M1666" s="81"/>
    </row>
    <row r="1667">
      <c r="A1667" s="75" t="s">
        <v>3825</v>
      </c>
      <c r="B1667" s="75" t="s">
        <v>319</v>
      </c>
      <c r="C1667" s="75" t="s">
        <v>321</v>
      </c>
      <c r="D1667" s="75">
        <v>2024.0</v>
      </c>
      <c r="E1667" s="75">
        <v>8.60369054156045E14</v>
      </c>
      <c r="F1667" s="76" t="s">
        <v>326</v>
      </c>
      <c r="G1667" s="68" t="s">
        <v>328</v>
      </c>
      <c r="H1667" s="69">
        <v>45658.0</v>
      </c>
      <c r="I1667" s="78" t="s">
        <v>337</v>
      </c>
      <c r="J1667" s="78"/>
      <c r="K1667" s="79"/>
      <c r="L1667" s="80"/>
      <c r="M1667" s="81"/>
    </row>
    <row r="1668">
      <c r="A1668" s="75" t="s">
        <v>3826</v>
      </c>
      <c r="B1668" s="75" t="s">
        <v>319</v>
      </c>
      <c r="C1668" s="75" t="s">
        <v>321</v>
      </c>
      <c r="D1668" s="75">
        <v>2024.0</v>
      </c>
      <c r="E1668" s="75">
        <v>8.60369054180896E14</v>
      </c>
      <c r="F1668" s="76" t="s">
        <v>326</v>
      </c>
      <c r="G1668" s="68" t="s">
        <v>328</v>
      </c>
      <c r="H1668" s="69">
        <v>45658.0</v>
      </c>
      <c r="I1668" s="78" t="s">
        <v>337</v>
      </c>
      <c r="J1668" s="78"/>
      <c r="K1668" s="79"/>
      <c r="L1668" s="80"/>
      <c r="M1668" s="81"/>
    </row>
    <row r="1669">
      <c r="A1669" s="75" t="s">
        <v>3827</v>
      </c>
      <c r="B1669" s="75" t="s">
        <v>319</v>
      </c>
      <c r="C1669" s="75" t="s">
        <v>321</v>
      </c>
      <c r="D1669" s="75">
        <v>2024.0</v>
      </c>
      <c r="E1669" s="75">
        <v>8.60369054405087E14</v>
      </c>
      <c r="F1669" s="76" t="s">
        <v>326</v>
      </c>
      <c r="G1669" s="68" t="s">
        <v>328</v>
      </c>
      <c r="H1669" s="69">
        <v>45658.0</v>
      </c>
      <c r="I1669" s="78" t="s">
        <v>337</v>
      </c>
      <c r="J1669" s="78"/>
      <c r="K1669" s="79"/>
      <c r="L1669" s="80"/>
      <c r="M1669" s="81"/>
    </row>
    <row r="1670">
      <c r="A1670" s="75" t="s">
        <v>3828</v>
      </c>
      <c r="B1670" s="75" t="s">
        <v>319</v>
      </c>
      <c r="C1670" s="75" t="s">
        <v>321</v>
      </c>
      <c r="D1670" s="75">
        <v>2024.0</v>
      </c>
      <c r="E1670" s="75">
        <v>8.60369054177934E14</v>
      </c>
      <c r="F1670" s="76" t="s">
        <v>326</v>
      </c>
      <c r="G1670" s="68" t="s">
        <v>328</v>
      </c>
      <c r="H1670" s="69">
        <v>45658.0</v>
      </c>
      <c r="I1670" s="78" t="s">
        <v>337</v>
      </c>
      <c r="J1670" s="78"/>
      <c r="K1670" s="79"/>
      <c r="L1670" s="80"/>
      <c r="M1670" s="81"/>
    </row>
    <row r="1671">
      <c r="A1671" s="75" t="s">
        <v>3829</v>
      </c>
      <c r="B1671" s="75" t="s">
        <v>319</v>
      </c>
      <c r="C1671" s="75" t="s">
        <v>321</v>
      </c>
      <c r="D1671" s="75">
        <v>2024.0</v>
      </c>
      <c r="E1671" s="75">
        <v>8.60369052703277E14</v>
      </c>
      <c r="F1671" s="76" t="s">
        <v>326</v>
      </c>
      <c r="G1671" s="68" t="s">
        <v>328</v>
      </c>
      <c r="H1671" s="69">
        <v>45658.0</v>
      </c>
      <c r="I1671" s="78" t="s">
        <v>337</v>
      </c>
      <c r="J1671" s="78"/>
      <c r="K1671" s="79"/>
      <c r="L1671" s="80"/>
      <c r="M1671" s="81"/>
    </row>
    <row r="1672">
      <c r="A1672" s="75" t="s">
        <v>3830</v>
      </c>
      <c r="B1672" s="75" t="s">
        <v>319</v>
      </c>
      <c r="C1672" s="75" t="s">
        <v>321</v>
      </c>
      <c r="D1672" s="75">
        <v>2024.0</v>
      </c>
      <c r="E1672" s="75">
        <v>8.60369054174931E14</v>
      </c>
      <c r="F1672" s="76" t="s">
        <v>326</v>
      </c>
      <c r="G1672" s="68" t="s">
        <v>328</v>
      </c>
      <c r="H1672" s="69">
        <v>45658.0</v>
      </c>
      <c r="I1672" s="78" t="s">
        <v>337</v>
      </c>
      <c r="J1672" s="78"/>
      <c r="K1672" s="79"/>
      <c r="L1672" s="80"/>
      <c r="M1672" s="81"/>
    </row>
    <row r="1673">
      <c r="A1673" s="75" t="s">
        <v>3831</v>
      </c>
      <c r="B1673" s="75" t="s">
        <v>319</v>
      </c>
      <c r="C1673" s="75" t="s">
        <v>321</v>
      </c>
      <c r="D1673" s="75">
        <v>2024.0</v>
      </c>
      <c r="E1673" s="75">
        <v>8.6036905269544E14</v>
      </c>
      <c r="F1673" s="76" t="s">
        <v>326</v>
      </c>
      <c r="G1673" s="68" t="s">
        <v>328</v>
      </c>
      <c r="H1673" s="69">
        <v>45658.0</v>
      </c>
      <c r="I1673" s="78" t="s">
        <v>337</v>
      </c>
      <c r="J1673" s="78"/>
      <c r="K1673" s="79"/>
      <c r="L1673" s="80"/>
      <c r="M1673" s="81"/>
    </row>
    <row r="1674">
      <c r="A1674" s="75" t="s">
        <v>3832</v>
      </c>
      <c r="B1674" s="75" t="s">
        <v>319</v>
      </c>
      <c r="C1674" s="75" t="s">
        <v>321</v>
      </c>
      <c r="D1674" s="75">
        <v>2024.0</v>
      </c>
      <c r="E1674" s="75">
        <v>8.60369054164205E14</v>
      </c>
      <c r="F1674" s="76" t="s">
        <v>326</v>
      </c>
      <c r="G1674" s="68" t="s">
        <v>328</v>
      </c>
      <c r="H1674" s="69">
        <v>45658.0</v>
      </c>
      <c r="I1674" s="78" t="s">
        <v>337</v>
      </c>
      <c r="J1674" s="78"/>
      <c r="K1674" s="79"/>
      <c r="L1674" s="80"/>
      <c r="M1674" s="81"/>
    </row>
    <row r="1675">
      <c r="A1675" s="75" t="s">
        <v>3833</v>
      </c>
      <c r="B1675" s="75" t="s">
        <v>319</v>
      </c>
      <c r="C1675" s="75" t="s">
        <v>321</v>
      </c>
      <c r="D1675" s="75">
        <v>2024.0</v>
      </c>
      <c r="E1675" s="75">
        <v>8.60369054182637E14</v>
      </c>
      <c r="F1675" s="76" t="s">
        <v>326</v>
      </c>
      <c r="G1675" s="68" t="s">
        <v>328</v>
      </c>
      <c r="H1675" s="69">
        <v>45658.0</v>
      </c>
      <c r="I1675" s="78" t="s">
        <v>337</v>
      </c>
      <c r="J1675" s="78"/>
      <c r="K1675" s="79"/>
      <c r="L1675" s="80"/>
      <c r="M1675" s="81"/>
    </row>
    <row r="1676">
      <c r="A1676" s="75" t="s">
        <v>3834</v>
      </c>
      <c r="B1676" s="75" t="s">
        <v>319</v>
      </c>
      <c r="C1676" s="75" t="s">
        <v>321</v>
      </c>
      <c r="D1676" s="75">
        <v>2024.0</v>
      </c>
      <c r="E1676" s="75">
        <v>8.60369054178916E14</v>
      </c>
      <c r="F1676" s="76" t="s">
        <v>326</v>
      </c>
      <c r="G1676" s="68" t="s">
        <v>328</v>
      </c>
      <c r="H1676" s="69">
        <v>45658.0</v>
      </c>
      <c r="I1676" s="78" t="s">
        <v>337</v>
      </c>
      <c r="J1676" s="78"/>
      <c r="K1676" s="79"/>
      <c r="L1676" s="80"/>
      <c r="M1676" s="81"/>
    </row>
    <row r="1677">
      <c r="A1677" s="75" t="s">
        <v>3835</v>
      </c>
      <c r="B1677" s="75" t="s">
        <v>319</v>
      </c>
      <c r="C1677" s="75" t="s">
        <v>321</v>
      </c>
      <c r="D1677" s="75">
        <v>2024.0</v>
      </c>
      <c r="E1677" s="75">
        <v>8.60369052422704E14</v>
      </c>
      <c r="F1677" s="76" t="s">
        <v>326</v>
      </c>
      <c r="G1677" s="68" t="s">
        <v>328</v>
      </c>
      <c r="H1677" s="69">
        <v>45658.0</v>
      </c>
      <c r="I1677" s="78" t="s">
        <v>337</v>
      </c>
      <c r="J1677" s="78"/>
      <c r="K1677" s="79"/>
      <c r="L1677" s="80"/>
      <c r="M1677" s="81"/>
    </row>
    <row r="1678">
      <c r="A1678" s="75" t="s">
        <v>3836</v>
      </c>
      <c r="B1678" s="75" t="s">
        <v>319</v>
      </c>
      <c r="C1678" s="75" t="s">
        <v>321</v>
      </c>
      <c r="D1678" s="75">
        <v>2024.0</v>
      </c>
      <c r="E1678" s="75">
        <v>8.60369052194857E14</v>
      </c>
      <c r="F1678" s="76" t="s">
        <v>326</v>
      </c>
      <c r="G1678" s="68" t="s">
        <v>328</v>
      </c>
      <c r="H1678" s="69">
        <v>45658.0</v>
      </c>
      <c r="I1678" s="78" t="s">
        <v>337</v>
      </c>
      <c r="J1678" s="78"/>
      <c r="K1678" s="79"/>
      <c r="L1678" s="80"/>
      <c r="M1678" s="81"/>
    </row>
    <row r="1679">
      <c r="A1679" s="75" t="s">
        <v>3837</v>
      </c>
      <c r="B1679" s="75" t="s">
        <v>319</v>
      </c>
      <c r="C1679" s="75" t="s">
        <v>321</v>
      </c>
      <c r="D1679" s="75">
        <v>2024.0</v>
      </c>
      <c r="E1679" s="75">
        <v>8.60369054167851E14</v>
      </c>
      <c r="F1679" s="76" t="s">
        <v>326</v>
      </c>
      <c r="G1679" s="68" t="s">
        <v>328</v>
      </c>
      <c r="H1679" s="69">
        <v>45658.0</v>
      </c>
      <c r="I1679" s="78" t="s">
        <v>337</v>
      </c>
      <c r="J1679" s="78"/>
      <c r="K1679" s="79"/>
      <c r="L1679" s="80"/>
      <c r="M1679" s="81"/>
    </row>
    <row r="1680">
      <c r="A1680" s="75" t="s">
        <v>3838</v>
      </c>
      <c r="B1680" s="75" t="s">
        <v>319</v>
      </c>
      <c r="C1680" s="75" t="s">
        <v>321</v>
      </c>
      <c r="D1680" s="75">
        <v>2024.0</v>
      </c>
      <c r="E1680" s="75">
        <v>8.603690541621E14</v>
      </c>
      <c r="F1680" s="76" t="s">
        <v>326</v>
      </c>
      <c r="G1680" s="68" t="s">
        <v>328</v>
      </c>
      <c r="H1680" s="69">
        <v>45658.0</v>
      </c>
      <c r="I1680" s="78" t="s">
        <v>337</v>
      </c>
      <c r="J1680" s="78"/>
      <c r="K1680" s="79"/>
      <c r="L1680" s="80"/>
      <c r="M1680" s="81"/>
    </row>
    <row r="1681">
      <c r="A1681" s="75" t="s">
        <v>3839</v>
      </c>
      <c r="B1681" s="75" t="s">
        <v>319</v>
      </c>
      <c r="C1681" s="75" t="s">
        <v>321</v>
      </c>
      <c r="D1681" s="75">
        <v>2024.0</v>
      </c>
      <c r="E1681" s="75">
        <v>8.60369052140868E14</v>
      </c>
      <c r="F1681" s="76" t="s">
        <v>398</v>
      </c>
      <c r="G1681" s="68" t="s">
        <v>328</v>
      </c>
      <c r="H1681" s="69">
        <v>45658.0</v>
      </c>
      <c r="I1681" s="78" t="s">
        <v>337</v>
      </c>
      <c r="J1681" s="78"/>
      <c r="K1681" s="79"/>
      <c r="L1681" s="80"/>
      <c r="M1681" s="81"/>
    </row>
    <row r="1682">
      <c r="A1682" s="75" t="s">
        <v>3840</v>
      </c>
      <c r="B1682" s="75" t="s">
        <v>319</v>
      </c>
      <c r="C1682" s="75" t="s">
        <v>321</v>
      </c>
      <c r="D1682" s="75">
        <v>2024.0</v>
      </c>
      <c r="E1682" s="75">
        <v>8.60369054406606E14</v>
      </c>
      <c r="F1682" s="76" t="s">
        <v>326</v>
      </c>
      <c r="G1682" s="68" t="s">
        <v>328</v>
      </c>
      <c r="H1682" s="69">
        <v>45658.0</v>
      </c>
      <c r="I1682" s="78" t="s">
        <v>337</v>
      </c>
      <c r="J1682" s="78"/>
      <c r="K1682" s="79"/>
      <c r="L1682" s="80"/>
      <c r="M1682" s="81"/>
    </row>
    <row r="1683">
      <c r="A1683" s="75" t="s">
        <v>3841</v>
      </c>
      <c r="B1683" s="75" t="s">
        <v>389</v>
      </c>
      <c r="C1683" s="75" t="s">
        <v>1483</v>
      </c>
      <c r="D1683" s="75">
        <v>2023.0</v>
      </c>
      <c r="E1683" s="75">
        <v>8.60369052408406E14</v>
      </c>
      <c r="F1683" s="76" t="s">
        <v>326</v>
      </c>
      <c r="G1683" s="68" t="s">
        <v>328</v>
      </c>
      <c r="H1683" s="69">
        <v>45658.0</v>
      </c>
      <c r="I1683" s="78" t="s">
        <v>337</v>
      </c>
      <c r="J1683" s="78"/>
      <c r="K1683" s="79"/>
      <c r="L1683" s="80"/>
      <c r="M1683" s="81"/>
      <c r="N1683" s="83" t="s">
        <v>380</v>
      </c>
    </row>
    <row r="1684">
      <c r="A1684" s="75" t="s">
        <v>3842</v>
      </c>
      <c r="B1684" s="75" t="s">
        <v>319</v>
      </c>
      <c r="C1684" s="75" t="s">
        <v>321</v>
      </c>
      <c r="D1684" s="75">
        <v>2024.0</v>
      </c>
      <c r="E1684" s="75">
        <v>8.60369054181803E14</v>
      </c>
      <c r="F1684" s="76" t="s">
        <v>326</v>
      </c>
      <c r="G1684" s="68" t="s">
        <v>328</v>
      </c>
      <c r="H1684" s="69">
        <v>45658.0</v>
      </c>
      <c r="I1684" s="78" t="s">
        <v>337</v>
      </c>
      <c r="J1684" s="78"/>
      <c r="K1684" s="79"/>
      <c r="L1684" s="80"/>
      <c r="M1684" s="81"/>
    </row>
    <row r="1685">
      <c r="A1685" s="75" t="s">
        <v>3843</v>
      </c>
      <c r="B1685" s="75" t="s">
        <v>319</v>
      </c>
      <c r="C1685" s="75" t="s">
        <v>321</v>
      </c>
      <c r="D1685" s="75">
        <v>2024.0</v>
      </c>
      <c r="E1685" s="75">
        <v>8.60369052693676E14</v>
      </c>
      <c r="F1685" s="76" t="s">
        <v>326</v>
      </c>
      <c r="G1685" s="68" t="s">
        <v>328</v>
      </c>
      <c r="H1685" s="69">
        <v>45658.0</v>
      </c>
      <c r="I1685" s="78" t="s">
        <v>337</v>
      </c>
      <c r="J1685" s="78"/>
      <c r="K1685" s="79"/>
      <c r="L1685" s="80"/>
      <c r="M1685" s="81"/>
    </row>
    <row r="1686">
      <c r="A1686" s="75" t="s">
        <v>3844</v>
      </c>
      <c r="B1686" s="75" t="s">
        <v>319</v>
      </c>
      <c r="C1686" s="75" t="s">
        <v>321</v>
      </c>
      <c r="D1686" s="75">
        <v>2024.0</v>
      </c>
      <c r="E1686" s="75">
        <v>8.60369054189111E14</v>
      </c>
      <c r="F1686" s="76" t="s">
        <v>326</v>
      </c>
      <c r="G1686" s="68" t="s">
        <v>328</v>
      </c>
      <c r="H1686" s="69">
        <v>45658.0</v>
      </c>
      <c r="I1686" s="78" t="s">
        <v>337</v>
      </c>
      <c r="J1686" s="78"/>
      <c r="K1686" s="79"/>
      <c r="L1686" s="80"/>
      <c r="M1686" s="81"/>
    </row>
    <row r="1687">
      <c r="A1687" s="75" t="s">
        <v>3845</v>
      </c>
      <c r="B1687" s="75" t="s">
        <v>319</v>
      </c>
      <c r="C1687" s="75" t="s">
        <v>321</v>
      </c>
      <c r="D1687" s="75">
        <v>2024.0</v>
      </c>
      <c r="E1687" s="75">
        <v>8.60369052695218E14</v>
      </c>
      <c r="F1687" s="76" t="s">
        <v>326</v>
      </c>
      <c r="G1687" s="68" t="s">
        <v>328</v>
      </c>
      <c r="H1687" s="69">
        <v>45658.0</v>
      </c>
      <c r="I1687" s="78" t="s">
        <v>337</v>
      </c>
      <c r="J1687" s="78"/>
      <c r="K1687" s="79"/>
      <c r="L1687" s="80"/>
      <c r="M1687" s="81"/>
    </row>
    <row r="1688">
      <c r="A1688" s="75" t="s">
        <v>3846</v>
      </c>
      <c r="B1688" s="75" t="s">
        <v>319</v>
      </c>
      <c r="C1688" s="75" t="s">
        <v>321</v>
      </c>
      <c r="D1688" s="75">
        <v>2024.0</v>
      </c>
      <c r="E1688" s="75">
        <v>8.60369052708995E14</v>
      </c>
      <c r="F1688" s="76" t="s">
        <v>326</v>
      </c>
      <c r="G1688" s="68" t="s">
        <v>328</v>
      </c>
      <c r="H1688" s="69">
        <v>45658.0</v>
      </c>
      <c r="I1688" s="78" t="s">
        <v>337</v>
      </c>
      <c r="J1688" s="78"/>
      <c r="K1688" s="79"/>
      <c r="L1688" s="80"/>
      <c r="M1688" s="81"/>
    </row>
    <row r="1689">
      <c r="A1689" s="75" t="s">
        <v>3847</v>
      </c>
      <c r="B1689" s="75" t="s">
        <v>319</v>
      </c>
      <c r="C1689" s="75" t="s">
        <v>321</v>
      </c>
      <c r="D1689" s="75">
        <v>2024.0</v>
      </c>
      <c r="E1689" s="75">
        <v>8.60369054184021E14</v>
      </c>
      <c r="F1689" s="76" t="s">
        <v>326</v>
      </c>
      <c r="G1689" s="68" t="s">
        <v>328</v>
      </c>
      <c r="H1689" s="69">
        <v>45658.0</v>
      </c>
      <c r="I1689" s="78" t="s">
        <v>337</v>
      </c>
      <c r="J1689" s="78"/>
      <c r="K1689" s="79"/>
      <c r="L1689" s="80"/>
      <c r="M1689" s="81"/>
    </row>
    <row r="1690">
      <c r="A1690" s="75" t="s">
        <v>3848</v>
      </c>
      <c r="B1690" s="75" t="s">
        <v>319</v>
      </c>
      <c r="C1690" s="75" t="s">
        <v>321</v>
      </c>
      <c r="D1690" s="75">
        <v>2024.0</v>
      </c>
      <c r="E1690" s="75">
        <v>8.60369054201072E14</v>
      </c>
      <c r="F1690" s="76" t="s">
        <v>326</v>
      </c>
      <c r="G1690" s="68" t="s">
        <v>328</v>
      </c>
      <c r="H1690" s="69">
        <v>45658.0</v>
      </c>
      <c r="I1690" s="78" t="s">
        <v>337</v>
      </c>
      <c r="J1690" s="78"/>
      <c r="K1690" s="79"/>
      <c r="L1690" s="80"/>
      <c r="M1690" s="81"/>
    </row>
    <row r="1691">
      <c r="A1691" s="75" t="s">
        <v>3849</v>
      </c>
      <c r="B1691" s="75" t="s">
        <v>319</v>
      </c>
      <c r="C1691" s="75" t="s">
        <v>321</v>
      </c>
      <c r="D1691" s="75">
        <v>2024.0</v>
      </c>
      <c r="E1691" s="75">
        <v>8.60369054763352E14</v>
      </c>
      <c r="F1691" s="76" t="s">
        <v>326</v>
      </c>
      <c r="G1691" s="68" t="s">
        <v>328</v>
      </c>
      <c r="H1691" s="69">
        <v>45658.0</v>
      </c>
      <c r="I1691" s="78" t="s">
        <v>337</v>
      </c>
      <c r="J1691" s="78"/>
      <c r="K1691" s="79"/>
      <c r="L1691" s="80"/>
      <c r="M1691" s="81"/>
    </row>
    <row r="1692">
      <c r="A1692" s="75" t="s">
        <v>3850</v>
      </c>
      <c r="B1692" s="75" t="s">
        <v>319</v>
      </c>
      <c r="C1692" s="75" t="s">
        <v>321</v>
      </c>
      <c r="D1692" s="75">
        <v>2024.0</v>
      </c>
      <c r="E1692" s="75">
        <v>8.60369053334452E14</v>
      </c>
      <c r="F1692" s="76" t="s">
        <v>326</v>
      </c>
      <c r="G1692" s="68" t="s">
        <v>328</v>
      </c>
      <c r="H1692" s="69">
        <v>45658.0</v>
      </c>
      <c r="I1692" s="78" t="s">
        <v>337</v>
      </c>
      <c r="J1692" s="78"/>
      <c r="K1692" s="79"/>
      <c r="L1692" s="80"/>
      <c r="M1692" s="81"/>
    </row>
    <row r="1693">
      <c r="A1693" s="75" t="s">
        <v>3851</v>
      </c>
      <c r="B1693" s="75" t="s">
        <v>319</v>
      </c>
      <c r="C1693" s="75" t="s">
        <v>321</v>
      </c>
      <c r="D1693" s="75">
        <v>2024.0</v>
      </c>
      <c r="E1693" s="75">
        <v>8.60369054408826E14</v>
      </c>
      <c r="F1693" s="76" t="s">
        <v>326</v>
      </c>
      <c r="G1693" s="68" t="s">
        <v>328</v>
      </c>
      <c r="H1693" s="69">
        <v>45658.0</v>
      </c>
      <c r="I1693" s="78" t="s">
        <v>337</v>
      </c>
      <c r="J1693" s="78"/>
      <c r="K1693" s="79"/>
      <c r="L1693" s="80"/>
      <c r="M1693" s="81"/>
    </row>
    <row r="1694">
      <c r="A1694" s="75" t="s">
        <v>3852</v>
      </c>
      <c r="B1694" s="75" t="s">
        <v>319</v>
      </c>
      <c r="C1694" s="75" t="s">
        <v>321</v>
      </c>
      <c r="D1694" s="75">
        <v>2024.0</v>
      </c>
      <c r="E1694" s="75">
        <v>8.6036905474021E14</v>
      </c>
      <c r="F1694" s="76" t="s">
        <v>326</v>
      </c>
      <c r="G1694" s="68" t="s">
        <v>328</v>
      </c>
      <c r="H1694" s="69">
        <v>45658.0</v>
      </c>
      <c r="I1694" s="78" t="s">
        <v>337</v>
      </c>
      <c r="J1694" s="78"/>
      <c r="K1694" s="79"/>
      <c r="L1694" s="80"/>
      <c r="M1694" s="81"/>
    </row>
    <row r="1695">
      <c r="A1695" s="75" t="s">
        <v>3853</v>
      </c>
      <c r="B1695" s="75" t="s">
        <v>319</v>
      </c>
      <c r="C1695" s="75" t="s">
        <v>321</v>
      </c>
      <c r="D1695" s="75">
        <v>2024.0</v>
      </c>
      <c r="E1695" s="75">
        <v>8.60369054165996E14</v>
      </c>
      <c r="F1695" s="76" t="s">
        <v>326</v>
      </c>
      <c r="G1695" s="68" t="s">
        <v>328</v>
      </c>
      <c r="H1695" s="69">
        <v>45658.0</v>
      </c>
      <c r="I1695" s="78" t="s">
        <v>337</v>
      </c>
      <c r="J1695" s="78"/>
      <c r="K1695" s="79"/>
      <c r="L1695" s="80"/>
      <c r="M1695" s="81"/>
    </row>
    <row r="1696">
      <c r="A1696" s="75" t="s">
        <v>3854</v>
      </c>
      <c r="B1696" s="75" t="s">
        <v>319</v>
      </c>
      <c r="C1696" s="75" t="s">
        <v>321</v>
      </c>
      <c r="D1696" s="75">
        <v>2024.0</v>
      </c>
      <c r="E1696" s="75">
        <v>8.60369054185689E14</v>
      </c>
      <c r="F1696" s="76" t="s">
        <v>326</v>
      </c>
      <c r="G1696" s="68" t="s">
        <v>328</v>
      </c>
      <c r="H1696" s="69">
        <v>45658.0</v>
      </c>
      <c r="I1696" s="78" t="s">
        <v>337</v>
      </c>
      <c r="J1696" s="78"/>
      <c r="K1696" s="79"/>
      <c r="L1696" s="80"/>
      <c r="M1696" s="81"/>
    </row>
    <row r="1697">
      <c r="A1697" s="75" t="s">
        <v>3855</v>
      </c>
      <c r="B1697" s="75" t="s">
        <v>319</v>
      </c>
      <c r="C1697" s="75" t="s">
        <v>321</v>
      </c>
      <c r="D1697" s="75">
        <v>2024.0</v>
      </c>
      <c r="E1697" s="75">
        <v>8.60369054404775E14</v>
      </c>
      <c r="F1697" s="76" t="s">
        <v>326</v>
      </c>
      <c r="G1697" s="68" t="s">
        <v>328</v>
      </c>
      <c r="H1697" s="69">
        <v>45658.0</v>
      </c>
      <c r="I1697" s="78" t="s">
        <v>337</v>
      </c>
      <c r="J1697" s="78"/>
      <c r="K1697" s="79"/>
      <c r="L1697" s="80"/>
      <c r="M1697" s="81"/>
    </row>
    <row r="1698">
      <c r="A1698" s="75" t="s">
        <v>3856</v>
      </c>
      <c r="B1698" s="75" t="s">
        <v>319</v>
      </c>
      <c r="C1698" s="75" t="s">
        <v>321</v>
      </c>
      <c r="D1698" s="75">
        <v>2024.0</v>
      </c>
      <c r="E1698" s="75">
        <v>8.60369052706957E14</v>
      </c>
      <c r="F1698" s="76" t="s">
        <v>326</v>
      </c>
      <c r="G1698" s="68" t="s">
        <v>328</v>
      </c>
      <c r="H1698" s="69">
        <v>45658.0</v>
      </c>
      <c r="I1698" s="78" t="s">
        <v>337</v>
      </c>
      <c r="J1698" s="78"/>
      <c r="K1698" s="79"/>
      <c r="L1698" s="80"/>
      <c r="M1698" s="81"/>
    </row>
    <row r="1699">
      <c r="A1699" s="75" t="s">
        <v>3857</v>
      </c>
      <c r="B1699" s="75" t="s">
        <v>389</v>
      </c>
      <c r="C1699" s="75" t="s">
        <v>1483</v>
      </c>
      <c r="D1699" s="78">
        <v>2024.0</v>
      </c>
      <c r="E1699" s="75">
        <v>8.60369052154661E14</v>
      </c>
      <c r="F1699" s="76" t="s">
        <v>398</v>
      </c>
      <c r="G1699" s="68" t="s">
        <v>328</v>
      </c>
      <c r="H1699" s="69">
        <v>45658.0</v>
      </c>
      <c r="I1699" s="78" t="s">
        <v>337</v>
      </c>
      <c r="J1699" s="78"/>
      <c r="K1699" s="79"/>
      <c r="L1699" s="80"/>
      <c r="M1699" s="81"/>
      <c r="N1699" s="83" t="s">
        <v>380</v>
      </c>
    </row>
    <row r="1700">
      <c r="A1700" s="75" t="s">
        <v>3858</v>
      </c>
      <c r="B1700" s="75" t="s">
        <v>389</v>
      </c>
      <c r="C1700" s="75" t="s">
        <v>1483</v>
      </c>
      <c r="D1700" s="78">
        <v>2024.0</v>
      </c>
      <c r="E1700" s="75">
        <v>8.6036905106081E14</v>
      </c>
      <c r="F1700" s="76" t="s">
        <v>398</v>
      </c>
      <c r="G1700" s="68" t="s">
        <v>328</v>
      </c>
      <c r="H1700" s="69">
        <v>45658.0</v>
      </c>
      <c r="I1700" s="78" t="s">
        <v>337</v>
      </c>
      <c r="J1700" s="78"/>
      <c r="K1700" s="79"/>
      <c r="L1700" s="80"/>
      <c r="M1700" s="81"/>
      <c r="N1700" s="83" t="s">
        <v>380</v>
      </c>
    </row>
    <row r="1701">
      <c r="A1701" s="75" t="s">
        <v>3859</v>
      </c>
      <c r="B1701" s="75" t="s">
        <v>389</v>
      </c>
      <c r="C1701" s="75" t="s">
        <v>1483</v>
      </c>
      <c r="D1701" s="78">
        <v>2024.0</v>
      </c>
      <c r="E1701" s="75">
        <v>8.60369050778263E14</v>
      </c>
      <c r="F1701" s="76" t="s">
        <v>398</v>
      </c>
      <c r="G1701" s="68" t="s">
        <v>328</v>
      </c>
      <c r="H1701" s="69">
        <v>45658.0</v>
      </c>
      <c r="I1701" s="78" t="s">
        <v>337</v>
      </c>
      <c r="J1701" s="78"/>
      <c r="K1701" s="79"/>
      <c r="L1701" s="80"/>
      <c r="M1701" s="81"/>
      <c r="N1701" s="83" t="s">
        <v>380</v>
      </c>
    </row>
    <row r="1702">
      <c r="A1702" s="75" t="s">
        <v>3860</v>
      </c>
      <c r="B1702" s="75" t="s">
        <v>389</v>
      </c>
      <c r="C1702" s="75" t="s">
        <v>1483</v>
      </c>
      <c r="D1702" s="78">
        <v>2024.0</v>
      </c>
      <c r="E1702" s="75">
        <v>8.60369052461355E14</v>
      </c>
      <c r="F1702" s="76" t="s">
        <v>398</v>
      </c>
      <c r="G1702" s="68" t="s">
        <v>328</v>
      </c>
      <c r="H1702" s="69">
        <v>45658.0</v>
      </c>
      <c r="I1702" s="78" t="s">
        <v>337</v>
      </c>
      <c r="J1702" s="78"/>
      <c r="K1702" s="79"/>
      <c r="L1702" s="80"/>
      <c r="M1702" s="81"/>
      <c r="N1702" s="83" t="s">
        <v>380</v>
      </c>
    </row>
    <row r="1703">
      <c r="A1703" s="75" t="s">
        <v>3861</v>
      </c>
      <c r="B1703" s="75" t="s">
        <v>389</v>
      </c>
      <c r="C1703" s="75" t="s">
        <v>1483</v>
      </c>
      <c r="D1703" s="78">
        <v>2024.0</v>
      </c>
      <c r="E1703" s="75">
        <v>8.60369051066221E14</v>
      </c>
      <c r="F1703" s="76" t="s">
        <v>398</v>
      </c>
      <c r="G1703" s="68" t="s">
        <v>328</v>
      </c>
      <c r="H1703" s="69">
        <v>45658.0</v>
      </c>
      <c r="I1703" s="78" t="s">
        <v>337</v>
      </c>
      <c r="J1703" s="78"/>
      <c r="K1703" s="79"/>
      <c r="L1703" s="80"/>
      <c r="M1703" s="81"/>
      <c r="N1703" s="83" t="s">
        <v>380</v>
      </c>
    </row>
    <row r="1704">
      <c r="A1704" s="75" t="s">
        <v>3862</v>
      </c>
      <c r="B1704" s="75" t="s">
        <v>389</v>
      </c>
      <c r="C1704" s="75" t="s">
        <v>1483</v>
      </c>
      <c r="D1704" s="78">
        <v>2024.0</v>
      </c>
      <c r="E1704" s="75">
        <v>8.6036905243304E14</v>
      </c>
      <c r="F1704" s="76" t="s">
        <v>398</v>
      </c>
      <c r="G1704" s="68" t="s">
        <v>328</v>
      </c>
      <c r="H1704" s="69">
        <v>45658.0</v>
      </c>
      <c r="I1704" s="78" t="s">
        <v>337</v>
      </c>
      <c r="J1704" s="78"/>
      <c r="K1704" s="79"/>
      <c r="L1704" s="80"/>
      <c r="M1704" s="81"/>
      <c r="N1704" s="83" t="s">
        <v>380</v>
      </c>
    </row>
    <row r="1705">
      <c r="A1705" s="75" t="s">
        <v>3863</v>
      </c>
      <c r="B1705" s="75" t="s">
        <v>389</v>
      </c>
      <c r="C1705" s="75" t="s">
        <v>1483</v>
      </c>
      <c r="D1705" s="78">
        <v>2024.0</v>
      </c>
      <c r="E1705" s="75">
        <v>8.60369052154562E14</v>
      </c>
      <c r="F1705" s="76" t="s">
        <v>398</v>
      </c>
      <c r="G1705" s="68" t="s">
        <v>328</v>
      </c>
      <c r="H1705" s="69">
        <v>45658.0</v>
      </c>
      <c r="I1705" s="78" t="s">
        <v>337</v>
      </c>
      <c r="J1705" s="78"/>
      <c r="K1705" s="79"/>
      <c r="L1705" s="80"/>
      <c r="M1705" s="81"/>
      <c r="N1705" s="83" t="s">
        <v>380</v>
      </c>
    </row>
    <row r="1706">
      <c r="A1706" s="75" t="s">
        <v>3864</v>
      </c>
      <c r="B1706" s="75" t="s">
        <v>389</v>
      </c>
      <c r="C1706" s="75" t="s">
        <v>1483</v>
      </c>
      <c r="D1706" s="78">
        <v>2024.0</v>
      </c>
      <c r="E1706" s="75">
        <v>8.6036905111493E14</v>
      </c>
      <c r="F1706" s="76" t="s">
        <v>326</v>
      </c>
      <c r="G1706" s="68" t="s">
        <v>328</v>
      </c>
      <c r="H1706" s="69">
        <v>45658.0</v>
      </c>
      <c r="I1706" s="78" t="s">
        <v>337</v>
      </c>
      <c r="J1706" s="78"/>
      <c r="K1706" s="79"/>
      <c r="L1706" s="80"/>
      <c r="M1706" s="81"/>
      <c r="N1706" s="83" t="s">
        <v>380</v>
      </c>
    </row>
    <row r="1707">
      <c r="A1707" s="75" t="s">
        <v>3865</v>
      </c>
      <c r="B1707" s="75" t="s">
        <v>319</v>
      </c>
      <c r="C1707" s="75" t="s">
        <v>321</v>
      </c>
      <c r="D1707" s="78">
        <v>2024.0</v>
      </c>
      <c r="E1707" s="75">
        <v>8.60369054156938E14</v>
      </c>
      <c r="F1707" s="76" t="s">
        <v>326</v>
      </c>
      <c r="G1707" s="68" t="s">
        <v>328</v>
      </c>
      <c r="H1707" s="69">
        <v>45658.0</v>
      </c>
      <c r="I1707" s="78" t="s">
        <v>1240</v>
      </c>
      <c r="J1707" s="78"/>
      <c r="K1707" s="79"/>
      <c r="L1707" s="80"/>
      <c r="M1707" s="81"/>
    </row>
    <row r="1708">
      <c r="A1708" s="75" t="s">
        <v>3866</v>
      </c>
      <c r="B1708" s="75" t="s">
        <v>389</v>
      </c>
      <c r="C1708" s="75" t="s">
        <v>1483</v>
      </c>
      <c r="D1708" s="75">
        <v>2024.0</v>
      </c>
      <c r="E1708" s="75">
        <v>8.60369051057279E14</v>
      </c>
      <c r="F1708" s="76" t="s">
        <v>398</v>
      </c>
      <c r="G1708" s="68" t="s">
        <v>328</v>
      </c>
      <c r="H1708" s="69">
        <v>45658.0</v>
      </c>
      <c r="I1708" s="78" t="s">
        <v>337</v>
      </c>
      <c r="J1708" s="78"/>
      <c r="K1708" s="79"/>
      <c r="L1708" s="80"/>
      <c r="M1708" s="81"/>
      <c r="N1708" s="83" t="s">
        <v>380</v>
      </c>
    </row>
    <row r="1709">
      <c r="A1709" s="75" t="s">
        <v>3867</v>
      </c>
      <c r="B1709" s="75" t="s">
        <v>319</v>
      </c>
      <c r="C1709" s="75" t="s">
        <v>321</v>
      </c>
      <c r="D1709" s="78">
        <v>2024.0</v>
      </c>
      <c r="E1709" s="75">
        <v>8.60369054170756E14</v>
      </c>
      <c r="F1709" s="76" t="s">
        <v>326</v>
      </c>
      <c r="G1709" s="68" t="s">
        <v>328</v>
      </c>
      <c r="H1709" s="69">
        <v>45658.0</v>
      </c>
      <c r="I1709" s="78" t="s">
        <v>337</v>
      </c>
      <c r="J1709" s="78"/>
      <c r="K1709" s="79"/>
      <c r="L1709" s="80"/>
      <c r="M1709" s="81"/>
    </row>
    <row r="1710">
      <c r="A1710" s="75" t="s">
        <v>3868</v>
      </c>
      <c r="B1710" s="75" t="s">
        <v>319</v>
      </c>
      <c r="C1710" s="75" t="s">
        <v>321</v>
      </c>
      <c r="D1710" s="78">
        <v>2024.0</v>
      </c>
      <c r="E1710" s="75">
        <v>8.60369052449129E14</v>
      </c>
      <c r="F1710" s="76" t="s">
        <v>326</v>
      </c>
      <c r="G1710" s="68" t="s">
        <v>328</v>
      </c>
      <c r="H1710" s="69">
        <v>45658.0</v>
      </c>
      <c r="I1710" s="78" t="s">
        <v>337</v>
      </c>
      <c r="J1710" s="78"/>
      <c r="K1710" s="79"/>
      <c r="L1710" s="80"/>
      <c r="M1710" s="81"/>
    </row>
    <row r="1711">
      <c r="A1711" s="75" t="s">
        <v>3869</v>
      </c>
      <c r="B1711" s="75" t="s">
        <v>319</v>
      </c>
      <c r="C1711" s="75" t="s">
        <v>321</v>
      </c>
      <c r="D1711" s="78">
        <v>2024.0</v>
      </c>
      <c r="E1711" s="75">
        <v>8.60369052703475E14</v>
      </c>
      <c r="F1711" s="76" t="s">
        <v>326</v>
      </c>
      <c r="G1711" s="68" t="s">
        <v>328</v>
      </c>
      <c r="H1711" s="69">
        <v>45658.0</v>
      </c>
      <c r="I1711" s="78" t="s">
        <v>337</v>
      </c>
      <c r="J1711" s="78"/>
      <c r="K1711" s="79"/>
      <c r="L1711" s="80"/>
      <c r="M1711" s="81"/>
    </row>
    <row r="1712">
      <c r="A1712" s="75" t="s">
        <v>3870</v>
      </c>
      <c r="B1712" s="75" t="s">
        <v>319</v>
      </c>
      <c r="C1712" s="75" t="s">
        <v>1247</v>
      </c>
      <c r="D1712" s="75">
        <v>2024.0</v>
      </c>
      <c r="E1712" s="75">
        <v>8.60369052460696E14</v>
      </c>
      <c r="F1712" s="76" t="s">
        <v>398</v>
      </c>
      <c r="G1712" s="68" t="s">
        <v>328</v>
      </c>
      <c r="H1712" s="69">
        <v>45658.0</v>
      </c>
      <c r="I1712" s="78" t="s">
        <v>337</v>
      </c>
      <c r="J1712" s="78"/>
      <c r="K1712" s="79"/>
      <c r="L1712" s="80"/>
      <c r="M1712" s="81"/>
    </row>
    <row r="1713">
      <c r="A1713" s="75" t="s">
        <v>3871</v>
      </c>
      <c r="B1713" s="75" t="s">
        <v>319</v>
      </c>
      <c r="C1713" s="75" t="s">
        <v>1247</v>
      </c>
      <c r="D1713" s="75">
        <v>2024.0</v>
      </c>
      <c r="E1713" s="75">
        <v>8.60369054152721E14</v>
      </c>
      <c r="F1713" s="76" t="s">
        <v>326</v>
      </c>
      <c r="G1713" s="68" t="s">
        <v>328</v>
      </c>
      <c r="H1713" s="69">
        <v>45658.0</v>
      </c>
      <c r="I1713" s="78" t="s">
        <v>337</v>
      </c>
      <c r="J1713" s="78"/>
      <c r="K1713" s="79"/>
      <c r="L1713" s="80"/>
      <c r="M1713" s="81"/>
    </row>
    <row r="1714">
      <c r="A1714" s="75" t="s">
        <v>3872</v>
      </c>
      <c r="B1714" s="75" t="s">
        <v>319</v>
      </c>
      <c r="C1714" s="75" t="s">
        <v>1247</v>
      </c>
      <c r="D1714" s="75">
        <v>2024.0</v>
      </c>
      <c r="E1714" s="75">
        <v>8.60369054155203E14</v>
      </c>
      <c r="F1714" s="76" t="s">
        <v>326</v>
      </c>
      <c r="G1714" s="68" t="s">
        <v>328</v>
      </c>
      <c r="H1714" s="69">
        <v>45658.0</v>
      </c>
      <c r="I1714" s="78" t="s">
        <v>337</v>
      </c>
      <c r="J1714" s="78"/>
      <c r="K1714" s="79"/>
      <c r="L1714" s="80"/>
      <c r="M1714" s="81"/>
    </row>
    <row r="1715">
      <c r="A1715" s="75" t="s">
        <v>3873</v>
      </c>
      <c r="B1715" s="75" t="s">
        <v>319</v>
      </c>
      <c r="C1715" s="75" t="s">
        <v>1247</v>
      </c>
      <c r="D1715" s="75">
        <v>2024.0</v>
      </c>
      <c r="E1715" s="75">
        <v>8.60369054408818E14</v>
      </c>
      <c r="F1715" s="76" t="s">
        <v>326</v>
      </c>
      <c r="G1715" s="68" t="s">
        <v>328</v>
      </c>
      <c r="H1715" s="69">
        <v>45658.0</v>
      </c>
      <c r="I1715" s="78" t="s">
        <v>337</v>
      </c>
      <c r="J1715" s="78"/>
      <c r="K1715" s="79"/>
      <c r="L1715" s="80"/>
      <c r="M1715" s="81"/>
    </row>
    <row r="1716">
      <c r="A1716" s="75" t="s">
        <v>3874</v>
      </c>
      <c r="B1716" s="75" t="s">
        <v>319</v>
      </c>
      <c r="C1716" s="75" t="s">
        <v>1247</v>
      </c>
      <c r="D1716" s="75">
        <v>2024.0</v>
      </c>
      <c r="E1716" s="75">
        <v>8.60369054168552E14</v>
      </c>
      <c r="F1716" s="76" t="s">
        <v>326</v>
      </c>
      <c r="G1716" s="68" t="s">
        <v>328</v>
      </c>
      <c r="H1716" s="69">
        <v>45658.0</v>
      </c>
      <c r="I1716" s="78" t="s">
        <v>337</v>
      </c>
      <c r="J1716" s="78"/>
      <c r="K1716" s="79"/>
      <c r="L1716" s="80"/>
      <c r="M1716" s="81"/>
    </row>
    <row r="1717">
      <c r="A1717" s="75" t="s">
        <v>3875</v>
      </c>
      <c r="B1717" s="75" t="s">
        <v>319</v>
      </c>
      <c r="C1717" s="75" t="s">
        <v>1247</v>
      </c>
      <c r="D1717" s="75">
        <v>2024.0</v>
      </c>
      <c r="E1717" s="75">
        <v>8.60369052701982E14</v>
      </c>
      <c r="F1717" s="76" t="s">
        <v>326</v>
      </c>
      <c r="G1717" s="68" t="s">
        <v>328</v>
      </c>
      <c r="H1717" s="69">
        <v>45658.0</v>
      </c>
      <c r="I1717" s="78" t="s">
        <v>337</v>
      </c>
      <c r="J1717" s="78"/>
      <c r="K1717" s="79"/>
      <c r="L1717" s="80"/>
      <c r="M1717" s="81"/>
    </row>
    <row r="1718">
      <c r="A1718" s="75" t="s">
        <v>3876</v>
      </c>
      <c r="B1718" s="75" t="s">
        <v>319</v>
      </c>
      <c r="C1718" s="75" t="s">
        <v>1247</v>
      </c>
      <c r="D1718" s="75">
        <v>2024.0</v>
      </c>
      <c r="E1718" s="75">
        <v>8.60369052690441E14</v>
      </c>
      <c r="F1718" s="76" t="s">
        <v>326</v>
      </c>
      <c r="G1718" s="68" t="s">
        <v>328</v>
      </c>
      <c r="H1718" s="69">
        <v>45658.0</v>
      </c>
      <c r="I1718" s="78" t="s">
        <v>337</v>
      </c>
      <c r="J1718" s="78"/>
      <c r="K1718" s="79"/>
      <c r="L1718" s="80"/>
      <c r="M1718" s="81"/>
    </row>
    <row r="1719">
      <c r="A1719" s="75" t="s">
        <v>3877</v>
      </c>
      <c r="B1719" s="75" t="s">
        <v>319</v>
      </c>
      <c r="C1719" s="75" t="s">
        <v>1247</v>
      </c>
      <c r="D1719" s="75">
        <v>2024.0</v>
      </c>
      <c r="E1719" s="75">
        <v>8.60369054167356E14</v>
      </c>
      <c r="F1719" s="76" t="s">
        <v>326</v>
      </c>
      <c r="G1719" s="68" t="s">
        <v>328</v>
      </c>
      <c r="H1719" s="69">
        <v>45658.0</v>
      </c>
      <c r="I1719" s="78" t="s">
        <v>337</v>
      </c>
      <c r="J1719" s="78"/>
      <c r="K1719" s="79"/>
      <c r="L1719" s="80"/>
      <c r="M1719" s="81"/>
    </row>
    <row r="1720">
      <c r="A1720" s="75" t="s">
        <v>3878</v>
      </c>
      <c r="B1720" s="75" t="s">
        <v>319</v>
      </c>
      <c r="C1720" s="75" t="s">
        <v>1247</v>
      </c>
      <c r="D1720" s="75">
        <v>2024.0</v>
      </c>
      <c r="E1720" s="75">
        <v>8.60369054413545E14</v>
      </c>
      <c r="F1720" s="76" t="s">
        <v>326</v>
      </c>
      <c r="G1720" s="68" t="s">
        <v>328</v>
      </c>
      <c r="H1720" s="69">
        <v>45658.0</v>
      </c>
      <c r="I1720" s="78" t="s">
        <v>337</v>
      </c>
      <c r="J1720" s="78"/>
      <c r="K1720" s="79"/>
      <c r="L1720" s="80"/>
      <c r="M1720" s="81"/>
    </row>
    <row r="1721">
      <c r="A1721" s="75" t="s">
        <v>3879</v>
      </c>
      <c r="B1721" s="75" t="s">
        <v>319</v>
      </c>
      <c r="C1721" s="75" t="s">
        <v>1247</v>
      </c>
      <c r="D1721" s="75">
        <v>2024.0</v>
      </c>
      <c r="E1721" s="75">
        <v>8.60369052439633E14</v>
      </c>
      <c r="F1721" s="76" t="s">
        <v>326</v>
      </c>
      <c r="G1721" s="68" t="s">
        <v>328</v>
      </c>
      <c r="H1721" s="69">
        <v>45658.0</v>
      </c>
      <c r="I1721" s="78" t="s">
        <v>337</v>
      </c>
      <c r="J1721" s="78"/>
      <c r="K1721" s="79"/>
      <c r="L1721" s="80"/>
      <c r="M1721" s="81"/>
    </row>
    <row r="1722">
      <c r="A1722" s="75" t="s">
        <v>3880</v>
      </c>
      <c r="B1722" s="75" t="s">
        <v>389</v>
      </c>
      <c r="C1722" s="75" t="s">
        <v>1483</v>
      </c>
      <c r="D1722" s="75">
        <v>2024.0</v>
      </c>
      <c r="E1722" s="75">
        <v>8.60369052176623E14</v>
      </c>
      <c r="F1722" s="76" t="s">
        <v>398</v>
      </c>
      <c r="G1722" s="68" t="s">
        <v>328</v>
      </c>
      <c r="H1722" s="69">
        <v>45658.0</v>
      </c>
      <c r="I1722" s="78" t="s">
        <v>337</v>
      </c>
      <c r="J1722" s="78"/>
      <c r="K1722" s="79"/>
      <c r="L1722" s="80"/>
      <c r="M1722" s="81"/>
      <c r="N1722" s="83" t="s">
        <v>380</v>
      </c>
    </row>
    <row r="1723">
      <c r="A1723" s="75" t="s">
        <v>3881</v>
      </c>
      <c r="B1723" s="75" t="s">
        <v>389</v>
      </c>
      <c r="C1723" s="75" t="s">
        <v>1483</v>
      </c>
      <c r="D1723" s="75">
        <v>2024.0</v>
      </c>
      <c r="E1723" s="75">
        <v>8.60369052124441E14</v>
      </c>
      <c r="F1723" s="76" t="s">
        <v>398</v>
      </c>
      <c r="G1723" s="68" t="s">
        <v>328</v>
      </c>
      <c r="H1723" s="69">
        <v>45658.0</v>
      </c>
      <c r="I1723" s="78" t="s">
        <v>337</v>
      </c>
      <c r="J1723" s="78"/>
      <c r="K1723" s="79"/>
      <c r="L1723" s="80"/>
      <c r="M1723" s="81"/>
      <c r="N1723" s="83" t="s">
        <v>380</v>
      </c>
    </row>
    <row r="1724">
      <c r="A1724" s="75" t="s">
        <v>3882</v>
      </c>
      <c r="B1724" s="75" t="s">
        <v>389</v>
      </c>
      <c r="C1724" s="75" t="s">
        <v>1483</v>
      </c>
      <c r="D1724" s="75">
        <v>2024.0</v>
      </c>
      <c r="E1724" s="75">
        <v>8.60369052177134E14</v>
      </c>
      <c r="F1724" s="76" t="s">
        <v>398</v>
      </c>
      <c r="G1724" s="68" t="s">
        <v>328</v>
      </c>
      <c r="H1724" s="69">
        <v>45658.0</v>
      </c>
      <c r="I1724" s="78" t="s">
        <v>337</v>
      </c>
      <c r="J1724" s="78"/>
      <c r="K1724" s="79"/>
      <c r="L1724" s="80"/>
      <c r="M1724" s="81"/>
      <c r="N1724" s="83" t="s">
        <v>380</v>
      </c>
    </row>
    <row r="1725">
      <c r="A1725" s="75" t="s">
        <v>3883</v>
      </c>
      <c r="B1725" s="75" t="s">
        <v>389</v>
      </c>
      <c r="C1725" s="75" t="s">
        <v>1483</v>
      </c>
      <c r="D1725" s="75">
        <v>2024.0</v>
      </c>
      <c r="E1725" s="75">
        <v>8.60369052117809E14</v>
      </c>
      <c r="F1725" s="76" t="s">
        <v>398</v>
      </c>
      <c r="G1725" s="68" t="s">
        <v>328</v>
      </c>
      <c r="H1725" s="69">
        <v>45658.0</v>
      </c>
      <c r="I1725" s="78" t="s">
        <v>337</v>
      </c>
      <c r="J1725" s="78"/>
      <c r="K1725" s="79"/>
      <c r="L1725" s="80"/>
      <c r="M1725" s="81"/>
      <c r="N1725" s="83" t="s">
        <v>380</v>
      </c>
    </row>
    <row r="1726">
      <c r="A1726" s="75" t="s">
        <v>3884</v>
      </c>
      <c r="B1726" s="75" t="s">
        <v>389</v>
      </c>
      <c r="C1726" s="75" t="s">
        <v>1483</v>
      </c>
      <c r="D1726" s="75">
        <v>2024.0</v>
      </c>
      <c r="E1726" s="75">
        <v>8.60369051056156E14</v>
      </c>
      <c r="F1726" s="76" t="s">
        <v>398</v>
      </c>
      <c r="G1726" s="68" t="s">
        <v>328</v>
      </c>
      <c r="H1726" s="69">
        <v>45658.0</v>
      </c>
      <c r="I1726" s="78" t="s">
        <v>337</v>
      </c>
      <c r="J1726" s="78"/>
      <c r="K1726" s="79"/>
      <c r="L1726" s="80"/>
      <c r="M1726" s="81"/>
      <c r="N1726" s="83" t="s">
        <v>380</v>
      </c>
    </row>
    <row r="1727">
      <c r="A1727" s="75" t="s">
        <v>3885</v>
      </c>
      <c r="B1727" s="75" t="s">
        <v>319</v>
      </c>
      <c r="C1727" s="75" t="s">
        <v>1247</v>
      </c>
      <c r="D1727" s="75">
        <v>2024.0</v>
      </c>
      <c r="E1727" s="75">
        <v>8.60369054187214E14</v>
      </c>
      <c r="F1727" s="76" t="s">
        <v>326</v>
      </c>
      <c r="G1727" s="68" t="s">
        <v>328</v>
      </c>
      <c r="H1727" s="69">
        <v>45658.0</v>
      </c>
      <c r="I1727" s="78" t="s">
        <v>337</v>
      </c>
      <c r="J1727" s="78"/>
      <c r="K1727" s="79"/>
      <c r="L1727" s="80"/>
      <c r="M1727" s="81"/>
    </row>
    <row r="1728">
      <c r="A1728" s="75" t="s">
        <v>3886</v>
      </c>
      <c r="B1728" s="75" t="s">
        <v>319</v>
      </c>
      <c r="C1728" s="75" t="s">
        <v>1247</v>
      </c>
      <c r="D1728" s="75">
        <v>2024.0</v>
      </c>
      <c r="E1728" s="75">
        <v>8.60369052701404E14</v>
      </c>
      <c r="F1728" s="76" t="s">
        <v>326</v>
      </c>
      <c r="G1728" s="68" t="s">
        <v>328</v>
      </c>
      <c r="H1728" s="69">
        <v>45658.0</v>
      </c>
      <c r="I1728" s="78" t="s">
        <v>337</v>
      </c>
      <c r="J1728" s="78"/>
      <c r="K1728" s="79"/>
      <c r="L1728" s="80"/>
      <c r="M1728" s="81"/>
    </row>
    <row r="1729">
      <c r="A1729" s="75" t="s">
        <v>3887</v>
      </c>
      <c r="B1729" s="75" t="s">
        <v>319</v>
      </c>
      <c r="C1729" s="75" t="s">
        <v>1247</v>
      </c>
      <c r="D1729" s="75">
        <v>2024.0</v>
      </c>
      <c r="E1729" s="75">
        <v>8.60369052405659E14</v>
      </c>
      <c r="F1729" s="76" t="s">
        <v>398</v>
      </c>
      <c r="G1729" s="68" t="s">
        <v>328</v>
      </c>
      <c r="H1729" s="69">
        <v>45658.0</v>
      </c>
      <c r="I1729" s="78" t="s">
        <v>337</v>
      </c>
      <c r="J1729" s="78"/>
      <c r="K1729" s="79"/>
      <c r="L1729" s="80"/>
      <c r="M1729" s="81"/>
    </row>
    <row r="1730">
      <c r="A1730" s="75" t="s">
        <v>3888</v>
      </c>
      <c r="B1730" s="75" t="s">
        <v>319</v>
      </c>
      <c r="C1730" s="75" t="s">
        <v>1247</v>
      </c>
      <c r="D1730" s="75">
        <v>2024.0</v>
      </c>
      <c r="E1730" s="75">
        <v>8.60369054412794E14</v>
      </c>
      <c r="F1730" s="76" t="s">
        <v>326</v>
      </c>
      <c r="G1730" s="68" t="s">
        <v>328</v>
      </c>
      <c r="H1730" s="69">
        <v>45658.0</v>
      </c>
      <c r="I1730" s="78" t="s">
        <v>337</v>
      </c>
      <c r="J1730" s="78"/>
      <c r="K1730" s="79"/>
      <c r="L1730" s="80"/>
      <c r="M1730" s="81"/>
    </row>
    <row r="1731">
      <c r="A1731" s="75" t="s">
        <v>3889</v>
      </c>
      <c r="B1731" s="75" t="s">
        <v>389</v>
      </c>
      <c r="C1731" s="75" t="s">
        <v>1483</v>
      </c>
      <c r="D1731" s="75">
        <v>2024.0</v>
      </c>
      <c r="E1731" s="75">
        <v>8.60369052117825E14</v>
      </c>
      <c r="F1731" s="76" t="s">
        <v>398</v>
      </c>
      <c r="G1731" s="68" t="s">
        <v>328</v>
      </c>
      <c r="H1731" s="69">
        <v>45658.0</v>
      </c>
      <c r="I1731" s="78" t="s">
        <v>337</v>
      </c>
      <c r="J1731" s="78"/>
      <c r="K1731" s="79"/>
      <c r="L1731" s="80"/>
      <c r="M1731" s="81"/>
      <c r="N1731" s="83" t="s">
        <v>380</v>
      </c>
    </row>
    <row r="1732">
      <c r="A1732" s="75" t="s">
        <v>3890</v>
      </c>
      <c r="B1732" s="75" t="s">
        <v>389</v>
      </c>
      <c r="C1732" s="75" t="s">
        <v>1483</v>
      </c>
      <c r="D1732" s="75">
        <v>2024.0</v>
      </c>
      <c r="E1732" s="75">
        <v>8.60369052158829E14</v>
      </c>
      <c r="F1732" s="76" t="s">
        <v>398</v>
      </c>
      <c r="G1732" s="68" t="s">
        <v>328</v>
      </c>
      <c r="H1732" s="69">
        <v>45658.0</v>
      </c>
      <c r="I1732" s="78" t="s">
        <v>337</v>
      </c>
      <c r="J1732" s="78"/>
      <c r="K1732" s="79"/>
      <c r="L1732" s="80"/>
      <c r="M1732" s="81"/>
      <c r="N1732" s="83" t="s">
        <v>380</v>
      </c>
    </row>
    <row r="1733">
      <c r="A1733" s="75" t="s">
        <v>3891</v>
      </c>
      <c r="B1733" s="75" t="s">
        <v>389</v>
      </c>
      <c r="C1733" s="75" t="s">
        <v>1483</v>
      </c>
      <c r="D1733" s="75">
        <v>2024.0</v>
      </c>
      <c r="E1733" s="75">
        <v>8.60369052140231E14</v>
      </c>
      <c r="F1733" s="76" t="s">
        <v>398</v>
      </c>
      <c r="G1733" s="68" t="s">
        <v>328</v>
      </c>
      <c r="H1733" s="69">
        <v>45658.0</v>
      </c>
      <c r="I1733" s="78" t="s">
        <v>337</v>
      </c>
      <c r="J1733" s="78"/>
      <c r="K1733" s="79"/>
      <c r="L1733" s="80"/>
      <c r="M1733" s="81"/>
      <c r="N1733" s="83" t="s">
        <v>380</v>
      </c>
    </row>
    <row r="1734">
      <c r="A1734" s="75" t="s">
        <v>3892</v>
      </c>
      <c r="B1734" s="75" t="s">
        <v>389</v>
      </c>
      <c r="C1734" s="75" t="s">
        <v>1483</v>
      </c>
      <c r="D1734" s="75">
        <v>2024.0</v>
      </c>
      <c r="E1734" s="75">
        <v>8.60369052150388E14</v>
      </c>
      <c r="F1734" s="76" t="s">
        <v>398</v>
      </c>
      <c r="G1734" s="68" t="s">
        <v>328</v>
      </c>
      <c r="H1734" s="69">
        <v>45658.0</v>
      </c>
      <c r="I1734" s="78" t="s">
        <v>337</v>
      </c>
      <c r="J1734" s="78"/>
      <c r="K1734" s="79"/>
      <c r="L1734" s="80"/>
      <c r="M1734" s="81"/>
      <c r="N1734" s="83" t="s">
        <v>380</v>
      </c>
    </row>
    <row r="1735">
      <c r="A1735" s="75" t="s">
        <v>3893</v>
      </c>
      <c r="B1735" s="75" t="s">
        <v>389</v>
      </c>
      <c r="C1735" s="75" t="s">
        <v>1483</v>
      </c>
      <c r="D1735" s="75">
        <v>2024.0</v>
      </c>
      <c r="E1735" s="75">
        <v>8.60369052157482E14</v>
      </c>
      <c r="F1735" s="76" t="s">
        <v>398</v>
      </c>
      <c r="G1735" s="68" t="s">
        <v>328</v>
      </c>
      <c r="H1735" s="69">
        <v>45658.0</v>
      </c>
      <c r="I1735" s="78" t="s">
        <v>337</v>
      </c>
      <c r="J1735" s="78"/>
      <c r="K1735" s="79"/>
      <c r="L1735" s="80"/>
      <c r="M1735" s="81"/>
      <c r="N1735" s="83" t="s">
        <v>380</v>
      </c>
    </row>
    <row r="1736">
      <c r="A1736" s="75" t="s">
        <v>3894</v>
      </c>
      <c r="B1736" s="75" t="s">
        <v>319</v>
      </c>
      <c r="C1736" s="75" t="s">
        <v>1247</v>
      </c>
      <c r="D1736" s="75">
        <v>2024.0</v>
      </c>
      <c r="E1736" s="75">
        <v>8.6036905419906E14</v>
      </c>
      <c r="F1736" s="76" t="s">
        <v>326</v>
      </c>
      <c r="G1736" s="68" t="s">
        <v>328</v>
      </c>
      <c r="H1736" s="69">
        <v>45658.0</v>
      </c>
      <c r="I1736" s="78" t="s">
        <v>337</v>
      </c>
      <c r="J1736" s="78"/>
      <c r="K1736" s="79"/>
      <c r="L1736" s="80"/>
      <c r="M1736" s="81"/>
    </row>
    <row r="1737">
      <c r="A1737" s="75" t="s">
        <v>3895</v>
      </c>
      <c r="B1737" s="75" t="s">
        <v>319</v>
      </c>
      <c r="C1737" s="75" t="s">
        <v>1247</v>
      </c>
      <c r="D1737" s="75">
        <v>2024.0</v>
      </c>
      <c r="E1737" s="75">
        <v>8.60369052446091E14</v>
      </c>
      <c r="F1737" s="76" t="s">
        <v>326</v>
      </c>
      <c r="G1737" s="68" t="s">
        <v>328</v>
      </c>
      <c r="H1737" s="69">
        <v>45658.0</v>
      </c>
      <c r="I1737" s="78" t="s">
        <v>337</v>
      </c>
      <c r="J1737" s="78"/>
      <c r="K1737" s="79"/>
      <c r="L1737" s="80"/>
      <c r="M1737" s="81"/>
    </row>
    <row r="1738">
      <c r="A1738" s="75" t="s">
        <v>3896</v>
      </c>
      <c r="B1738" s="75" t="s">
        <v>319</v>
      </c>
      <c r="C1738" s="75" t="s">
        <v>1247</v>
      </c>
      <c r="D1738" s="75">
        <v>2024.0</v>
      </c>
      <c r="E1738" s="75">
        <v>8.60369054187172E14</v>
      </c>
      <c r="F1738" s="76" t="s">
        <v>326</v>
      </c>
      <c r="G1738" s="68" t="s">
        <v>328</v>
      </c>
      <c r="H1738" s="69">
        <v>45658.0</v>
      </c>
      <c r="I1738" s="78" t="s">
        <v>337</v>
      </c>
      <c r="J1738" s="78"/>
      <c r="K1738" s="79"/>
      <c r="L1738" s="80"/>
      <c r="M1738" s="81"/>
    </row>
    <row r="1739">
      <c r="A1739" s="75" t="s">
        <v>3897</v>
      </c>
      <c r="B1739" s="75" t="s">
        <v>319</v>
      </c>
      <c r="C1739" s="75" t="s">
        <v>1247</v>
      </c>
      <c r="D1739" s="75">
        <v>2024.0</v>
      </c>
      <c r="E1739" s="75">
        <v>8.6036905441342E14</v>
      </c>
      <c r="F1739" s="76" t="s">
        <v>326</v>
      </c>
      <c r="G1739" s="68" t="s">
        <v>328</v>
      </c>
      <c r="H1739" s="69">
        <v>45658.0</v>
      </c>
      <c r="I1739" s="78" t="s">
        <v>337</v>
      </c>
      <c r="J1739" s="78"/>
      <c r="K1739" s="79"/>
      <c r="L1739" s="80"/>
      <c r="M1739" s="81"/>
    </row>
    <row r="1740">
      <c r="A1740" s="75" t="s">
        <v>3898</v>
      </c>
      <c r="B1740" s="75" t="s">
        <v>319</v>
      </c>
      <c r="C1740" s="75" t="s">
        <v>1247</v>
      </c>
      <c r="D1740" s="75">
        <v>2024.0</v>
      </c>
      <c r="E1740" s="75">
        <v>8.60369052696562E14</v>
      </c>
      <c r="F1740" s="76" t="s">
        <v>326</v>
      </c>
      <c r="G1740" s="68" t="s">
        <v>328</v>
      </c>
      <c r="H1740" s="69">
        <v>45658.0</v>
      </c>
      <c r="I1740" s="78" t="s">
        <v>337</v>
      </c>
      <c r="J1740" s="78"/>
      <c r="K1740" s="79"/>
      <c r="L1740" s="80"/>
      <c r="M1740" s="81"/>
    </row>
    <row r="1741">
      <c r="A1741" s="75" t="s">
        <v>3899</v>
      </c>
      <c r="B1741" s="75" t="s">
        <v>319</v>
      </c>
      <c r="C1741" s="75" t="s">
        <v>1247</v>
      </c>
      <c r="D1741" s="75">
        <v>2024.0</v>
      </c>
      <c r="E1741" s="75">
        <v>8.60369054183932E14</v>
      </c>
      <c r="F1741" s="76" t="s">
        <v>326</v>
      </c>
      <c r="G1741" s="68" t="s">
        <v>328</v>
      </c>
      <c r="H1741" s="69">
        <v>45658.0</v>
      </c>
      <c r="I1741" s="78" t="s">
        <v>337</v>
      </c>
      <c r="J1741" s="78"/>
      <c r="K1741" s="79"/>
      <c r="L1741" s="80"/>
      <c r="M1741" s="81"/>
    </row>
    <row r="1742">
      <c r="A1742" s="75" t="s">
        <v>3900</v>
      </c>
      <c r="B1742" s="75" t="s">
        <v>319</v>
      </c>
      <c r="C1742" s="75" t="s">
        <v>1247</v>
      </c>
      <c r="D1742" s="75">
        <v>2024.0</v>
      </c>
      <c r="E1742" s="75">
        <v>8.60369052142922E14</v>
      </c>
      <c r="F1742" s="76" t="s">
        <v>398</v>
      </c>
      <c r="G1742" s="68" t="s">
        <v>328</v>
      </c>
      <c r="H1742" s="69">
        <v>45658.0</v>
      </c>
      <c r="I1742" s="78" t="s">
        <v>337</v>
      </c>
      <c r="J1742" s="78"/>
      <c r="K1742" s="79"/>
      <c r="L1742" s="80"/>
      <c r="M1742" s="81"/>
    </row>
    <row r="1743">
      <c r="A1743" s="75" t="s">
        <v>3901</v>
      </c>
      <c r="B1743" s="75" t="s">
        <v>319</v>
      </c>
      <c r="C1743" s="75" t="s">
        <v>1247</v>
      </c>
      <c r="D1743" s="75">
        <v>2024.0</v>
      </c>
      <c r="E1743" s="75">
        <v>8.60369054162928E14</v>
      </c>
      <c r="F1743" s="76" t="s">
        <v>326</v>
      </c>
      <c r="G1743" s="68" t="s">
        <v>328</v>
      </c>
      <c r="H1743" s="69">
        <v>45658.0</v>
      </c>
      <c r="I1743" s="78" t="s">
        <v>337</v>
      </c>
      <c r="J1743" s="78"/>
      <c r="K1743" s="79"/>
      <c r="L1743" s="80"/>
      <c r="M1743" s="81"/>
    </row>
    <row r="1744">
      <c r="A1744" s="75" t="s">
        <v>3902</v>
      </c>
      <c r="B1744" s="75" t="s">
        <v>319</v>
      </c>
      <c r="C1744" s="75" t="s">
        <v>1247</v>
      </c>
      <c r="D1744" s="75">
        <v>2024.0</v>
      </c>
      <c r="E1744" s="75">
        <v>8.60369052702782E14</v>
      </c>
      <c r="F1744" s="76" t="s">
        <v>326</v>
      </c>
      <c r="G1744" s="68" t="s">
        <v>328</v>
      </c>
      <c r="H1744" s="69">
        <v>45658.0</v>
      </c>
      <c r="I1744" s="78" t="s">
        <v>337</v>
      </c>
      <c r="J1744" s="78"/>
      <c r="K1744" s="79"/>
      <c r="L1744" s="80"/>
      <c r="M1744" s="81"/>
    </row>
    <row r="1745">
      <c r="A1745" s="75" t="s">
        <v>3903</v>
      </c>
      <c r="B1745" s="75" t="s">
        <v>319</v>
      </c>
      <c r="C1745" s="75" t="s">
        <v>1247</v>
      </c>
      <c r="D1745" s="75">
        <v>2024.0</v>
      </c>
      <c r="E1745" s="75">
        <v>8.60369054165475E14</v>
      </c>
      <c r="F1745" s="76" t="s">
        <v>326</v>
      </c>
      <c r="G1745" s="68" t="s">
        <v>328</v>
      </c>
      <c r="H1745" s="69">
        <v>45658.0</v>
      </c>
      <c r="I1745" s="78" t="s">
        <v>337</v>
      </c>
      <c r="J1745" s="78"/>
      <c r="K1745" s="79"/>
      <c r="L1745" s="80"/>
      <c r="M1745" s="81"/>
    </row>
    <row r="1746">
      <c r="A1746" s="75" t="s">
        <v>3904</v>
      </c>
      <c r="B1746" s="75" t="s">
        <v>319</v>
      </c>
      <c r="C1746" s="75" t="s">
        <v>1247</v>
      </c>
      <c r="D1746" s="75">
        <v>2024.0</v>
      </c>
      <c r="E1746" s="75">
        <v>8.60369053334247E14</v>
      </c>
      <c r="F1746" s="76" t="s">
        <v>326</v>
      </c>
      <c r="G1746" s="68" t="s">
        <v>328</v>
      </c>
      <c r="H1746" s="69">
        <v>45658.0</v>
      </c>
      <c r="I1746" s="78" t="s">
        <v>337</v>
      </c>
      <c r="J1746" s="78"/>
      <c r="K1746" s="79"/>
      <c r="L1746" s="80"/>
      <c r="M1746" s="81"/>
    </row>
    <row r="1747">
      <c r="A1747" s="75" t="s">
        <v>3905</v>
      </c>
      <c r="B1747" s="75" t="s">
        <v>319</v>
      </c>
      <c r="C1747" s="75" t="s">
        <v>1247</v>
      </c>
      <c r="D1747" s="75">
        <v>2024.0</v>
      </c>
      <c r="E1747" s="75">
        <v>8.60369054188816E14</v>
      </c>
      <c r="F1747" s="76" t="s">
        <v>326</v>
      </c>
      <c r="G1747" s="68" t="s">
        <v>328</v>
      </c>
      <c r="H1747" s="69">
        <v>45658.0</v>
      </c>
      <c r="I1747" s="78" t="s">
        <v>337</v>
      </c>
      <c r="J1747" s="78"/>
      <c r="K1747" s="79"/>
      <c r="L1747" s="80"/>
      <c r="M1747" s="81"/>
    </row>
    <row r="1748">
      <c r="A1748" s="75" t="s">
        <v>3906</v>
      </c>
      <c r="B1748" s="75" t="s">
        <v>319</v>
      </c>
      <c r="C1748" s="75" t="s">
        <v>1247</v>
      </c>
      <c r="D1748" s="75">
        <v>2024.0</v>
      </c>
      <c r="E1748" s="75">
        <v>8.60369054404684E14</v>
      </c>
      <c r="F1748" s="76" t="s">
        <v>326</v>
      </c>
      <c r="G1748" s="68" t="s">
        <v>328</v>
      </c>
      <c r="H1748" s="69">
        <v>45658.0</v>
      </c>
      <c r="I1748" s="78" t="s">
        <v>337</v>
      </c>
      <c r="J1748" s="78"/>
      <c r="K1748" s="79"/>
      <c r="L1748" s="80"/>
      <c r="M1748" s="81"/>
    </row>
    <row r="1749">
      <c r="A1749" s="75" t="s">
        <v>3907</v>
      </c>
      <c r="B1749" s="75" t="s">
        <v>319</v>
      </c>
      <c r="C1749" s="75" t="s">
        <v>1247</v>
      </c>
      <c r="D1749" s="75">
        <v>2024.0</v>
      </c>
      <c r="E1749" s="75">
        <v>8.60369052696778E14</v>
      </c>
      <c r="F1749" s="76" t="s">
        <v>326</v>
      </c>
      <c r="G1749" s="68" t="s">
        <v>328</v>
      </c>
      <c r="H1749" s="69">
        <v>45658.0</v>
      </c>
      <c r="I1749" s="78" t="s">
        <v>337</v>
      </c>
      <c r="J1749" s="78"/>
      <c r="K1749" s="79"/>
      <c r="L1749" s="80"/>
      <c r="M1749" s="81"/>
    </row>
    <row r="1750">
      <c r="A1750" s="75" t="s">
        <v>3908</v>
      </c>
      <c r="B1750" s="75" t="s">
        <v>319</v>
      </c>
      <c r="C1750" s="75" t="s">
        <v>1247</v>
      </c>
      <c r="D1750" s="75">
        <v>2024.0</v>
      </c>
      <c r="E1750" s="75">
        <v>8.603690541845E14</v>
      </c>
      <c r="F1750" s="76" t="s">
        <v>326</v>
      </c>
      <c r="G1750" s="68" t="s">
        <v>328</v>
      </c>
      <c r="H1750" s="69">
        <v>45658.0</v>
      </c>
      <c r="I1750" s="78" t="s">
        <v>337</v>
      </c>
      <c r="J1750" s="78"/>
      <c r="K1750" s="79"/>
      <c r="L1750" s="80"/>
      <c r="M1750" s="81"/>
    </row>
    <row r="1751">
      <c r="A1751" s="75" t="s">
        <v>3909</v>
      </c>
      <c r="B1751" s="75" t="s">
        <v>319</v>
      </c>
      <c r="C1751" s="75" t="s">
        <v>1247</v>
      </c>
      <c r="D1751" s="75">
        <v>2024.0</v>
      </c>
      <c r="E1751" s="75">
        <v>8.60369054189251E14</v>
      </c>
      <c r="F1751" s="76" t="s">
        <v>326</v>
      </c>
      <c r="G1751" s="68" t="s">
        <v>328</v>
      </c>
      <c r="H1751" s="69">
        <v>45658.0</v>
      </c>
      <c r="I1751" s="78" t="s">
        <v>337</v>
      </c>
      <c r="J1751" s="78"/>
      <c r="K1751" s="79"/>
      <c r="L1751" s="80"/>
      <c r="M1751" s="81"/>
    </row>
    <row r="1752">
      <c r="A1752" s="75" t="s">
        <v>3910</v>
      </c>
      <c r="B1752" s="75" t="s">
        <v>319</v>
      </c>
      <c r="C1752" s="75" t="s">
        <v>1247</v>
      </c>
      <c r="D1752" s="75">
        <v>2024.0</v>
      </c>
      <c r="E1752" s="75">
        <v>8.60369054198021E14</v>
      </c>
      <c r="F1752" s="76" t="s">
        <v>326</v>
      </c>
      <c r="G1752" s="68" t="s">
        <v>328</v>
      </c>
      <c r="H1752" s="69">
        <v>45658.0</v>
      </c>
      <c r="I1752" s="78" t="s">
        <v>337</v>
      </c>
      <c r="J1752" s="78"/>
      <c r="K1752" s="79"/>
      <c r="L1752" s="80"/>
      <c r="M1752" s="81"/>
    </row>
    <row r="1753">
      <c r="A1753" s="75" t="s">
        <v>3911</v>
      </c>
      <c r="B1753" s="75" t="s">
        <v>319</v>
      </c>
      <c r="C1753" s="75" t="s">
        <v>1247</v>
      </c>
      <c r="D1753" s="75">
        <v>2024.0</v>
      </c>
      <c r="E1753" s="75">
        <v>8.60369054157001E14</v>
      </c>
      <c r="F1753" s="76" t="s">
        <v>326</v>
      </c>
      <c r="G1753" s="68" t="s">
        <v>328</v>
      </c>
      <c r="H1753" s="69">
        <v>45658.0</v>
      </c>
      <c r="I1753" s="78" t="s">
        <v>337</v>
      </c>
      <c r="J1753" s="78"/>
      <c r="K1753" s="79"/>
      <c r="L1753" s="80"/>
      <c r="M1753" s="81"/>
    </row>
    <row r="1754">
      <c r="A1754" s="75" t="s">
        <v>3912</v>
      </c>
      <c r="B1754" s="75" t="s">
        <v>602</v>
      </c>
      <c r="C1754" s="241" t="s">
        <v>607</v>
      </c>
      <c r="D1754" s="75">
        <v>2024.0</v>
      </c>
      <c r="E1754" s="75">
        <v>8.60369052471867E14</v>
      </c>
      <c r="F1754" s="76" t="s">
        <v>398</v>
      </c>
      <c r="G1754" s="68" t="s">
        <v>328</v>
      </c>
      <c r="H1754" s="69">
        <v>45658.0</v>
      </c>
      <c r="I1754" s="78" t="s">
        <v>337</v>
      </c>
      <c r="J1754" s="78"/>
      <c r="K1754" s="79"/>
      <c r="L1754" s="80"/>
      <c r="M1754" s="81"/>
      <c r="N1754" s="83" t="s">
        <v>380</v>
      </c>
    </row>
    <row r="1755">
      <c r="A1755" s="75" t="s">
        <v>3913</v>
      </c>
      <c r="B1755" s="75" t="s">
        <v>319</v>
      </c>
      <c r="C1755" s="75" t="s">
        <v>1247</v>
      </c>
      <c r="D1755" s="75">
        <v>2024.0</v>
      </c>
      <c r="E1755" s="75">
        <v>8.60369054151582E14</v>
      </c>
      <c r="F1755" s="76" t="s">
        <v>326</v>
      </c>
      <c r="G1755" s="68" t="s">
        <v>328</v>
      </c>
      <c r="H1755" s="69">
        <v>45658.0</v>
      </c>
      <c r="I1755" s="78" t="s">
        <v>337</v>
      </c>
      <c r="J1755" s="78"/>
      <c r="K1755" s="79"/>
      <c r="L1755" s="80"/>
      <c r="M1755" s="81"/>
    </row>
    <row r="1756">
      <c r="A1756" s="75" t="s">
        <v>3914</v>
      </c>
      <c r="B1756" s="75" t="s">
        <v>319</v>
      </c>
      <c r="C1756" s="75" t="s">
        <v>1247</v>
      </c>
      <c r="D1756" s="75">
        <v>2024.0</v>
      </c>
      <c r="E1756" s="75">
        <v>8.60369052707112E14</v>
      </c>
      <c r="F1756" s="76" t="s">
        <v>326</v>
      </c>
      <c r="G1756" s="68" t="s">
        <v>328</v>
      </c>
      <c r="H1756" s="69">
        <v>45658.0</v>
      </c>
      <c r="I1756" s="78" t="s">
        <v>337</v>
      </c>
      <c r="J1756" s="78"/>
      <c r="K1756" s="79"/>
      <c r="L1756" s="80"/>
      <c r="M1756" s="81"/>
    </row>
    <row r="1757">
      <c r="A1757" s="75" t="s">
        <v>3915</v>
      </c>
      <c r="B1757" s="75" t="s">
        <v>319</v>
      </c>
      <c r="C1757" s="75" t="s">
        <v>1247</v>
      </c>
      <c r="D1757" s="75">
        <v>2024.0</v>
      </c>
      <c r="E1757" s="75">
        <v>8.60369054740665E14</v>
      </c>
      <c r="F1757" s="76" t="s">
        <v>326</v>
      </c>
      <c r="G1757" s="68" t="s">
        <v>328</v>
      </c>
      <c r="H1757" s="69">
        <v>45658.0</v>
      </c>
      <c r="I1757" s="78" t="s">
        <v>337</v>
      </c>
      <c r="J1757" s="78"/>
      <c r="K1757" s="79"/>
      <c r="L1757" s="80"/>
      <c r="M1757" s="81"/>
    </row>
    <row r="1758">
      <c r="A1758" s="75" t="s">
        <v>3916</v>
      </c>
      <c r="B1758" s="75" t="s">
        <v>319</v>
      </c>
      <c r="C1758" s="75" t="s">
        <v>1247</v>
      </c>
      <c r="D1758" s="75">
        <v>2024.0</v>
      </c>
      <c r="E1758" s="75">
        <v>8.60369053334882E14</v>
      </c>
      <c r="F1758" s="76" t="s">
        <v>326</v>
      </c>
      <c r="G1758" s="68" t="s">
        <v>328</v>
      </c>
      <c r="H1758" s="69">
        <v>45658.0</v>
      </c>
      <c r="I1758" s="78" t="s">
        <v>337</v>
      </c>
      <c r="J1758" s="78"/>
      <c r="K1758" s="79"/>
      <c r="L1758" s="80"/>
      <c r="M1758" s="81"/>
    </row>
    <row r="1759">
      <c r="A1759" s="75" t="s">
        <v>3917</v>
      </c>
      <c r="B1759" s="75" t="s">
        <v>319</v>
      </c>
      <c r="C1759" s="75" t="s">
        <v>1247</v>
      </c>
      <c r="D1759" s="75">
        <v>2024.0</v>
      </c>
      <c r="E1759" s="75">
        <v>8.60369054184385E14</v>
      </c>
      <c r="F1759" s="76" t="s">
        <v>326</v>
      </c>
      <c r="G1759" s="68" t="s">
        <v>328</v>
      </c>
      <c r="H1759" s="69">
        <v>45658.0</v>
      </c>
      <c r="I1759" s="78" t="s">
        <v>337</v>
      </c>
      <c r="J1759" s="78"/>
      <c r="K1759" s="79"/>
      <c r="L1759" s="80"/>
      <c r="M1759" s="81"/>
    </row>
    <row r="1760">
      <c r="A1760" s="75" t="s">
        <v>3918</v>
      </c>
      <c r="B1760" s="75" t="s">
        <v>319</v>
      </c>
      <c r="C1760" s="75" t="s">
        <v>1247</v>
      </c>
      <c r="D1760" s="75">
        <v>2024.0</v>
      </c>
      <c r="E1760" s="75">
        <v>8.60369054197627E14</v>
      </c>
      <c r="F1760" s="76" t="s">
        <v>326</v>
      </c>
      <c r="G1760" s="68" t="s">
        <v>328</v>
      </c>
      <c r="H1760" s="69">
        <v>45658.0</v>
      </c>
      <c r="I1760" s="78" t="s">
        <v>337</v>
      </c>
      <c r="J1760" s="78"/>
      <c r="K1760" s="79"/>
      <c r="L1760" s="110" t="s">
        <v>3919</v>
      </c>
      <c r="M1760" s="81"/>
    </row>
    <row r="1761">
      <c r="A1761" s="75" t="s">
        <v>3920</v>
      </c>
      <c r="B1761" s="75" t="s">
        <v>319</v>
      </c>
      <c r="C1761" s="75" t="s">
        <v>1247</v>
      </c>
      <c r="D1761" s="75">
        <v>2024.0</v>
      </c>
      <c r="E1761" s="75">
        <v>8.60369052192968E14</v>
      </c>
      <c r="F1761" s="76" t="s">
        <v>326</v>
      </c>
      <c r="G1761" s="68" t="s">
        <v>328</v>
      </c>
      <c r="H1761" s="69">
        <v>45658.0</v>
      </c>
      <c r="I1761" s="78" t="s">
        <v>337</v>
      </c>
      <c r="J1761" s="78"/>
      <c r="K1761" s="79"/>
      <c r="L1761" s="80"/>
      <c r="M1761" s="81"/>
    </row>
    <row r="1762">
      <c r="A1762" s="75" t="s">
        <v>3921</v>
      </c>
      <c r="B1762" s="75" t="s">
        <v>319</v>
      </c>
      <c r="C1762" s="75" t="s">
        <v>1247</v>
      </c>
      <c r="D1762" s="75">
        <v>2024.0</v>
      </c>
      <c r="E1762" s="75">
        <v>8.6036905334549E14</v>
      </c>
      <c r="F1762" s="76" t="s">
        <v>326</v>
      </c>
      <c r="G1762" s="68" t="s">
        <v>328</v>
      </c>
      <c r="H1762" s="69">
        <v>45658.0</v>
      </c>
      <c r="I1762" s="78" t="s">
        <v>337</v>
      </c>
      <c r="J1762" s="78"/>
      <c r="K1762" s="79"/>
      <c r="L1762" s="80"/>
      <c r="M1762" s="81"/>
    </row>
    <row r="1763">
      <c r="A1763" s="75" t="s">
        <v>3922</v>
      </c>
      <c r="B1763" s="75" t="s">
        <v>319</v>
      </c>
      <c r="C1763" s="75" t="s">
        <v>1247</v>
      </c>
      <c r="D1763" s="75">
        <v>2024.0</v>
      </c>
      <c r="E1763" s="75">
        <v>8.60369052434998E14</v>
      </c>
      <c r="F1763" s="76" t="s">
        <v>326</v>
      </c>
      <c r="G1763" s="68" t="s">
        <v>328</v>
      </c>
      <c r="H1763" s="69">
        <v>45658.0</v>
      </c>
      <c r="I1763" s="78" t="s">
        <v>337</v>
      </c>
      <c r="J1763" s="78"/>
      <c r="K1763" s="79"/>
      <c r="L1763" s="80"/>
      <c r="M1763" s="81"/>
    </row>
    <row r="1764">
      <c r="A1764" s="75" t="s">
        <v>3923</v>
      </c>
      <c r="B1764" s="75" t="s">
        <v>319</v>
      </c>
      <c r="C1764" s="75" t="s">
        <v>1247</v>
      </c>
      <c r="D1764" s="75">
        <v>2024.0</v>
      </c>
      <c r="E1764" s="75">
        <v>8.60369054153216E14</v>
      </c>
      <c r="F1764" s="76" t="s">
        <v>326</v>
      </c>
      <c r="G1764" s="68" t="s">
        <v>328</v>
      </c>
      <c r="H1764" s="69">
        <v>45658.0</v>
      </c>
      <c r="I1764" s="78" t="s">
        <v>337</v>
      </c>
      <c r="J1764" s="78"/>
      <c r="K1764" s="79"/>
      <c r="L1764" s="80"/>
      <c r="M1764" s="81"/>
    </row>
    <row r="1765">
      <c r="A1765" s="75" t="s">
        <v>3924</v>
      </c>
      <c r="B1765" s="75" t="s">
        <v>319</v>
      </c>
      <c r="C1765" s="75" t="s">
        <v>1247</v>
      </c>
      <c r="D1765" s="75">
        <v>2024.0</v>
      </c>
      <c r="E1765" s="75">
        <v>8.60369053340301E14</v>
      </c>
      <c r="F1765" s="76" t="s">
        <v>326</v>
      </c>
      <c r="G1765" s="68" t="s">
        <v>328</v>
      </c>
      <c r="H1765" s="69">
        <v>45658.0</v>
      </c>
      <c r="I1765" s="78" t="s">
        <v>337</v>
      </c>
      <c r="J1765" s="78"/>
      <c r="K1765" s="79"/>
      <c r="L1765" s="80"/>
      <c r="M1765" s="81"/>
    </row>
    <row r="1766">
      <c r="A1766" s="75" t="s">
        <v>3925</v>
      </c>
      <c r="B1766" s="75" t="s">
        <v>319</v>
      </c>
      <c r="C1766" s="75" t="s">
        <v>1247</v>
      </c>
      <c r="D1766" s="75">
        <v>2024.0</v>
      </c>
      <c r="E1766" s="75">
        <v>8.60369054185887E14</v>
      </c>
      <c r="F1766" s="76" t="s">
        <v>326</v>
      </c>
      <c r="G1766" s="68" t="s">
        <v>328</v>
      </c>
      <c r="H1766" s="69">
        <v>45658.0</v>
      </c>
      <c r="I1766" s="78" t="s">
        <v>337</v>
      </c>
      <c r="J1766" s="78"/>
      <c r="K1766" s="79"/>
      <c r="L1766" s="80"/>
      <c r="M1766" s="81"/>
    </row>
    <row r="1767">
      <c r="A1767" s="75" t="s">
        <v>3926</v>
      </c>
      <c r="B1767" s="75" t="s">
        <v>319</v>
      </c>
      <c r="C1767" s="75" t="s">
        <v>1247</v>
      </c>
      <c r="D1767" s="75">
        <v>2024.0</v>
      </c>
      <c r="E1767" s="75">
        <v>8.60369052439849E14</v>
      </c>
      <c r="F1767" s="76" t="s">
        <v>326</v>
      </c>
      <c r="G1767" s="68" t="s">
        <v>328</v>
      </c>
      <c r="H1767" s="69">
        <v>45658.0</v>
      </c>
      <c r="I1767" s="78" t="s">
        <v>337</v>
      </c>
      <c r="J1767" s="78"/>
      <c r="K1767" s="79"/>
      <c r="L1767" s="80"/>
      <c r="M1767" s="81"/>
    </row>
    <row r="1768">
      <c r="A1768" s="75" t="s">
        <v>3927</v>
      </c>
      <c r="B1768" s="75" t="s">
        <v>319</v>
      </c>
      <c r="C1768" s="75" t="s">
        <v>1247</v>
      </c>
      <c r="D1768" s="75">
        <v>2024.0</v>
      </c>
      <c r="E1768" s="75">
        <v>8.60369054416159E14</v>
      </c>
      <c r="F1768" s="76" t="s">
        <v>326</v>
      </c>
      <c r="G1768" s="68" t="s">
        <v>328</v>
      </c>
      <c r="H1768" s="69">
        <v>45658.0</v>
      </c>
      <c r="I1768" s="78" t="s">
        <v>337</v>
      </c>
      <c r="J1768" s="78"/>
      <c r="K1768" s="79"/>
      <c r="L1768" s="80"/>
      <c r="M1768" s="81"/>
    </row>
    <row r="1769">
      <c r="A1769" s="75" t="s">
        <v>3928</v>
      </c>
      <c r="B1769" s="75" t="s">
        <v>319</v>
      </c>
      <c r="C1769" s="75" t="s">
        <v>1247</v>
      </c>
      <c r="D1769" s="75">
        <v>2024.0</v>
      </c>
      <c r="E1769" s="75">
        <v>8.60369052695523E14</v>
      </c>
      <c r="F1769" s="76" t="s">
        <v>326</v>
      </c>
      <c r="G1769" s="68" t="s">
        <v>328</v>
      </c>
      <c r="H1769" s="69">
        <v>45658.0</v>
      </c>
      <c r="I1769" s="78" t="s">
        <v>337</v>
      </c>
      <c r="J1769" s="78"/>
      <c r="K1769" s="79"/>
      <c r="L1769" s="80"/>
      <c r="M1769" s="81"/>
    </row>
    <row r="1770">
      <c r="A1770" s="75" t="s">
        <v>3929</v>
      </c>
      <c r="B1770" s="75" t="s">
        <v>319</v>
      </c>
      <c r="C1770" s="75" t="s">
        <v>1247</v>
      </c>
      <c r="D1770" s="75">
        <v>2024.0</v>
      </c>
      <c r="E1770" s="75">
        <v>8.60369052705389E14</v>
      </c>
      <c r="F1770" s="76" t="s">
        <v>326</v>
      </c>
      <c r="G1770" s="68" t="s">
        <v>328</v>
      </c>
      <c r="H1770" s="69">
        <v>45658.0</v>
      </c>
      <c r="I1770" s="78" t="s">
        <v>337</v>
      </c>
      <c r="J1770" s="78"/>
      <c r="K1770" s="79"/>
      <c r="L1770" s="80"/>
      <c r="M1770" s="81"/>
    </row>
    <row r="1771">
      <c r="A1771" s="75" t="s">
        <v>3930</v>
      </c>
      <c r="B1771" s="75" t="s">
        <v>319</v>
      </c>
      <c r="C1771" s="75" t="s">
        <v>1247</v>
      </c>
      <c r="D1771" s="75">
        <v>2024.0</v>
      </c>
      <c r="E1771" s="75">
        <v>8.6036905418775E14</v>
      </c>
      <c r="F1771" s="76" t="s">
        <v>326</v>
      </c>
      <c r="G1771" s="68" t="s">
        <v>328</v>
      </c>
      <c r="H1771" s="69">
        <v>45658.0</v>
      </c>
      <c r="I1771" s="78" t="s">
        <v>337</v>
      </c>
      <c r="J1771" s="78"/>
      <c r="K1771" s="79"/>
      <c r="L1771" s="80"/>
      <c r="M1771" s="81"/>
    </row>
    <row r="1772">
      <c r="A1772" s="75" t="s">
        <v>3931</v>
      </c>
      <c r="B1772" s="75" t="s">
        <v>319</v>
      </c>
      <c r="C1772" s="75" t="s">
        <v>1247</v>
      </c>
      <c r="D1772" s="75">
        <v>2024.0</v>
      </c>
      <c r="E1772" s="75">
        <v>8.60369054187495E14</v>
      </c>
      <c r="F1772" s="76" t="s">
        <v>326</v>
      </c>
      <c r="G1772" s="68" t="s">
        <v>328</v>
      </c>
      <c r="H1772" s="69">
        <v>45658.0</v>
      </c>
      <c r="I1772" s="78" t="s">
        <v>337</v>
      </c>
      <c r="J1772" s="78"/>
      <c r="K1772" s="79"/>
      <c r="L1772" s="80"/>
      <c r="M1772" s="81"/>
    </row>
    <row r="1773">
      <c r="A1773" s="75" t="s">
        <v>3932</v>
      </c>
      <c r="B1773" s="75" t="s">
        <v>319</v>
      </c>
      <c r="C1773" s="75" t="s">
        <v>1247</v>
      </c>
      <c r="D1773" s="75">
        <v>2024.0</v>
      </c>
      <c r="E1773" s="75">
        <v>8.60369052422563E14</v>
      </c>
      <c r="F1773" s="76" t="s">
        <v>326</v>
      </c>
      <c r="G1773" s="68" t="s">
        <v>328</v>
      </c>
      <c r="H1773" s="69">
        <v>45658.0</v>
      </c>
      <c r="I1773" s="78" t="s">
        <v>337</v>
      </c>
      <c r="J1773" s="78"/>
      <c r="K1773" s="79"/>
      <c r="L1773" s="80"/>
      <c r="M1773" s="81"/>
    </row>
    <row r="1774">
      <c r="A1774" s="75" t="s">
        <v>3933</v>
      </c>
      <c r="B1774" s="75" t="s">
        <v>319</v>
      </c>
      <c r="C1774" s="75" t="s">
        <v>1247</v>
      </c>
      <c r="D1774" s="75">
        <v>2024.0</v>
      </c>
      <c r="E1774" s="75">
        <v>8.60369052435045E14</v>
      </c>
      <c r="F1774" s="76" t="s">
        <v>326</v>
      </c>
      <c r="G1774" s="68" t="s">
        <v>328</v>
      </c>
      <c r="H1774" s="69">
        <v>45658.0</v>
      </c>
      <c r="I1774" s="78" t="s">
        <v>337</v>
      </c>
      <c r="J1774" s="78"/>
      <c r="K1774" s="79"/>
      <c r="L1774" s="80"/>
      <c r="M1774" s="81"/>
    </row>
    <row r="1775">
      <c r="A1775" s="75" t="s">
        <v>3934</v>
      </c>
      <c r="B1775" s="75" t="s">
        <v>319</v>
      </c>
      <c r="C1775" s="75" t="s">
        <v>1247</v>
      </c>
      <c r="D1775" s="75">
        <v>2024.0</v>
      </c>
      <c r="E1775" s="75">
        <v>8.60369054191422E14</v>
      </c>
      <c r="F1775" s="76" t="s">
        <v>326</v>
      </c>
      <c r="G1775" s="68" t="s">
        <v>328</v>
      </c>
      <c r="H1775" s="69">
        <v>45658.0</v>
      </c>
      <c r="I1775" s="78" t="s">
        <v>337</v>
      </c>
      <c r="J1775" s="78"/>
      <c r="K1775" s="79"/>
      <c r="L1775" s="80"/>
      <c r="M1775" s="81"/>
    </row>
    <row r="1776">
      <c r="A1776" s="75" t="s">
        <v>3935</v>
      </c>
      <c r="B1776" s="75" t="s">
        <v>319</v>
      </c>
      <c r="C1776" s="75" t="s">
        <v>1247</v>
      </c>
      <c r="D1776" s="75">
        <v>2024.0</v>
      </c>
      <c r="E1776" s="75">
        <v>8.60369052695465E14</v>
      </c>
      <c r="F1776" s="76" t="s">
        <v>326</v>
      </c>
      <c r="G1776" s="68" t="s">
        <v>328</v>
      </c>
      <c r="H1776" s="69">
        <v>45658.0</v>
      </c>
      <c r="I1776" s="78" t="s">
        <v>337</v>
      </c>
      <c r="J1776" s="78"/>
      <c r="K1776" s="79"/>
      <c r="L1776" s="80"/>
      <c r="M1776" s="81"/>
    </row>
    <row r="1777">
      <c r="A1777" s="75" t="s">
        <v>3936</v>
      </c>
      <c r="B1777" s="75" t="s">
        <v>319</v>
      </c>
      <c r="C1777" s="75" t="s">
        <v>1247</v>
      </c>
      <c r="D1777" s="75">
        <v>2024.0</v>
      </c>
      <c r="E1777" s="75">
        <v>8.60369054154917E14</v>
      </c>
      <c r="F1777" s="76" t="s">
        <v>326</v>
      </c>
      <c r="G1777" s="68" t="s">
        <v>328</v>
      </c>
      <c r="H1777" s="69">
        <v>45658.0</v>
      </c>
      <c r="I1777" s="78" t="s">
        <v>337</v>
      </c>
      <c r="J1777" s="78"/>
      <c r="K1777" s="79"/>
      <c r="L1777" s="80"/>
      <c r="M1777" s="81"/>
    </row>
    <row r="1778">
      <c r="A1778" s="75" t="s">
        <v>3937</v>
      </c>
      <c r="B1778" s="75" t="s">
        <v>319</v>
      </c>
      <c r="C1778" s="75" t="s">
        <v>1247</v>
      </c>
      <c r="D1778" s="75">
        <v>2024.0</v>
      </c>
      <c r="E1778" s="75">
        <v>8.60369054412091E14</v>
      </c>
      <c r="F1778" s="76" t="s">
        <v>326</v>
      </c>
      <c r="G1778" s="68" t="s">
        <v>328</v>
      </c>
      <c r="H1778" s="69">
        <v>45658.0</v>
      </c>
      <c r="I1778" s="78" t="s">
        <v>337</v>
      </c>
      <c r="J1778" s="78"/>
      <c r="K1778" s="79"/>
      <c r="L1778" s="80"/>
      <c r="M1778" s="81"/>
    </row>
    <row r="1779">
      <c r="A1779" s="75" t="s">
        <v>3938</v>
      </c>
      <c r="B1779" s="75" t="s">
        <v>319</v>
      </c>
      <c r="C1779" s="75" t="s">
        <v>1247</v>
      </c>
      <c r="D1779" s="75">
        <v>2024.0</v>
      </c>
      <c r="E1779" s="75">
        <v>8.6036905415951E14</v>
      </c>
      <c r="F1779" s="76" t="s">
        <v>326</v>
      </c>
      <c r="G1779" s="68" t="s">
        <v>328</v>
      </c>
      <c r="H1779" s="69">
        <v>45658.0</v>
      </c>
      <c r="I1779" s="78" t="s">
        <v>337</v>
      </c>
      <c r="J1779" s="78"/>
      <c r="K1779" s="79"/>
      <c r="L1779" s="80"/>
      <c r="M1779" s="81"/>
    </row>
    <row r="1780">
      <c r="A1780" s="75" t="s">
        <v>3939</v>
      </c>
      <c r="B1780" s="75" t="s">
        <v>319</v>
      </c>
      <c r="C1780" s="75" t="s">
        <v>1247</v>
      </c>
      <c r="D1780" s="75">
        <v>2024.0</v>
      </c>
      <c r="E1780" s="75">
        <v>8.60369054153893E14</v>
      </c>
      <c r="F1780" s="76" t="s">
        <v>326</v>
      </c>
      <c r="G1780" s="68" t="s">
        <v>328</v>
      </c>
      <c r="H1780" s="69">
        <v>45658.0</v>
      </c>
      <c r="I1780" s="78" t="s">
        <v>337</v>
      </c>
      <c r="J1780" s="78"/>
      <c r="K1780" s="79"/>
      <c r="L1780" s="80"/>
      <c r="M1780" s="81"/>
    </row>
    <row r="1781">
      <c r="A1781" s="75" t="s">
        <v>3940</v>
      </c>
      <c r="B1781" s="75" t="s">
        <v>319</v>
      </c>
      <c r="C1781" s="75" t="s">
        <v>1247</v>
      </c>
      <c r="D1781" s="75">
        <v>2024.0</v>
      </c>
      <c r="E1781" s="75">
        <v>8.60369054413362E14</v>
      </c>
      <c r="F1781" s="76" t="s">
        <v>326</v>
      </c>
      <c r="G1781" s="68" t="s">
        <v>328</v>
      </c>
      <c r="H1781" s="69">
        <v>45658.0</v>
      </c>
      <c r="I1781" s="78" t="s">
        <v>337</v>
      </c>
      <c r="J1781" s="78"/>
      <c r="K1781" s="79"/>
      <c r="L1781" s="80"/>
      <c r="M1781" s="81"/>
    </row>
    <row r="1782">
      <c r="A1782" s="75" t="s">
        <v>3941</v>
      </c>
      <c r="B1782" s="75" t="s">
        <v>319</v>
      </c>
      <c r="C1782" s="75" t="s">
        <v>1247</v>
      </c>
      <c r="D1782" s="75">
        <v>2024.0</v>
      </c>
      <c r="E1782" s="75">
        <v>8.60369052695549E14</v>
      </c>
      <c r="F1782" s="76" t="s">
        <v>326</v>
      </c>
      <c r="G1782" s="68" t="s">
        <v>328</v>
      </c>
      <c r="H1782" s="69">
        <v>45658.0</v>
      </c>
      <c r="I1782" s="78" t="s">
        <v>337</v>
      </c>
      <c r="J1782" s="78"/>
      <c r="K1782" s="79"/>
      <c r="L1782" s="80"/>
      <c r="M1782" s="81"/>
    </row>
    <row r="1783">
      <c r="A1783" s="75" t="s">
        <v>3942</v>
      </c>
      <c r="B1783" s="75" t="s">
        <v>319</v>
      </c>
      <c r="C1783" s="75" t="s">
        <v>1247</v>
      </c>
      <c r="D1783" s="75">
        <v>2024.0</v>
      </c>
      <c r="E1783" s="75">
        <v>8.60369052695176E14</v>
      </c>
      <c r="F1783" s="76" t="s">
        <v>326</v>
      </c>
      <c r="G1783" s="68" t="s">
        <v>328</v>
      </c>
      <c r="H1783" s="69">
        <v>45658.0</v>
      </c>
      <c r="I1783" s="78" t="s">
        <v>337</v>
      </c>
      <c r="J1783" s="78"/>
      <c r="K1783" s="79"/>
      <c r="L1783" s="80"/>
      <c r="M1783" s="81"/>
    </row>
    <row r="1784">
      <c r="A1784" s="75" t="s">
        <v>3943</v>
      </c>
      <c r="B1784" s="75" t="s">
        <v>319</v>
      </c>
      <c r="C1784" s="75" t="s">
        <v>1247</v>
      </c>
      <c r="D1784" s="75">
        <v>2024.0</v>
      </c>
      <c r="E1784" s="75">
        <v>8.60369054405335E14</v>
      </c>
      <c r="F1784" s="76" t="s">
        <v>326</v>
      </c>
      <c r="G1784" s="68" t="s">
        <v>328</v>
      </c>
      <c r="H1784" s="69">
        <v>45658.0</v>
      </c>
      <c r="I1784" s="78" t="s">
        <v>337</v>
      </c>
      <c r="J1784" s="78"/>
      <c r="K1784" s="79"/>
      <c r="L1784" s="80"/>
      <c r="M1784" s="81"/>
    </row>
    <row r="1785">
      <c r="A1785" s="75" t="s">
        <v>3944</v>
      </c>
      <c r="B1785" s="75" t="s">
        <v>319</v>
      </c>
      <c r="C1785" s="75" t="s">
        <v>1247</v>
      </c>
      <c r="D1785" s="75">
        <v>2024.0</v>
      </c>
      <c r="E1785" s="75">
        <v>8.60369054403454E14</v>
      </c>
      <c r="F1785" s="76" t="s">
        <v>326</v>
      </c>
      <c r="G1785" s="68" t="s">
        <v>328</v>
      </c>
      <c r="H1785" s="69">
        <v>45658.0</v>
      </c>
      <c r="I1785" s="78" t="s">
        <v>337</v>
      </c>
      <c r="J1785" s="78"/>
      <c r="K1785" s="79"/>
      <c r="L1785" s="80"/>
      <c r="M1785" s="81"/>
    </row>
    <row r="1786">
      <c r="A1786" s="75" t="s">
        <v>3945</v>
      </c>
      <c r="B1786" s="75" t="s">
        <v>319</v>
      </c>
      <c r="C1786" s="75" t="s">
        <v>1247</v>
      </c>
      <c r="D1786" s="75">
        <v>2024.0</v>
      </c>
      <c r="E1786" s="75">
        <v>8.60369053334502E14</v>
      </c>
      <c r="F1786" s="76" t="s">
        <v>326</v>
      </c>
      <c r="G1786" s="68" t="s">
        <v>328</v>
      </c>
      <c r="H1786" s="69">
        <v>45658.0</v>
      </c>
      <c r="I1786" s="78" t="s">
        <v>337</v>
      </c>
      <c r="J1786" s="78"/>
      <c r="K1786" s="79"/>
      <c r="L1786" s="80"/>
      <c r="M1786" s="81"/>
    </row>
    <row r="1787">
      <c r="A1787" s="75" t="s">
        <v>3946</v>
      </c>
      <c r="B1787" s="75" t="s">
        <v>319</v>
      </c>
      <c r="C1787" s="75" t="s">
        <v>1247</v>
      </c>
      <c r="D1787" s="75">
        <v>2024.0</v>
      </c>
      <c r="E1787" s="75">
        <v>8.60369054198724E14</v>
      </c>
      <c r="F1787" s="76" t="s">
        <v>326</v>
      </c>
      <c r="G1787" s="68" t="s">
        <v>328</v>
      </c>
      <c r="H1787" s="69">
        <v>45658.0</v>
      </c>
      <c r="I1787" s="78" t="s">
        <v>337</v>
      </c>
      <c r="J1787" s="78"/>
      <c r="K1787" s="79"/>
      <c r="L1787" s="80"/>
      <c r="M1787" s="81"/>
    </row>
    <row r="1788">
      <c r="A1788" s="75" t="s">
        <v>3947</v>
      </c>
      <c r="B1788" s="75" t="s">
        <v>319</v>
      </c>
      <c r="C1788" s="75" t="s">
        <v>1247</v>
      </c>
      <c r="D1788" s="75">
        <v>2024.0</v>
      </c>
      <c r="E1788" s="75">
        <v>8.6036905269959E14</v>
      </c>
      <c r="F1788" s="76" t="s">
        <v>326</v>
      </c>
      <c r="G1788" s="68" t="s">
        <v>328</v>
      </c>
      <c r="H1788" s="69">
        <v>45658.0</v>
      </c>
      <c r="I1788" s="78" t="s">
        <v>337</v>
      </c>
      <c r="J1788" s="78"/>
      <c r="K1788" s="79"/>
      <c r="L1788" s="80"/>
      <c r="M1788" s="81"/>
    </row>
    <row r="1789">
      <c r="A1789" s="75" t="s">
        <v>3948</v>
      </c>
      <c r="B1789" s="75" t="s">
        <v>319</v>
      </c>
      <c r="C1789" s="75" t="s">
        <v>1247</v>
      </c>
      <c r="D1789" s="75">
        <v>2024.0</v>
      </c>
      <c r="E1789" s="75">
        <v>8.60369053345755E14</v>
      </c>
      <c r="F1789" s="76" t="s">
        <v>326</v>
      </c>
      <c r="G1789" s="68" t="s">
        <v>328</v>
      </c>
      <c r="H1789" s="69">
        <v>45658.0</v>
      </c>
      <c r="I1789" s="78" t="s">
        <v>337</v>
      </c>
      <c r="J1789" s="78"/>
      <c r="K1789" s="79"/>
      <c r="L1789" s="80"/>
      <c r="M1789" s="81"/>
    </row>
    <row r="1790">
      <c r="A1790" s="75" t="s">
        <v>3949</v>
      </c>
      <c r="B1790" s="75" t="s">
        <v>319</v>
      </c>
      <c r="C1790" s="75" t="s">
        <v>1247</v>
      </c>
      <c r="D1790" s="75">
        <v>2024.0</v>
      </c>
      <c r="E1790" s="75">
        <v>8.60369054740616E14</v>
      </c>
      <c r="F1790" s="76" t="s">
        <v>326</v>
      </c>
      <c r="G1790" s="68" t="s">
        <v>328</v>
      </c>
      <c r="H1790" s="69">
        <v>45658.0</v>
      </c>
      <c r="I1790" s="78" t="s">
        <v>337</v>
      </c>
      <c r="J1790" s="78"/>
      <c r="K1790" s="79"/>
      <c r="L1790" s="80"/>
      <c r="M1790" s="81"/>
    </row>
    <row r="1791">
      <c r="A1791" s="75" t="s">
        <v>3950</v>
      </c>
      <c r="B1791" s="75" t="s">
        <v>319</v>
      </c>
      <c r="C1791" s="75" t="s">
        <v>1247</v>
      </c>
      <c r="D1791" s="75">
        <v>2024.0</v>
      </c>
      <c r="E1791" s="75">
        <v>8.60369054172935E14</v>
      </c>
      <c r="F1791" s="76" t="s">
        <v>326</v>
      </c>
      <c r="G1791" s="68" t="s">
        <v>328</v>
      </c>
      <c r="H1791" s="69">
        <v>45658.0</v>
      </c>
      <c r="I1791" s="78" t="s">
        <v>337</v>
      </c>
      <c r="J1791" s="78"/>
      <c r="K1791" s="79"/>
      <c r="L1791" s="80"/>
      <c r="M1791" s="81"/>
    </row>
    <row r="1792">
      <c r="A1792" s="75" t="s">
        <v>3951</v>
      </c>
      <c r="B1792" s="75" t="s">
        <v>602</v>
      </c>
      <c r="C1792" s="241" t="s">
        <v>607</v>
      </c>
      <c r="D1792" s="75">
        <v>2024.0</v>
      </c>
      <c r="E1792" s="75">
        <v>8.60369052142823E14</v>
      </c>
      <c r="F1792" s="76" t="s">
        <v>398</v>
      </c>
      <c r="G1792" s="68" t="s">
        <v>328</v>
      </c>
      <c r="H1792" s="69">
        <v>45658.0</v>
      </c>
      <c r="I1792" s="78" t="s">
        <v>337</v>
      </c>
      <c r="J1792" s="78"/>
      <c r="K1792" s="79"/>
      <c r="L1792" s="80"/>
      <c r="M1792" s="81"/>
      <c r="N1792" s="83" t="s">
        <v>380</v>
      </c>
    </row>
    <row r="1793">
      <c r="A1793" s="75" t="s">
        <v>3952</v>
      </c>
      <c r="B1793" s="75" t="s">
        <v>319</v>
      </c>
      <c r="C1793" s="75" t="s">
        <v>1247</v>
      </c>
      <c r="D1793" s="75">
        <v>2025.0</v>
      </c>
      <c r="E1793" s="75">
        <v>8.60369053334304E14</v>
      </c>
      <c r="F1793" s="76" t="s">
        <v>326</v>
      </c>
      <c r="G1793" s="68" t="s">
        <v>328</v>
      </c>
      <c r="H1793" s="69">
        <v>45658.0</v>
      </c>
      <c r="I1793" s="78" t="s">
        <v>337</v>
      </c>
      <c r="J1793" s="78"/>
      <c r="K1793" s="79"/>
      <c r="L1793" s="80"/>
      <c r="M1793" s="81"/>
    </row>
    <row r="1794">
      <c r="A1794" s="75" t="s">
        <v>3953</v>
      </c>
      <c r="B1794" s="75" t="s">
        <v>319</v>
      </c>
      <c r="C1794" s="75" t="s">
        <v>1247</v>
      </c>
      <c r="D1794" s="75">
        <v>2025.0</v>
      </c>
      <c r="E1794" s="75">
        <v>8.60369054415284E14</v>
      </c>
      <c r="F1794" s="76" t="s">
        <v>326</v>
      </c>
      <c r="G1794" s="68" t="s">
        <v>328</v>
      </c>
      <c r="H1794" s="69">
        <v>45658.0</v>
      </c>
      <c r="I1794" s="78" t="s">
        <v>337</v>
      </c>
      <c r="J1794" s="78"/>
      <c r="K1794" s="79"/>
      <c r="L1794" s="80"/>
      <c r="M1794" s="81"/>
    </row>
    <row r="1795">
      <c r="A1795" s="75" t="s">
        <v>3954</v>
      </c>
      <c r="B1795" s="75" t="s">
        <v>319</v>
      </c>
      <c r="C1795" s="75" t="s">
        <v>1247</v>
      </c>
      <c r="D1795" s="75">
        <v>2024.0</v>
      </c>
      <c r="E1795" s="75">
        <v>8.60369054159684E14</v>
      </c>
      <c r="F1795" s="76" t="s">
        <v>326</v>
      </c>
      <c r="G1795" s="68" t="s">
        <v>328</v>
      </c>
      <c r="H1795" s="69">
        <v>45658.0</v>
      </c>
      <c r="I1795" s="78" t="s">
        <v>337</v>
      </c>
      <c r="J1795" s="78"/>
      <c r="K1795" s="79"/>
      <c r="L1795" s="80"/>
      <c r="M1795" s="81"/>
    </row>
    <row r="1796">
      <c r="A1796" s="75" t="s">
        <v>3955</v>
      </c>
      <c r="B1796" s="75" t="s">
        <v>319</v>
      </c>
      <c r="C1796" s="75" t="s">
        <v>1247</v>
      </c>
      <c r="D1796" s="75">
        <v>2024.0</v>
      </c>
      <c r="E1796" s="75">
        <v>8.60369054196835E14</v>
      </c>
      <c r="F1796" s="76" t="s">
        <v>326</v>
      </c>
      <c r="G1796" s="68" t="s">
        <v>328</v>
      </c>
      <c r="H1796" s="69">
        <v>45658.0</v>
      </c>
      <c r="I1796" s="78" t="s">
        <v>337</v>
      </c>
      <c r="J1796" s="78"/>
      <c r="K1796" s="79"/>
      <c r="L1796" s="80"/>
      <c r="M1796" s="81"/>
    </row>
    <row r="1797">
      <c r="A1797" s="75" t="s">
        <v>3956</v>
      </c>
      <c r="B1797" s="75" t="s">
        <v>319</v>
      </c>
      <c r="C1797" s="75" t="s">
        <v>1247</v>
      </c>
      <c r="D1797" s="75">
        <v>2024.0</v>
      </c>
      <c r="E1797" s="75">
        <v>8.60369054163124E14</v>
      </c>
      <c r="F1797" s="76" t="s">
        <v>326</v>
      </c>
      <c r="G1797" s="68" t="s">
        <v>328</v>
      </c>
      <c r="H1797" s="69">
        <v>45658.0</v>
      </c>
      <c r="I1797" s="78" t="s">
        <v>337</v>
      </c>
      <c r="J1797" s="78"/>
      <c r="K1797" s="79"/>
      <c r="L1797" s="80"/>
      <c r="M1797" s="81"/>
    </row>
    <row r="1798">
      <c r="A1798" s="75" t="s">
        <v>3957</v>
      </c>
      <c r="B1798" s="75" t="s">
        <v>319</v>
      </c>
      <c r="C1798" s="75" t="s">
        <v>1247</v>
      </c>
      <c r="D1798" s="75">
        <v>2024.0</v>
      </c>
      <c r="E1798" s="75">
        <v>8.60369054198955E14</v>
      </c>
      <c r="F1798" s="76" t="s">
        <v>326</v>
      </c>
      <c r="G1798" s="68" t="s">
        <v>328</v>
      </c>
      <c r="H1798" s="69">
        <v>45658.0</v>
      </c>
      <c r="I1798" s="78" t="s">
        <v>337</v>
      </c>
      <c r="J1798" s="78"/>
      <c r="K1798" s="79"/>
      <c r="L1798" s="80"/>
      <c r="M1798" s="81"/>
    </row>
    <row r="1799">
      <c r="A1799" s="75" t="s">
        <v>3958</v>
      </c>
      <c r="B1799" s="75" t="s">
        <v>319</v>
      </c>
      <c r="C1799" s="75" t="s">
        <v>1247</v>
      </c>
      <c r="D1799" s="75">
        <v>2024.0</v>
      </c>
      <c r="E1799" s="75">
        <v>8.60369054184427E14</v>
      </c>
      <c r="F1799" s="76" t="s">
        <v>326</v>
      </c>
      <c r="G1799" s="68" t="s">
        <v>328</v>
      </c>
      <c r="H1799" s="69">
        <v>45658.0</v>
      </c>
      <c r="I1799" s="78" t="s">
        <v>337</v>
      </c>
      <c r="J1799" s="78"/>
      <c r="K1799" s="79"/>
      <c r="L1799" s="80"/>
      <c r="M1799" s="81"/>
    </row>
    <row r="1800">
      <c r="A1800" s="75" t="s">
        <v>3959</v>
      </c>
      <c r="B1800" s="75" t="s">
        <v>319</v>
      </c>
      <c r="C1800" s="75" t="s">
        <v>1247</v>
      </c>
      <c r="D1800" s="75">
        <v>2024.0</v>
      </c>
      <c r="E1800" s="75">
        <v>8.60369052696539E14</v>
      </c>
      <c r="F1800" s="76" t="s">
        <v>326</v>
      </c>
      <c r="G1800" s="68" t="s">
        <v>328</v>
      </c>
      <c r="H1800" s="69">
        <v>45658.0</v>
      </c>
      <c r="I1800" s="78" t="s">
        <v>337</v>
      </c>
      <c r="J1800" s="78"/>
      <c r="K1800" s="79"/>
      <c r="L1800" s="80"/>
      <c r="M1800" s="81"/>
    </row>
    <row r="1801">
      <c r="A1801" s="75" t="s">
        <v>3960</v>
      </c>
      <c r="B1801" s="75" t="s">
        <v>319</v>
      </c>
      <c r="C1801" s="75" t="s">
        <v>1247</v>
      </c>
      <c r="D1801" s="75">
        <v>2024.0</v>
      </c>
      <c r="E1801" s="75">
        <v>8.60369054166127E14</v>
      </c>
      <c r="F1801" s="76" t="s">
        <v>326</v>
      </c>
      <c r="G1801" s="68" t="s">
        <v>328</v>
      </c>
      <c r="H1801" s="69">
        <v>45658.0</v>
      </c>
      <c r="I1801" s="78" t="s">
        <v>337</v>
      </c>
      <c r="J1801" s="78"/>
      <c r="K1801" s="79"/>
      <c r="L1801" s="80"/>
      <c r="M1801" s="81"/>
    </row>
    <row r="1802">
      <c r="A1802" s="75" t="s">
        <v>3961</v>
      </c>
      <c r="B1802" s="75" t="s">
        <v>319</v>
      </c>
      <c r="C1802" s="75" t="s">
        <v>1247</v>
      </c>
      <c r="D1802" s="75">
        <v>2024.0</v>
      </c>
      <c r="E1802" s="75">
        <v>8.6036905240777E14</v>
      </c>
      <c r="F1802" s="76" t="s">
        <v>398</v>
      </c>
      <c r="G1802" s="68" t="s">
        <v>328</v>
      </c>
      <c r="H1802" s="69">
        <v>45658.0</v>
      </c>
      <c r="I1802" s="78" t="s">
        <v>337</v>
      </c>
      <c r="J1802" s="78"/>
      <c r="K1802" s="79"/>
      <c r="L1802" s="80"/>
      <c r="M1802" s="81"/>
    </row>
    <row r="1803">
      <c r="A1803" s="75" t="s">
        <v>3962</v>
      </c>
      <c r="B1803" s="75" t="s">
        <v>319</v>
      </c>
      <c r="C1803" s="75" t="s">
        <v>1247</v>
      </c>
      <c r="D1803" s="75">
        <v>2024.0</v>
      </c>
      <c r="E1803" s="75">
        <v>8.6036905270745E14</v>
      </c>
      <c r="F1803" s="76" t="s">
        <v>326</v>
      </c>
      <c r="G1803" s="68" t="s">
        <v>328</v>
      </c>
      <c r="H1803" s="69">
        <v>45658.0</v>
      </c>
      <c r="I1803" s="78" t="s">
        <v>337</v>
      </c>
      <c r="J1803" s="78"/>
      <c r="K1803" s="79"/>
      <c r="L1803" s="80"/>
      <c r="M1803" s="81"/>
    </row>
    <row r="1804">
      <c r="A1804" s="75" t="s">
        <v>3963</v>
      </c>
      <c r="B1804" s="75" t="s">
        <v>319</v>
      </c>
      <c r="C1804" s="75" t="s">
        <v>1247</v>
      </c>
      <c r="D1804" s="75">
        <v>2024.0</v>
      </c>
      <c r="E1804" s="75">
        <v>8.60369054191455E14</v>
      </c>
      <c r="F1804" s="76" t="s">
        <v>326</v>
      </c>
      <c r="G1804" s="68" t="s">
        <v>328</v>
      </c>
      <c r="H1804" s="69">
        <v>45658.0</v>
      </c>
      <c r="I1804" s="78" t="s">
        <v>337</v>
      </c>
      <c r="J1804" s="78"/>
      <c r="K1804" s="79"/>
      <c r="L1804" s="80"/>
      <c r="M1804" s="81"/>
    </row>
    <row r="1805">
      <c r="A1805" s="75" t="s">
        <v>3964</v>
      </c>
      <c r="B1805" s="75" t="s">
        <v>319</v>
      </c>
      <c r="C1805" s="75" t="s">
        <v>1247</v>
      </c>
      <c r="D1805" s="75">
        <v>2024.0</v>
      </c>
      <c r="E1805" s="75">
        <v>8.60369054198609E14</v>
      </c>
      <c r="F1805" s="76" t="s">
        <v>326</v>
      </c>
      <c r="G1805" s="68" t="s">
        <v>328</v>
      </c>
      <c r="H1805" s="69">
        <v>45658.0</v>
      </c>
      <c r="I1805" s="78" t="s">
        <v>337</v>
      </c>
      <c r="J1805" s="78"/>
      <c r="K1805" s="79"/>
      <c r="L1805" s="80"/>
      <c r="M1805" s="81"/>
    </row>
    <row r="1806">
      <c r="A1806" s="75" t="s">
        <v>3965</v>
      </c>
      <c r="B1806" s="75" t="s">
        <v>602</v>
      </c>
      <c r="C1806" s="241" t="s">
        <v>607</v>
      </c>
      <c r="D1806" s="75">
        <v>2024.0</v>
      </c>
      <c r="E1806" s="75">
        <v>8.60369052405196E14</v>
      </c>
      <c r="F1806" s="76" t="s">
        <v>326</v>
      </c>
      <c r="G1806" s="68" t="s">
        <v>328</v>
      </c>
      <c r="H1806" s="69">
        <v>45658.0</v>
      </c>
      <c r="I1806" s="78" t="s">
        <v>337</v>
      </c>
      <c r="J1806" s="78"/>
      <c r="K1806" s="79"/>
      <c r="L1806" s="80"/>
      <c r="M1806" s="81"/>
      <c r="N1806" s="83" t="s">
        <v>380</v>
      </c>
    </row>
    <row r="1807">
      <c r="A1807" s="75" t="s">
        <v>3966</v>
      </c>
      <c r="B1807" s="75" t="s">
        <v>319</v>
      </c>
      <c r="C1807" s="75" t="s">
        <v>1247</v>
      </c>
      <c r="D1807" s="75">
        <v>2024.0</v>
      </c>
      <c r="E1807" s="75">
        <v>8.60369052194774E14</v>
      </c>
      <c r="F1807" s="76" t="s">
        <v>326</v>
      </c>
      <c r="G1807" s="68" t="s">
        <v>328</v>
      </c>
      <c r="H1807" s="69">
        <v>45658.0</v>
      </c>
      <c r="I1807" s="78" t="s">
        <v>337</v>
      </c>
      <c r="J1807" s="78"/>
      <c r="K1807" s="79"/>
      <c r="L1807" s="80"/>
      <c r="M1807" s="81"/>
    </row>
    <row r="1808">
      <c r="A1808" s="75" t="s">
        <v>3967</v>
      </c>
      <c r="B1808" s="75" t="s">
        <v>319</v>
      </c>
      <c r="C1808" s="75" t="s">
        <v>1247</v>
      </c>
      <c r="D1808" s="75">
        <v>2024.0</v>
      </c>
      <c r="E1808" s="75">
        <v>8.60369054184435E14</v>
      </c>
      <c r="F1808" s="76" t="s">
        <v>326</v>
      </c>
      <c r="G1808" s="68" t="s">
        <v>328</v>
      </c>
      <c r="H1808" s="69">
        <v>45658.0</v>
      </c>
      <c r="I1808" s="78" t="s">
        <v>337</v>
      </c>
      <c r="J1808" s="78"/>
      <c r="K1808" s="79"/>
      <c r="L1808" s="80"/>
      <c r="M1808" s="81"/>
    </row>
    <row r="1809">
      <c r="A1809" s="75" t="s">
        <v>3968</v>
      </c>
      <c r="B1809" s="75" t="s">
        <v>319</v>
      </c>
      <c r="C1809" s="75" t="s">
        <v>1247</v>
      </c>
      <c r="D1809" s="75">
        <v>2024.0</v>
      </c>
      <c r="E1809" s="75">
        <v>8.60369052707443E14</v>
      </c>
      <c r="F1809" s="76" t="s">
        <v>326</v>
      </c>
      <c r="G1809" s="68" t="s">
        <v>328</v>
      </c>
      <c r="H1809" s="69">
        <v>45658.0</v>
      </c>
      <c r="I1809" s="78" t="s">
        <v>337</v>
      </c>
      <c r="J1809" s="78"/>
      <c r="K1809" s="79"/>
      <c r="L1809" s="80"/>
      <c r="M1809" s="81"/>
    </row>
    <row r="1810">
      <c r="A1810" s="75" t="s">
        <v>3969</v>
      </c>
      <c r="B1810" s="75" t="s">
        <v>319</v>
      </c>
      <c r="C1810" s="75" t="s">
        <v>1247</v>
      </c>
      <c r="D1810" s="75">
        <v>2024.0</v>
      </c>
      <c r="E1810" s="75">
        <v>8.60369054163041E14</v>
      </c>
      <c r="F1810" s="76" t="s">
        <v>326</v>
      </c>
      <c r="G1810" s="68" t="s">
        <v>328</v>
      </c>
      <c r="H1810" s="69">
        <v>45658.0</v>
      </c>
      <c r="I1810" s="78" t="s">
        <v>337</v>
      </c>
      <c r="J1810" s="78"/>
      <c r="K1810" s="79"/>
      <c r="L1810" s="80"/>
      <c r="M1810" s="81"/>
    </row>
    <row r="1811">
      <c r="A1811" s="75" t="s">
        <v>3970</v>
      </c>
      <c r="B1811" s="75" t="s">
        <v>319</v>
      </c>
      <c r="C1811" s="75" t="s">
        <v>1247</v>
      </c>
      <c r="D1811" s="75">
        <v>2024.0</v>
      </c>
      <c r="E1811" s="75">
        <v>8.60369054170392E14</v>
      </c>
      <c r="F1811" s="76" t="s">
        <v>326</v>
      </c>
      <c r="G1811" s="68" t="s">
        <v>328</v>
      </c>
      <c r="H1811" s="69">
        <v>45658.0</v>
      </c>
      <c r="I1811" s="78" t="s">
        <v>337</v>
      </c>
      <c r="J1811" s="78"/>
      <c r="K1811" s="79"/>
      <c r="L1811" s="80"/>
      <c r="M1811" s="81"/>
    </row>
    <row r="1812">
      <c r="A1812" s="75" t="s">
        <v>3971</v>
      </c>
      <c r="B1812" s="75" t="s">
        <v>319</v>
      </c>
      <c r="C1812" s="75" t="s">
        <v>1247</v>
      </c>
      <c r="D1812" s="75">
        <v>2024.0</v>
      </c>
      <c r="E1812" s="75">
        <v>8.60369054123219E14</v>
      </c>
      <c r="F1812" s="76" t="s">
        <v>326</v>
      </c>
      <c r="G1812" s="68" t="s">
        <v>328</v>
      </c>
      <c r="H1812" s="69">
        <v>45658.0</v>
      </c>
      <c r="I1812" s="78" t="s">
        <v>337</v>
      </c>
      <c r="J1812" s="78"/>
      <c r="K1812" s="79"/>
      <c r="L1812" s="80"/>
      <c r="M1812" s="81"/>
    </row>
    <row r="1813">
      <c r="A1813" s="75" t="s">
        <v>3972</v>
      </c>
      <c r="B1813" s="75" t="s">
        <v>602</v>
      </c>
      <c r="C1813" s="241" t="s">
        <v>607</v>
      </c>
      <c r="D1813" s="75">
        <v>2024.0</v>
      </c>
      <c r="E1813" s="75">
        <v>8.60369052404637E14</v>
      </c>
      <c r="F1813" s="76" t="s">
        <v>398</v>
      </c>
      <c r="G1813" s="68" t="s">
        <v>328</v>
      </c>
      <c r="H1813" s="69">
        <v>45658.0</v>
      </c>
      <c r="I1813" s="78" t="s">
        <v>337</v>
      </c>
      <c r="J1813" s="78"/>
      <c r="K1813" s="79"/>
      <c r="L1813" s="80"/>
      <c r="M1813" s="81"/>
      <c r="N1813" s="83" t="s">
        <v>380</v>
      </c>
    </row>
    <row r="1814">
      <c r="A1814" s="75" t="s">
        <v>3973</v>
      </c>
      <c r="B1814" s="75" t="s">
        <v>319</v>
      </c>
      <c r="C1814" s="75" t="s">
        <v>1247</v>
      </c>
      <c r="D1814" s="75">
        <v>2025.0</v>
      </c>
      <c r="E1814" s="75">
        <v>8.60369054133218E14</v>
      </c>
      <c r="F1814" s="76" t="s">
        <v>326</v>
      </c>
      <c r="G1814" s="68" t="s">
        <v>328</v>
      </c>
      <c r="H1814" s="69">
        <v>45658.0</v>
      </c>
      <c r="I1814" s="78" t="s">
        <v>337</v>
      </c>
      <c r="J1814" s="78"/>
      <c r="K1814" s="79"/>
      <c r="L1814" s="80"/>
      <c r="M1814" s="81"/>
    </row>
    <row r="1815">
      <c r="A1815" s="75" t="s">
        <v>3974</v>
      </c>
      <c r="B1815" s="75" t="s">
        <v>319</v>
      </c>
      <c r="C1815" s="75" t="s">
        <v>1247</v>
      </c>
      <c r="D1815" s="75">
        <v>2024.0</v>
      </c>
      <c r="E1815" s="75">
        <v>8.60369054154842E14</v>
      </c>
      <c r="F1815" s="76" t="s">
        <v>326</v>
      </c>
      <c r="G1815" s="68" t="s">
        <v>328</v>
      </c>
      <c r="H1815" s="69">
        <v>45658.0</v>
      </c>
      <c r="I1815" s="78" t="s">
        <v>337</v>
      </c>
      <c r="J1815" s="78"/>
      <c r="K1815" s="79"/>
      <c r="L1815" s="80"/>
      <c r="M1815" s="81"/>
    </row>
    <row r="1816">
      <c r="A1816" s="75" t="s">
        <v>3975</v>
      </c>
      <c r="B1816" s="75" t="s">
        <v>319</v>
      </c>
      <c r="C1816" s="75" t="s">
        <v>1247</v>
      </c>
      <c r="D1816" s="75">
        <v>2024.0</v>
      </c>
      <c r="E1816" s="75">
        <v>8.60369053330765E14</v>
      </c>
      <c r="F1816" s="76" t="s">
        <v>326</v>
      </c>
      <c r="G1816" s="68" t="s">
        <v>328</v>
      </c>
      <c r="H1816" s="69">
        <v>45658.0</v>
      </c>
      <c r="I1816" s="78" t="s">
        <v>337</v>
      </c>
      <c r="J1816" s="78"/>
      <c r="K1816" s="79"/>
      <c r="L1816" s="80"/>
      <c r="M1816" s="81"/>
    </row>
    <row r="1817">
      <c r="A1817" s="75" t="s">
        <v>3976</v>
      </c>
      <c r="B1817" s="75" t="s">
        <v>319</v>
      </c>
      <c r="C1817" s="75" t="s">
        <v>1247</v>
      </c>
      <c r="D1817" s="75">
        <v>2024.0</v>
      </c>
      <c r="E1817" s="75">
        <v>8.60369053346175E14</v>
      </c>
      <c r="F1817" s="76" t="s">
        <v>326</v>
      </c>
      <c r="G1817" s="68" t="s">
        <v>328</v>
      </c>
      <c r="H1817" s="69">
        <v>45658.0</v>
      </c>
      <c r="I1817" s="78" t="s">
        <v>337</v>
      </c>
      <c r="J1817" s="78"/>
      <c r="K1817" s="79"/>
      <c r="L1817" s="80"/>
      <c r="M1817" s="81"/>
    </row>
    <row r="1818">
      <c r="A1818" s="75" t="s">
        <v>3977</v>
      </c>
      <c r="B1818" s="75" t="s">
        <v>319</v>
      </c>
      <c r="C1818" s="75" t="s">
        <v>1247</v>
      </c>
      <c r="D1818" s="75">
        <v>2024.0</v>
      </c>
      <c r="E1818" s="75">
        <v>8.60369054416803E14</v>
      </c>
      <c r="F1818" s="76" t="s">
        <v>326</v>
      </c>
      <c r="G1818" s="68" t="s">
        <v>328</v>
      </c>
      <c r="H1818" s="69">
        <v>45658.0</v>
      </c>
      <c r="I1818" s="78" t="s">
        <v>337</v>
      </c>
      <c r="J1818" s="78"/>
      <c r="K1818" s="79"/>
      <c r="L1818" s="80"/>
      <c r="M1818" s="81"/>
    </row>
    <row r="1819">
      <c r="A1819" s="75" t="s">
        <v>3978</v>
      </c>
      <c r="B1819" s="75" t="s">
        <v>602</v>
      </c>
      <c r="C1819" s="241" t="s">
        <v>607</v>
      </c>
      <c r="D1819" s="75">
        <v>2024.0</v>
      </c>
      <c r="E1819" s="75">
        <v>8.60369052144654E14</v>
      </c>
      <c r="F1819" s="76" t="s">
        <v>398</v>
      </c>
      <c r="G1819" s="68" t="s">
        <v>328</v>
      </c>
      <c r="H1819" s="69">
        <v>45658.0</v>
      </c>
      <c r="I1819" s="78" t="s">
        <v>337</v>
      </c>
      <c r="J1819" s="78"/>
      <c r="K1819" s="79"/>
      <c r="L1819" s="80"/>
      <c r="M1819" s="81"/>
      <c r="N1819" s="83" t="s">
        <v>380</v>
      </c>
    </row>
    <row r="1820">
      <c r="A1820" s="75" t="s">
        <v>3979</v>
      </c>
      <c r="B1820" s="75" t="s">
        <v>602</v>
      </c>
      <c r="C1820" s="241" t="s">
        <v>607</v>
      </c>
      <c r="D1820" s="75">
        <v>2024.0</v>
      </c>
      <c r="E1820" s="75">
        <v>8.60369052427877E14</v>
      </c>
      <c r="F1820" s="76" t="s">
        <v>326</v>
      </c>
      <c r="G1820" s="68" t="s">
        <v>328</v>
      </c>
      <c r="H1820" s="69">
        <v>45658.0</v>
      </c>
      <c r="I1820" s="78" t="s">
        <v>337</v>
      </c>
      <c r="J1820" s="78"/>
      <c r="K1820" s="79"/>
      <c r="L1820" s="80"/>
      <c r="M1820" s="81"/>
      <c r="N1820" s="83" t="s">
        <v>380</v>
      </c>
    </row>
    <row r="1821">
      <c r="A1821" s="75" t="s">
        <v>3980</v>
      </c>
      <c r="B1821" s="75" t="s">
        <v>319</v>
      </c>
      <c r="C1821" s="75" t="s">
        <v>1247</v>
      </c>
      <c r="D1821" s="75">
        <v>2025.0</v>
      </c>
      <c r="E1821" s="75">
        <v>8.60369052436787E14</v>
      </c>
      <c r="F1821" s="76" t="s">
        <v>326</v>
      </c>
      <c r="G1821" s="68" t="s">
        <v>328</v>
      </c>
      <c r="H1821" s="69">
        <v>45658.0</v>
      </c>
      <c r="I1821" s="78" t="s">
        <v>337</v>
      </c>
      <c r="J1821" s="78"/>
      <c r="K1821" s="79"/>
      <c r="L1821" s="80"/>
      <c r="M1821" s="81"/>
    </row>
    <row r="1822">
      <c r="A1822" s="75" t="s">
        <v>3981</v>
      </c>
      <c r="B1822" s="75" t="s">
        <v>319</v>
      </c>
      <c r="C1822" s="75" t="s">
        <v>1247</v>
      </c>
      <c r="D1822" s="75">
        <v>2025.0</v>
      </c>
      <c r="E1822" s="75">
        <v>8.60369053334668E14</v>
      </c>
      <c r="F1822" s="76" t="s">
        <v>326</v>
      </c>
      <c r="G1822" s="68" t="s">
        <v>328</v>
      </c>
      <c r="H1822" s="69">
        <v>45658.0</v>
      </c>
      <c r="I1822" s="78" t="s">
        <v>337</v>
      </c>
      <c r="J1822" s="78"/>
      <c r="K1822" s="79"/>
      <c r="L1822" s="80"/>
      <c r="M1822" s="81"/>
    </row>
    <row r="1823">
      <c r="A1823" s="75" t="s">
        <v>3982</v>
      </c>
      <c r="B1823" s="75" t="s">
        <v>319</v>
      </c>
      <c r="C1823" s="75" t="s">
        <v>1247</v>
      </c>
      <c r="D1823" s="75">
        <v>2025.0</v>
      </c>
      <c r="E1823" s="75">
        <v>8.60369052695408E14</v>
      </c>
      <c r="F1823" s="76" t="s">
        <v>326</v>
      </c>
      <c r="G1823" s="68" t="s">
        <v>328</v>
      </c>
      <c r="H1823" s="69">
        <v>45658.0</v>
      </c>
      <c r="I1823" s="78" t="s">
        <v>337</v>
      </c>
      <c r="J1823" s="78"/>
      <c r="K1823" s="79"/>
      <c r="L1823" s="80"/>
      <c r="M1823" s="81"/>
    </row>
    <row r="1824">
      <c r="A1824" s="75" t="s">
        <v>3983</v>
      </c>
      <c r="B1824" s="75" t="s">
        <v>319</v>
      </c>
      <c r="C1824" s="75" t="s">
        <v>1247</v>
      </c>
      <c r="D1824" s="75">
        <v>2025.0</v>
      </c>
      <c r="E1824" s="75">
        <v>8.60369052445556E14</v>
      </c>
      <c r="F1824" s="76" t="s">
        <v>326</v>
      </c>
      <c r="G1824" s="68" t="s">
        <v>328</v>
      </c>
      <c r="H1824" s="69">
        <v>45658.0</v>
      </c>
      <c r="I1824" s="78" t="s">
        <v>337</v>
      </c>
      <c r="J1824" s="78"/>
      <c r="K1824" s="79"/>
      <c r="L1824" s="80"/>
      <c r="M1824" s="81"/>
    </row>
    <row r="1825">
      <c r="A1825" s="75" t="s">
        <v>3984</v>
      </c>
      <c r="B1825" s="75" t="s">
        <v>319</v>
      </c>
      <c r="C1825" s="75" t="s">
        <v>1247</v>
      </c>
      <c r="D1825" s="75">
        <v>2025.0</v>
      </c>
      <c r="E1825" s="75">
        <v>8.60369052707302E14</v>
      </c>
      <c r="F1825" s="76" t="s">
        <v>326</v>
      </c>
      <c r="G1825" s="68" t="s">
        <v>328</v>
      </c>
      <c r="H1825" s="69">
        <v>45658.0</v>
      </c>
      <c r="I1825" s="78" t="s">
        <v>337</v>
      </c>
      <c r="J1825" s="78"/>
      <c r="K1825" s="79"/>
      <c r="L1825" s="80"/>
      <c r="M1825" s="81"/>
    </row>
    <row r="1826">
      <c r="A1826" s="75" t="s">
        <v>3985</v>
      </c>
      <c r="B1826" s="75" t="s">
        <v>319</v>
      </c>
      <c r="C1826" s="75" t="s">
        <v>1247</v>
      </c>
      <c r="D1826" s="75">
        <v>2025.0</v>
      </c>
      <c r="E1826" s="75">
        <v>8.60369052692041E14</v>
      </c>
      <c r="F1826" s="76" t="s">
        <v>326</v>
      </c>
      <c r="G1826" s="68" t="s">
        <v>328</v>
      </c>
      <c r="H1826" s="69">
        <v>45658.0</v>
      </c>
      <c r="I1826" s="78" t="s">
        <v>337</v>
      </c>
      <c r="J1826" s="78"/>
      <c r="K1826" s="79"/>
      <c r="L1826" s="80"/>
      <c r="M1826" s="81"/>
    </row>
    <row r="1827">
      <c r="A1827" s="75" t="s">
        <v>3986</v>
      </c>
      <c r="B1827" s="75" t="s">
        <v>319</v>
      </c>
      <c r="C1827" s="75" t="s">
        <v>1247</v>
      </c>
      <c r="D1827" s="75">
        <v>2025.0</v>
      </c>
      <c r="E1827" s="75">
        <v>8.60369052703913E14</v>
      </c>
      <c r="F1827" s="76" t="s">
        <v>326</v>
      </c>
      <c r="G1827" s="68" t="s">
        <v>328</v>
      </c>
      <c r="H1827" s="69">
        <v>45658.0</v>
      </c>
      <c r="I1827" s="78" t="s">
        <v>337</v>
      </c>
      <c r="J1827" s="78"/>
      <c r="K1827" s="79"/>
      <c r="L1827" s="80"/>
      <c r="M1827" s="81"/>
    </row>
    <row r="1828">
      <c r="A1828" s="75" t="s">
        <v>3987</v>
      </c>
      <c r="B1828" s="75" t="s">
        <v>319</v>
      </c>
      <c r="C1828" s="75" t="s">
        <v>1247</v>
      </c>
      <c r="D1828" s="75">
        <v>2025.0</v>
      </c>
      <c r="E1828" s="75">
        <v>8.60369052698758E14</v>
      </c>
      <c r="F1828" s="76" t="s">
        <v>326</v>
      </c>
      <c r="G1828" s="68" t="s">
        <v>328</v>
      </c>
      <c r="H1828" s="69">
        <v>45658.0</v>
      </c>
      <c r="I1828" s="78" t="s">
        <v>337</v>
      </c>
      <c r="J1828" s="78"/>
      <c r="K1828" s="79"/>
      <c r="L1828" s="80"/>
      <c r="M1828" s="81"/>
    </row>
    <row r="1829">
      <c r="A1829" s="75" t="s">
        <v>3988</v>
      </c>
      <c r="B1829" s="75" t="s">
        <v>319</v>
      </c>
      <c r="C1829" s="75" t="s">
        <v>1247</v>
      </c>
      <c r="D1829" s="75">
        <v>2025.0</v>
      </c>
      <c r="E1829" s="75">
        <v>8.60369052698774E14</v>
      </c>
      <c r="F1829" s="76" t="s">
        <v>326</v>
      </c>
      <c r="G1829" s="68" t="s">
        <v>328</v>
      </c>
      <c r="H1829" s="69">
        <v>45658.0</v>
      </c>
      <c r="I1829" s="78" t="s">
        <v>337</v>
      </c>
      <c r="J1829" s="78"/>
      <c r="K1829" s="79"/>
      <c r="L1829" s="80"/>
      <c r="M1829" s="81"/>
    </row>
    <row r="1830">
      <c r="A1830" s="75" t="s">
        <v>3989</v>
      </c>
      <c r="B1830" s="75" t="s">
        <v>319</v>
      </c>
      <c r="C1830" s="75" t="s">
        <v>1247</v>
      </c>
      <c r="D1830" s="75">
        <v>2025.0</v>
      </c>
      <c r="E1830" s="75">
        <v>8.60369052431051E14</v>
      </c>
      <c r="F1830" s="76" t="s">
        <v>326</v>
      </c>
      <c r="G1830" s="68" t="s">
        <v>328</v>
      </c>
      <c r="H1830" s="69">
        <v>45658.0</v>
      </c>
      <c r="I1830" s="78" t="s">
        <v>337</v>
      </c>
      <c r="J1830" s="78"/>
      <c r="K1830" s="79"/>
      <c r="L1830" s="80"/>
      <c r="M1830" s="81"/>
    </row>
    <row r="1831">
      <c r="A1831" s="75" t="s">
        <v>3990</v>
      </c>
      <c r="B1831" s="75" t="s">
        <v>319</v>
      </c>
      <c r="C1831" s="75" t="s">
        <v>1247</v>
      </c>
      <c r="D1831" s="75">
        <v>2025.0</v>
      </c>
      <c r="E1831" s="75">
        <v>8.60369052169628E14</v>
      </c>
      <c r="F1831" s="76" t="s">
        <v>326</v>
      </c>
      <c r="G1831" s="68" t="s">
        <v>328</v>
      </c>
      <c r="H1831" s="69">
        <v>45658.0</v>
      </c>
      <c r="I1831" s="78" t="s">
        <v>337</v>
      </c>
      <c r="J1831" s="78"/>
      <c r="K1831" s="79"/>
      <c r="L1831" s="80"/>
      <c r="M1831" s="81"/>
    </row>
    <row r="1832">
      <c r="A1832" s="75" t="s">
        <v>3991</v>
      </c>
      <c r="B1832" s="75" t="s">
        <v>319</v>
      </c>
      <c r="C1832" s="75" t="s">
        <v>1247</v>
      </c>
      <c r="D1832" s="75">
        <v>2025.0</v>
      </c>
      <c r="E1832" s="75">
        <v>8.60369052707187E14</v>
      </c>
      <c r="F1832" s="76" t="s">
        <v>326</v>
      </c>
      <c r="G1832" s="68" t="s">
        <v>328</v>
      </c>
      <c r="H1832" s="69">
        <v>45658.0</v>
      </c>
      <c r="I1832" s="78" t="s">
        <v>337</v>
      </c>
      <c r="J1832" s="78"/>
      <c r="K1832" s="79"/>
      <c r="L1832" s="80"/>
      <c r="M1832" s="81"/>
    </row>
    <row r="1833">
      <c r="A1833" s="75" t="s">
        <v>3992</v>
      </c>
      <c r="B1833" s="75" t="s">
        <v>319</v>
      </c>
      <c r="C1833" s="75" t="s">
        <v>1247</v>
      </c>
      <c r="D1833" s="75">
        <v>2025.0</v>
      </c>
      <c r="E1833" s="75">
        <v>8.60369052703202E14</v>
      </c>
      <c r="F1833" s="76" t="s">
        <v>326</v>
      </c>
      <c r="G1833" s="68" t="s">
        <v>328</v>
      </c>
      <c r="H1833" s="69">
        <v>45658.0</v>
      </c>
      <c r="I1833" s="78" t="s">
        <v>337</v>
      </c>
      <c r="J1833" s="78"/>
      <c r="K1833" s="79"/>
      <c r="L1833" s="80"/>
      <c r="M1833" s="81"/>
    </row>
    <row r="1834">
      <c r="A1834" s="75" t="s">
        <v>3993</v>
      </c>
      <c r="B1834" s="75" t="s">
        <v>319</v>
      </c>
      <c r="C1834" s="75" t="s">
        <v>1247</v>
      </c>
      <c r="D1834" s="75">
        <v>2025.0</v>
      </c>
      <c r="E1834" s="75">
        <v>8.6036905334592E14</v>
      </c>
      <c r="F1834" s="76" t="s">
        <v>326</v>
      </c>
      <c r="G1834" s="68" t="s">
        <v>328</v>
      </c>
      <c r="H1834" s="69">
        <v>45658.0</v>
      </c>
      <c r="I1834" s="78" t="s">
        <v>337</v>
      </c>
      <c r="J1834" s="78"/>
      <c r="K1834" s="79"/>
      <c r="L1834" s="80"/>
      <c r="M1834" s="81"/>
    </row>
    <row r="1835">
      <c r="A1835" s="75" t="s">
        <v>3994</v>
      </c>
      <c r="B1835" s="75" t="s">
        <v>319</v>
      </c>
      <c r="C1835" s="75" t="s">
        <v>1247</v>
      </c>
      <c r="D1835" s="75">
        <v>2025.0</v>
      </c>
      <c r="E1835" s="75">
        <v>8.60369052157367E14</v>
      </c>
      <c r="F1835" s="76" t="s">
        <v>398</v>
      </c>
      <c r="G1835" s="68" t="s">
        <v>328</v>
      </c>
      <c r="H1835" s="69">
        <v>45658.0</v>
      </c>
      <c r="I1835" s="78" t="s">
        <v>337</v>
      </c>
      <c r="J1835" s="78"/>
      <c r="K1835" s="79"/>
      <c r="L1835" s="80"/>
      <c r="M1835" s="81"/>
    </row>
    <row r="1836">
      <c r="A1836" s="75" t="s">
        <v>3995</v>
      </c>
      <c r="B1836" s="75" t="s">
        <v>319</v>
      </c>
      <c r="C1836" s="75" t="s">
        <v>1247</v>
      </c>
      <c r="D1836" s="75">
        <v>2025.0</v>
      </c>
      <c r="E1836" s="75">
        <v>8.60369052689971E14</v>
      </c>
      <c r="F1836" s="76" t="s">
        <v>326</v>
      </c>
      <c r="G1836" s="68" t="s">
        <v>328</v>
      </c>
      <c r="H1836" s="69">
        <v>45658.0</v>
      </c>
      <c r="I1836" s="78" t="s">
        <v>337</v>
      </c>
      <c r="J1836" s="78"/>
      <c r="K1836" s="79"/>
      <c r="L1836" s="80"/>
      <c r="M1836" s="81"/>
    </row>
    <row r="1837">
      <c r="A1837" s="75" t="s">
        <v>3996</v>
      </c>
      <c r="B1837" s="75"/>
      <c r="C1837" s="75"/>
      <c r="D1837" s="75"/>
      <c r="E1837" s="75">
        <v>8.6036905215438E14</v>
      </c>
      <c r="F1837" s="221"/>
      <c r="G1837" s="68" t="s">
        <v>3997</v>
      </c>
      <c r="H1837" s="69">
        <v>45658.0</v>
      </c>
      <c r="I1837" s="78" t="s">
        <v>2065</v>
      </c>
      <c r="J1837" s="78"/>
      <c r="K1837" s="79"/>
      <c r="L1837" s="80"/>
      <c r="M1837" s="81"/>
    </row>
    <row r="1838">
      <c r="A1838" s="65" t="s">
        <v>3998</v>
      </c>
      <c r="B1838" s="65" t="s">
        <v>389</v>
      </c>
      <c r="C1838" s="65" t="s">
        <v>1292</v>
      </c>
      <c r="D1838" s="65">
        <v>2023.0</v>
      </c>
      <c r="E1838" s="65">
        <v>8.60369052157417E14</v>
      </c>
      <c r="F1838" s="205" t="s">
        <v>398</v>
      </c>
      <c r="G1838" s="192" t="s">
        <v>664</v>
      </c>
      <c r="H1838" s="69">
        <v>45658.0</v>
      </c>
      <c r="I1838" s="65" t="s">
        <v>337</v>
      </c>
      <c r="J1838" s="71"/>
      <c r="K1838" s="73"/>
      <c r="L1838" s="73"/>
      <c r="M1838" s="73"/>
    </row>
    <row r="1839">
      <c r="A1839" s="75" t="s">
        <v>3999</v>
      </c>
      <c r="B1839" s="75"/>
      <c r="C1839" s="75"/>
      <c r="D1839" s="75"/>
      <c r="E1839" s="75">
        <v>8.6036905215457E14</v>
      </c>
      <c r="F1839" s="221"/>
      <c r="G1839" s="68" t="s">
        <v>696</v>
      </c>
      <c r="H1839" s="69">
        <v>45658.0</v>
      </c>
      <c r="I1839" s="78" t="s">
        <v>2065</v>
      </c>
      <c r="J1839" s="78"/>
      <c r="K1839" s="79"/>
      <c r="L1839" s="80"/>
      <c r="M1839" s="81"/>
    </row>
    <row r="1840">
      <c r="A1840" s="75" t="s">
        <v>4000</v>
      </c>
      <c r="B1840" s="75"/>
      <c r="C1840" s="75"/>
      <c r="D1840" s="75"/>
      <c r="E1840" s="75">
        <v>8.60369052159991E14</v>
      </c>
      <c r="F1840" s="221"/>
      <c r="G1840" s="68" t="s">
        <v>696</v>
      </c>
      <c r="H1840" s="69">
        <v>45658.0</v>
      </c>
      <c r="I1840" s="78" t="s">
        <v>2065</v>
      </c>
      <c r="J1840" s="78"/>
      <c r="K1840" s="79"/>
      <c r="L1840" s="80"/>
      <c r="M1840" s="81"/>
    </row>
    <row r="1841">
      <c r="A1841" s="75" t="s">
        <v>4001</v>
      </c>
      <c r="B1841" s="75" t="s">
        <v>319</v>
      </c>
      <c r="C1841" s="75" t="s">
        <v>376</v>
      </c>
      <c r="D1841" s="75">
        <v>2022.0</v>
      </c>
      <c r="E1841" s="75">
        <v>8.60369054740426E14</v>
      </c>
      <c r="F1841" s="76" t="s">
        <v>326</v>
      </c>
      <c r="G1841" s="68" t="s">
        <v>768</v>
      </c>
      <c r="H1841" s="69">
        <v>45658.0</v>
      </c>
      <c r="I1841" s="78" t="s">
        <v>337</v>
      </c>
      <c r="J1841" s="78"/>
      <c r="K1841" s="79"/>
      <c r="L1841" s="80"/>
      <c r="M1841" s="81"/>
    </row>
    <row r="1842">
      <c r="A1842" s="75" t="s">
        <v>4002</v>
      </c>
      <c r="B1842" s="75" t="s">
        <v>319</v>
      </c>
      <c r="C1842" s="75" t="s">
        <v>1898</v>
      </c>
      <c r="D1842" s="75">
        <v>2018.0</v>
      </c>
      <c r="E1842" s="75">
        <v>8.60369052169289E14</v>
      </c>
      <c r="F1842" s="76" t="s">
        <v>326</v>
      </c>
      <c r="G1842" s="68" t="s">
        <v>768</v>
      </c>
      <c r="H1842" s="69">
        <v>45658.0</v>
      </c>
      <c r="I1842" s="78" t="s">
        <v>337</v>
      </c>
      <c r="J1842" s="78"/>
      <c r="K1842" s="79"/>
      <c r="L1842" s="80"/>
      <c r="M1842" s="81"/>
    </row>
    <row r="1843">
      <c r="A1843" s="75" t="s">
        <v>4003</v>
      </c>
      <c r="B1843" s="75" t="s">
        <v>319</v>
      </c>
      <c r="C1843" s="75" t="s">
        <v>376</v>
      </c>
      <c r="D1843" s="75">
        <v>2018.0</v>
      </c>
      <c r="E1843" s="75">
        <v>8.60369054725641E14</v>
      </c>
      <c r="F1843" s="76" t="s">
        <v>326</v>
      </c>
      <c r="G1843" s="68" t="s">
        <v>768</v>
      </c>
      <c r="H1843" s="69">
        <v>45658.0</v>
      </c>
      <c r="I1843" s="78" t="s">
        <v>337</v>
      </c>
      <c r="J1843" s="78"/>
      <c r="K1843" s="79"/>
      <c r="L1843" s="80"/>
      <c r="M1843" s="81"/>
    </row>
    <row r="1844">
      <c r="A1844" s="76" t="s">
        <v>4004</v>
      </c>
      <c r="B1844" s="75" t="s">
        <v>319</v>
      </c>
      <c r="C1844" s="75" t="s">
        <v>376</v>
      </c>
      <c r="D1844" s="75">
        <v>2020.0</v>
      </c>
      <c r="E1844" s="75">
        <v>8.60369054182868E14</v>
      </c>
      <c r="F1844" s="76" t="s">
        <v>326</v>
      </c>
      <c r="G1844" s="68" t="s">
        <v>768</v>
      </c>
      <c r="H1844" s="69">
        <v>45658.0</v>
      </c>
      <c r="I1844" s="78" t="s">
        <v>337</v>
      </c>
      <c r="J1844" s="78"/>
      <c r="K1844" s="79"/>
      <c r="L1844" s="80"/>
      <c r="M1844" s="81"/>
    </row>
    <row r="1845">
      <c r="A1845" s="76" t="s">
        <v>4005</v>
      </c>
      <c r="B1845" s="75" t="s">
        <v>319</v>
      </c>
      <c r="C1845" s="75" t="s">
        <v>376</v>
      </c>
      <c r="D1845" s="75">
        <v>2020.0</v>
      </c>
      <c r="E1845" s="75">
        <v>8.60369054187867E14</v>
      </c>
      <c r="F1845" s="76" t="s">
        <v>326</v>
      </c>
      <c r="G1845" s="68" t="s">
        <v>768</v>
      </c>
      <c r="H1845" s="69">
        <v>45658.0</v>
      </c>
      <c r="I1845" s="78" t="s">
        <v>337</v>
      </c>
      <c r="J1845" s="78"/>
      <c r="K1845" s="79"/>
      <c r="L1845" s="80"/>
      <c r="M1845" s="81"/>
    </row>
    <row r="1846">
      <c r="A1846" s="75" t="s">
        <v>4006</v>
      </c>
      <c r="B1846" s="75" t="s">
        <v>374</v>
      </c>
      <c r="C1846" s="75" t="s">
        <v>469</v>
      </c>
      <c r="D1846" s="75">
        <v>2020.0</v>
      </c>
      <c r="E1846" s="75">
        <v>8.60369054185697E14</v>
      </c>
      <c r="F1846" s="76" t="s">
        <v>326</v>
      </c>
      <c r="G1846" s="68" t="s">
        <v>768</v>
      </c>
      <c r="H1846" s="69">
        <v>45658.0</v>
      </c>
      <c r="I1846" s="78" t="s">
        <v>337</v>
      </c>
      <c r="J1846" s="78"/>
      <c r="K1846" s="79"/>
      <c r="L1846" s="80"/>
      <c r="M1846" s="81"/>
    </row>
    <row r="1847">
      <c r="A1847" s="75" t="s">
        <v>4007</v>
      </c>
      <c r="B1847" s="75" t="s">
        <v>374</v>
      </c>
      <c r="C1847" s="75" t="s">
        <v>469</v>
      </c>
      <c r="D1847" s="75">
        <v>2020.0</v>
      </c>
      <c r="E1847" s="75">
        <v>8.60369054183114E14</v>
      </c>
      <c r="F1847" s="76" t="s">
        <v>326</v>
      </c>
      <c r="G1847" s="68" t="s">
        <v>768</v>
      </c>
      <c r="H1847" s="69">
        <v>45658.0</v>
      </c>
      <c r="I1847" s="78" t="s">
        <v>337</v>
      </c>
      <c r="J1847" s="78"/>
      <c r="K1847" s="79"/>
      <c r="L1847" s="80"/>
      <c r="M1847" s="81"/>
    </row>
    <row r="1848">
      <c r="A1848" s="75" t="s">
        <v>4008</v>
      </c>
      <c r="B1848" s="75" t="s">
        <v>319</v>
      </c>
      <c r="C1848" s="75" t="s">
        <v>376</v>
      </c>
      <c r="D1848" s="75">
        <v>2022.0</v>
      </c>
      <c r="E1848" s="75">
        <v>8.6036905441035E14</v>
      </c>
      <c r="F1848" s="76" t="s">
        <v>326</v>
      </c>
      <c r="G1848" s="68" t="s">
        <v>768</v>
      </c>
      <c r="H1848" s="69">
        <v>45658.0</v>
      </c>
      <c r="I1848" s="78" t="s">
        <v>337</v>
      </c>
      <c r="J1848" s="78"/>
      <c r="K1848" s="79"/>
      <c r="L1848" s="80"/>
      <c r="M1848" s="81"/>
    </row>
    <row r="1849">
      <c r="A1849" s="75" t="s">
        <v>4009</v>
      </c>
      <c r="B1849" s="75" t="s">
        <v>319</v>
      </c>
      <c r="C1849" s="75" t="s">
        <v>376</v>
      </c>
      <c r="D1849" s="75">
        <v>2022.0</v>
      </c>
      <c r="E1849" s="75">
        <v>8.60369054183049E14</v>
      </c>
      <c r="F1849" s="76" t="s">
        <v>326</v>
      </c>
      <c r="G1849" s="68" t="s">
        <v>768</v>
      </c>
      <c r="H1849" s="69">
        <v>45658.0</v>
      </c>
      <c r="I1849" s="78" t="s">
        <v>337</v>
      </c>
      <c r="J1849" s="78"/>
      <c r="K1849" s="79"/>
      <c r="L1849" s="80"/>
      <c r="M1849" s="81"/>
    </row>
    <row r="1850">
      <c r="A1850" s="75" t="s">
        <v>4010</v>
      </c>
      <c r="B1850" s="75" t="s">
        <v>319</v>
      </c>
      <c r="C1850" s="75" t="s">
        <v>376</v>
      </c>
      <c r="D1850" s="75">
        <v>2016.0</v>
      </c>
      <c r="E1850" s="75">
        <v>8.60369054417124E14</v>
      </c>
      <c r="F1850" s="76" t="s">
        <v>326</v>
      </c>
      <c r="G1850" s="68" t="s">
        <v>768</v>
      </c>
      <c r="H1850" s="69">
        <v>45658.0</v>
      </c>
      <c r="I1850" s="78" t="s">
        <v>1240</v>
      </c>
      <c r="J1850" s="78"/>
      <c r="K1850" s="79"/>
      <c r="L1850" s="80"/>
      <c r="M1850" s="81"/>
    </row>
    <row r="1851">
      <c r="A1851" s="76" t="s">
        <v>4011</v>
      </c>
      <c r="B1851" s="75" t="s">
        <v>319</v>
      </c>
      <c r="C1851" s="75" t="s">
        <v>723</v>
      </c>
      <c r="D1851" s="75">
        <v>2024.0</v>
      </c>
      <c r="E1851" s="75">
        <v>8.60369054408701E14</v>
      </c>
      <c r="F1851" s="76" t="s">
        <v>326</v>
      </c>
      <c r="G1851" s="68" t="s">
        <v>768</v>
      </c>
      <c r="H1851" s="69">
        <v>45658.0</v>
      </c>
      <c r="I1851" s="78" t="s">
        <v>337</v>
      </c>
      <c r="J1851" s="78"/>
      <c r="K1851" s="79"/>
      <c r="L1851" s="80"/>
      <c r="M1851" s="81"/>
    </row>
    <row r="1852">
      <c r="A1852" s="75" t="s">
        <v>4012</v>
      </c>
      <c r="B1852" s="75" t="s">
        <v>374</v>
      </c>
      <c r="C1852" s="75" t="s">
        <v>1319</v>
      </c>
      <c r="D1852" s="75">
        <v>2025.0</v>
      </c>
      <c r="E1852" s="75">
        <v>8.60369054408446E14</v>
      </c>
      <c r="F1852" s="76" t="s">
        <v>326</v>
      </c>
      <c r="G1852" s="68" t="s">
        <v>768</v>
      </c>
      <c r="H1852" s="69">
        <v>45658.0</v>
      </c>
      <c r="I1852" s="78" t="s">
        <v>337</v>
      </c>
      <c r="J1852" s="78"/>
      <c r="K1852" s="79"/>
      <c r="L1852" s="80"/>
      <c r="M1852" s="81"/>
    </row>
    <row r="1853">
      <c r="A1853" s="76" t="s">
        <v>4013</v>
      </c>
      <c r="B1853" s="75" t="s">
        <v>374</v>
      </c>
      <c r="C1853" s="75" t="s">
        <v>469</v>
      </c>
      <c r="D1853" s="75">
        <v>2020.0</v>
      </c>
      <c r="E1853" s="75">
        <v>8.60369054763477E14</v>
      </c>
      <c r="F1853" s="76" t="s">
        <v>326</v>
      </c>
      <c r="G1853" s="68" t="s">
        <v>768</v>
      </c>
      <c r="H1853" s="69">
        <v>45658.0</v>
      </c>
      <c r="I1853" s="78" t="s">
        <v>337</v>
      </c>
      <c r="J1853" s="78"/>
      <c r="K1853" s="79"/>
      <c r="L1853" s="80"/>
      <c r="M1853" s="81"/>
    </row>
    <row r="1854">
      <c r="A1854" s="75" t="s">
        <v>4014</v>
      </c>
      <c r="B1854" s="75" t="s">
        <v>319</v>
      </c>
      <c r="C1854" s="75" t="s">
        <v>397</v>
      </c>
      <c r="D1854" s="75">
        <v>2021.0</v>
      </c>
      <c r="E1854" s="75">
        <v>8.60369052124458E14</v>
      </c>
      <c r="F1854" s="76" t="s">
        <v>398</v>
      </c>
      <c r="G1854" s="68" t="s">
        <v>378</v>
      </c>
      <c r="H1854" s="69">
        <v>45809.0</v>
      </c>
      <c r="I1854" s="78" t="s">
        <v>337</v>
      </c>
      <c r="J1854" s="78"/>
      <c r="K1854" s="79"/>
      <c r="L1854" s="80"/>
      <c r="M1854" s="81"/>
    </row>
    <row r="1855">
      <c r="A1855" s="75" t="s">
        <v>4015</v>
      </c>
      <c r="B1855" s="75" t="s">
        <v>319</v>
      </c>
      <c r="C1855" s="75" t="s">
        <v>723</v>
      </c>
      <c r="D1855" s="78">
        <v>2026.0</v>
      </c>
      <c r="E1855" s="78">
        <v>8.60369051061115E14</v>
      </c>
      <c r="F1855" s="76" t="s">
        <v>326</v>
      </c>
      <c r="G1855" s="68" t="s">
        <v>230</v>
      </c>
      <c r="H1855" s="69">
        <v>46182.0</v>
      </c>
      <c r="I1855" s="78" t="s">
        <v>337</v>
      </c>
      <c r="J1855" s="78"/>
      <c r="K1855" s="79"/>
      <c r="L1855" s="80"/>
      <c r="M1855" s="81"/>
    </row>
    <row r="1856">
      <c r="A1856" s="75" t="s">
        <v>4016</v>
      </c>
      <c r="B1856" s="75"/>
      <c r="C1856" s="75"/>
      <c r="D1856" s="75"/>
      <c r="E1856" s="75">
        <v>8.60369052460506E14</v>
      </c>
      <c r="F1856" s="221"/>
      <c r="G1856" s="68" t="s">
        <v>804</v>
      </c>
      <c r="H1856" s="69">
        <v>45658.0</v>
      </c>
      <c r="I1856" s="78" t="s">
        <v>2065</v>
      </c>
      <c r="J1856" s="78"/>
      <c r="K1856" s="79"/>
      <c r="L1856" s="80"/>
      <c r="M1856" s="81"/>
    </row>
    <row r="1857">
      <c r="A1857" s="75" t="s">
        <v>4017</v>
      </c>
      <c r="B1857" s="75"/>
      <c r="C1857" s="75"/>
      <c r="D1857" s="75"/>
      <c r="E1857" s="75">
        <v>8.60369052144134E14</v>
      </c>
      <c r="F1857" s="221"/>
      <c r="G1857" s="68" t="s">
        <v>812</v>
      </c>
      <c r="H1857" s="69">
        <v>45658.0</v>
      </c>
      <c r="I1857" s="78" t="s">
        <v>2065</v>
      </c>
      <c r="J1857" s="78"/>
      <c r="K1857" s="79"/>
      <c r="L1857" s="80"/>
      <c r="M1857" s="81"/>
    </row>
    <row r="1858">
      <c r="A1858" s="75" t="s">
        <v>4018</v>
      </c>
      <c r="B1858" s="75" t="s">
        <v>374</v>
      </c>
      <c r="C1858" s="75" t="s">
        <v>518</v>
      </c>
      <c r="D1858" s="75"/>
      <c r="E1858" s="75">
        <v>8.6036905211614E14</v>
      </c>
      <c r="F1858" s="76" t="s">
        <v>398</v>
      </c>
      <c r="G1858" s="68" t="s">
        <v>378</v>
      </c>
      <c r="H1858" s="69">
        <v>45809.0</v>
      </c>
      <c r="I1858" s="78" t="s">
        <v>337</v>
      </c>
      <c r="J1858" s="78"/>
      <c r="K1858" s="79"/>
      <c r="L1858" s="80"/>
      <c r="M1858" s="81"/>
      <c r="N1858" s="83" t="s">
        <v>380</v>
      </c>
    </row>
    <row r="1859">
      <c r="A1859" s="75" t="s">
        <v>4019</v>
      </c>
      <c r="B1859" s="75"/>
      <c r="C1859" s="75"/>
      <c r="D1859" s="75"/>
      <c r="E1859" s="75">
        <v>8.60369052467691E14</v>
      </c>
      <c r="F1859" s="221"/>
      <c r="G1859" s="68" t="s">
        <v>812</v>
      </c>
      <c r="H1859" s="69">
        <v>45658.0</v>
      </c>
      <c r="I1859" s="78" t="s">
        <v>2065</v>
      </c>
      <c r="J1859" s="78"/>
      <c r="K1859" s="79"/>
      <c r="L1859" s="80"/>
      <c r="M1859" s="81"/>
    </row>
    <row r="1860">
      <c r="A1860" s="75" t="s">
        <v>4020</v>
      </c>
      <c r="B1860" s="75"/>
      <c r="C1860" s="75"/>
      <c r="D1860" s="75"/>
      <c r="E1860" s="75">
        <v>8.60369052144092E14</v>
      </c>
      <c r="F1860" s="221"/>
      <c r="G1860" s="68" t="s">
        <v>812</v>
      </c>
      <c r="H1860" s="69">
        <v>45658.0</v>
      </c>
      <c r="I1860" s="78" t="s">
        <v>2065</v>
      </c>
      <c r="J1860" s="78"/>
      <c r="K1860" s="79"/>
      <c r="L1860" s="80"/>
      <c r="M1860" s="81"/>
    </row>
    <row r="1861">
      <c r="A1861" s="75">
        <v>8.60369054180631E14</v>
      </c>
      <c r="B1861" s="75"/>
      <c r="C1861" s="75"/>
      <c r="D1861" s="75"/>
      <c r="E1861" s="75">
        <v>8.60369054180631E14</v>
      </c>
      <c r="F1861" s="221"/>
      <c r="G1861" s="68"/>
      <c r="H1861" s="69">
        <v>45658.0</v>
      </c>
      <c r="I1861" s="78" t="s">
        <v>2065</v>
      </c>
      <c r="J1861" s="78"/>
      <c r="K1861" s="79"/>
      <c r="L1861" s="80"/>
      <c r="M1861" s="81"/>
    </row>
    <row r="1862">
      <c r="A1862" s="75" t="s">
        <v>4021</v>
      </c>
      <c r="B1862" s="75"/>
      <c r="C1862" s="75"/>
      <c r="D1862" s="75"/>
      <c r="E1862" s="75">
        <v>8.6690106271623E14</v>
      </c>
      <c r="F1862" s="221"/>
      <c r="G1862" s="68"/>
      <c r="H1862" s="69">
        <v>45658.0</v>
      </c>
      <c r="I1862" s="78" t="s">
        <v>2065</v>
      </c>
      <c r="J1862" s="78"/>
      <c r="K1862" s="79"/>
      <c r="L1862" s="80"/>
      <c r="M1862" s="81"/>
    </row>
    <row r="1863">
      <c r="A1863" s="75" t="s">
        <v>4022</v>
      </c>
      <c r="B1863" s="75"/>
      <c r="C1863" s="75"/>
      <c r="D1863" s="75"/>
      <c r="E1863" s="75">
        <v>8.6240607034213E14</v>
      </c>
      <c r="F1863" s="221"/>
      <c r="G1863" s="68"/>
      <c r="H1863" s="69">
        <v>45658.0</v>
      </c>
      <c r="I1863" s="78" t="s">
        <v>2065</v>
      </c>
      <c r="J1863" s="78"/>
      <c r="K1863" s="79"/>
      <c r="L1863" s="80"/>
      <c r="M1863" s="81"/>
    </row>
    <row r="1864">
      <c r="A1864" s="75">
        <v>8.63251073930997E14</v>
      </c>
      <c r="B1864" s="75"/>
      <c r="C1864" s="75"/>
      <c r="D1864" s="75"/>
      <c r="E1864" s="75">
        <v>8.63251073930997E14</v>
      </c>
      <c r="F1864" s="221"/>
      <c r="G1864" s="68"/>
      <c r="H1864" s="69">
        <v>45658.0</v>
      </c>
      <c r="I1864" s="78" t="s">
        <v>2065</v>
      </c>
      <c r="J1864" s="78"/>
      <c r="K1864" s="79"/>
      <c r="L1864" s="80"/>
      <c r="M1864" s="81"/>
    </row>
    <row r="1865">
      <c r="A1865" s="75">
        <v>8.60369054152994E14</v>
      </c>
      <c r="B1865" s="75"/>
      <c r="C1865" s="75"/>
      <c r="D1865" s="75"/>
      <c r="E1865" s="75">
        <v>8.60369054152994E14</v>
      </c>
      <c r="F1865" s="221"/>
      <c r="G1865" s="68"/>
      <c r="H1865" s="69">
        <v>45658.0</v>
      </c>
      <c r="I1865" s="78" t="s">
        <v>2065</v>
      </c>
      <c r="J1865" s="78"/>
      <c r="K1865" s="79"/>
      <c r="L1865" s="80"/>
      <c r="M1865" s="81"/>
    </row>
    <row r="1866">
      <c r="A1866" s="75" t="s">
        <v>4023</v>
      </c>
      <c r="B1866" s="75"/>
      <c r="C1866" s="75"/>
      <c r="D1866" s="75"/>
      <c r="E1866" s="75">
        <v>8.62406070328238E14</v>
      </c>
      <c r="F1866" s="221"/>
      <c r="G1866" s="68"/>
      <c r="H1866" s="69">
        <v>45658.0</v>
      </c>
      <c r="I1866" s="78" t="s">
        <v>2065</v>
      </c>
      <c r="J1866" s="78"/>
      <c r="K1866" s="79"/>
      <c r="L1866" s="80"/>
      <c r="M1866" s="81"/>
    </row>
    <row r="1867">
      <c r="A1867" s="75" t="s">
        <v>4024</v>
      </c>
      <c r="B1867" s="75"/>
      <c r="C1867" s="75"/>
      <c r="D1867" s="75"/>
      <c r="E1867" s="75">
        <v>8.62406070341926E14</v>
      </c>
      <c r="F1867" s="221"/>
      <c r="G1867" s="68"/>
      <c r="H1867" s="69">
        <v>45658.0</v>
      </c>
      <c r="I1867" s="78" t="s">
        <v>2065</v>
      </c>
      <c r="J1867" s="78"/>
      <c r="K1867" s="79"/>
      <c r="L1867" s="80"/>
      <c r="M1867" s="81"/>
    </row>
    <row r="1868">
      <c r="A1868" s="75" t="s">
        <v>4025</v>
      </c>
      <c r="B1868" s="75"/>
      <c r="C1868" s="75"/>
      <c r="D1868" s="75"/>
      <c r="E1868" s="75">
        <v>8.60369052162961E14</v>
      </c>
      <c r="F1868" s="221"/>
      <c r="G1868" s="68"/>
      <c r="H1868" s="69">
        <v>45658.0</v>
      </c>
      <c r="I1868" s="78" t="s">
        <v>2065</v>
      </c>
      <c r="J1868" s="78"/>
      <c r="K1868" s="79"/>
      <c r="L1868" s="80"/>
      <c r="M1868" s="81"/>
    </row>
    <row r="1869">
      <c r="A1869" s="75" t="s">
        <v>4026</v>
      </c>
      <c r="B1869" s="75"/>
      <c r="C1869" s="75"/>
      <c r="D1869" s="75"/>
      <c r="E1869" s="75">
        <v>8.62406070378126E14</v>
      </c>
      <c r="F1869" s="221"/>
      <c r="G1869" s="68"/>
      <c r="H1869" s="69">
        <v>45658.0</v>
      </c>
      <c r="I1869" s="78" t="s">
        <v>2065</v>
      </c>
      <c r="J1869" s="78"/>
      <c r="K1869" s="79"/>
      <c r="L1869" s="80"/>
      <c r="M1869" s="81"/>
    </row>
    <row r="1870">
      <c r="A1870" s="75">
        <v>8.60369051061206E14</v>
      </c>
      <c r="B1870" s="75"/>
      <c r="C1870" s="75"/>
      <c r="D1870" s="75"/>
      <c r="E1870" s="75">
        <v>8.60369051061206E14</v>
      </c>
      <c r="F1870" s="221"/>
      <c r="G1870" s="68"/>
      <c r="H1870" s="69">
        <v>45658.0</v>
      </c>
      <c r="I1870" s="78" t="s">
        <v>2065</v>
      </c>
      <c r="J1870" s="78"/>
      <c r="K1870" s="79"/>
      <c r="L1870" s="80"/>
      <c r="M1870" s="81"/>
    </row>
    <row r="1871">
      <c r="A1871" s="75">
        <v>8.60369054177777E14</v>
      </c>
      <c r="B1871" s="75"/>
      <c r="C1871" s="75"/>
      <c r="D1871" s="75"/>
      <c r="E1871" s="75">
        <v>8.60369054177777E14</v>
      </c>
      <c r="F1871" s="221"/>
      <c r="G1871" s="68"/>
      <c r="H1871" s="69">
        <v>45658.0</v>
      </c>
      <c r="I1871" s="78" t="s">
        <v>2065</v>
      </c>
      <c r="J1871" s="78"/>
      <c r="K1871" s="79"/>
      <c r="L1871" s="80"/>
      <c r="M1871" s="81"/>
    </row>
    <row r="1872">
      <c r="A1872" s="75" t="s">
        <v>4027</v>
      </c>
      <c r="B1872" s="75"/>
      <c r="C1872" s="75"/>
      <c r="D1872" s="75"/>
      <c r="E1872" s="75">
        <v>8.60369052405253E14</v>
      </c>
      <c r="F1872" s="221"/>
      <c r="G1872" s="68"/>
      <c r="H1872" s="69">
        <v>45658.0</v>
      </c>
      <c r="I1872" s="78" t="s">
        <v>2065</v>
      </c>
      <c r="J1872" s="78"/>
      <c r="K1872" s="79"/>
      <c r="L1872" s="80"/>
      <c r="M1872" s="81"/>
    </row>
    <row r="1873">
      <c r="A1873" s="75" t="s">
        <v>4028</v>
      </c>
      <c r="B1873" s="75" t="s">
        <v>319</v>
      </c>
      <c r="C1873" s="75" t="s">
        <v>321</v>
      </c>
      <c r="D1873" s="75">
        <v>2018.0</v>
      </c>
      <c r="E1873" s="75">
        <v>8.60369054743784E14</v>
      </c>
      <c r="F1873" s="76" t="s">
        <v>326</v>
      </c>
      <c r="G1873" s="68" t="s">
        <v>328</v>
      </c>
      <c r="H1873" s="69">
        <v>46076.0</v>
      </c>
      <c r="I1873" s="78" t="s">
        <v>337</v>
      </c>
      <c r="J1873" s="78"/>
      <c r="K1873" s="79"/>
      <c r="L1873" s="80"/>
      <c r="M1873" s="81"/>
    </row>
    <row r="1874">
      <c r="A1874" s="75" t="s">
        <v>4029</v>
      </c>
      <c r="B1874" s="75"/>
      <c r="C1874" s="75"/>
      <c r="D1874" s="75"/>
      <c r="E1874" s="75">
        <v>8.60369052423975E14</v>
      </c>
      <c r="F1874" s="221"/>
      <c r="G1874" s="68"/>
      <c r="H1874" s="69">
        <v>45658.0</v>
      </c>
      <c r="I1874" s="78" t="s">
        <v>2065</v>
      </c>
      <c r="J1874" s="78"/>
      <c r="K1874" s="79"/>
      <c r="L1874" s="80"/>
      <c r="M1874" s="81"/>
    </row>
    <row r="1875">
      <c r="A1875" s="75" t="s">
        <v>4030</v>
      </c>
      <c r="B1875" s="75"/>
      <c r="C1875" s="75"/>
      <c r="D1875" s="75"/>
      <c r="E1875" s="75">
        <v>8.60369052157565E14</v>
      </c>
      <c r="F1875" s="221"/>
      <c r="G1875" s="68"/>
      <c r="H1875" s="69">
        <v>45658.0</v>
      </c>
      <c r="I1875" s="78" t="s">
        <v>2065</v>
      </c>
      <c r="J1875" s="78"/>
      <c r="K1875" s="79"/>
      <c r="L1875" s="80"/>
      <c r="M1875" s="81"/>
    </row>
    <row r="1876">
      <c r="A1876" s="75">
        <v>8.60369054729874E14</v>
      </c>
      <c r="B1876" s="75"/>
      <c r="C1876" s="75"/>
      <c r="D1876" s="75"/>
      <c r="E1876" s="75">
        <v>8.60369054729874E14</v>
      </c>
      <c r="F1876" s="221"/>
      <c r="G1876" s="242" t="s">
        <v>4031</v>
      </c>
      <c r="H1876" s="69">
        <v>45658.0</v>
      </c>
      <c r="I1876" s="78" t="s">
        <v>2065</v>
      </c>
      <c r="J1876" s="78" t="s">
        <v>4032</v>
      </c>
      <c r="K1876" s="79"/>
      <c r="L1876" s="80"/>
      <c r="M1876" s="81"/>
    </row>
    <row r="1877">
      <c r="A1877" s="75">
        <v>8.60369054197338E14</v>
      </c>
      <c r="B1877" s="75"/>
      <c r="C1877" s="75"/>
      <c r="D1877" s="75"/>
      <c r="E1877" s="75">
        <v>8.60369054197338E14</v>
      </c>
      <c r="F1877" s="221"/>
      <c r="G1877" s="68"/>
      <c r="H1877" s="69">
        <v>45658.0</v>
      </c>
      <c r="I1877" s="78" t="s">
        <v>2065</v>
      </c>
      <c r="J1877" s="78"/>
      <c r="K1877" s="79"/>
      <c r="L1877" s="80"/>
      <c r="M1877" s="81"/>
    </row>
    <row r="1878">
      <c r="A1878" s="75">
        <v>8.60369054185176E14</v>
      </c>
      <c r="B1878" s="75"/>
      <c r="C1878" s="75"/>
      <c r="D1878" s="75"/>
      <c r="E1878" s="75">
        <v>8.60369054185176E14</v>
      </c>
      <c r="F1878" s="221"/>
      <c r="G1878" s="68"/>
      <c r="H1878" s="69">
        <v>45658.0</v>
      </c>
      <c r="I1878" s="78" t="s">
        <v>2065</v>
      </c>
      <c r="J1878" s="78"/>
      <c r="K1878" s="79"/>
      <c r="L1878" s="80"/>
      <c r="M1878" s="81"/>
    </row>
    <row r="1879">
      <c r="A1879" s="75">
        <v>8.60369052457007E14</v>
      </c>
      <c r="B1879" s="75"/>
      <c r="C1879" s="75"/>
      <c r="D1879" s="75"/>
      <c r="E1879" s="75">
        <v>8.60369052457007E14</v>
      </c>
      <c r="F1879" s="221"/>
      <c r="G1879" s="68"/>
      <c r="H1879" s="69">
        <v>45658.0</v>
      </c>
      <c r="I1879" s="78" t="s">
        <v>2065</v>
      </c>
      <c r="J1879" s="78"/>
      <c r="K1879" s="79"/>
      <c r="L1879" s="80"/>
      <c r="M1879" s="81"/>
    </row>
    <row r="1880">
      <c r="A1880" s="75" t="s">
        <v>4033</v>
      </c>
      <c r="B1880" s="75" t="s">
        <v>319</v>
      </c>
      <c r="C1880" s="75" t="s">
        <v>1247</v>
      </c>
      <c r="D1880" s="75">
        <v>2025.0</v>
      </c>
      <c r="E1880" s="75">
        <v>8.60369052439872E14</v>
      </c>
      <c r="F1880" s="76" t="s">
        <v>326</v>
      </c>
      <c r="G1880" s="68" t="s">
        <v>328</v>
      </c>
      <c r="H1880" s="69">
        <v>45658.0</v>
      </c>
      <c r="I1880" s="78" t="s">
        <v>337</v>
      </c>
      <c r="J1880" s="78"/>
      <c r="K1880" s="79"/>
      <c r="L1880" s="80"/>
      <c r="M1880" s="81"/>
    </row>
    <row r="1881">
      <c r="A1881" s="75">
        <v>8.60369054404643E14</v>
      </c>
      <c r="B1881" s="75"/>
      <c r="C1881" s="75"/>
      <c r="D1881" s="75"/>
      <c r="E1881" s="75">
        <v>8.60369054404643E14</v>
      </c>
      <c r="F1881" s="221"/>
      <c r="G1881" s="68"/>
      <c r="H1881" s="69">
        <v>45658.0</v>
      </c>
      <c r="I1881" s="78" t="s">
        <v>2065</v>
      </c>
      <c r="J1881" s="78"/>
      <c r="K1881" s="79"/>
      <c r="L1881" s="80"/>
      <c r="M1881" s="81"/>
    </row>
    <row r="1882">
      <c r="A1882" s="75" t="s">
        <v>4034</v>
      </c>
      <c r="B1882" s="75"/>
      <c r="C1882" s="75"/>
      <c r="D1882" s="75"/>
      <c r="E1882" s="75">
        <v>8.63251073930674E14</v>
      </c>
      <c r="F1882" s="221"/>
      <c r="G1882" s="68"/>
      <c r="H1882" s="69">
        <v>45658.0</v>
      </c>
      <c r="I1882" s="78" t="s">
        <v>2065</v>
      </c>
      <c r="J1882" s="78"/>
      <c r="K1882" s="79"/>
      <c r="L1882" s="80"/>
      <c r="M1882" s="81"/>
    </row>
    <row r="1883">
      <c r="A1883" s="75">
        <v>8.60369054192008E14</v>
      </c>
      <c r="B1883" s="75"/>
      <c r="C1883" s="75"/>
      <c r="D1883" s="75"/>
      <c r="E1883" s="75">
        <v>8.60369054192008E14</v>
      </c>
      <c r="F1883" s="221"/>
      <c r="G1883" s="68"/>
      <c r="H1883" s="69">
        <v>45658.0</v>
      </c>
      <c r="I1883" s="78" t="s">
        <v>2065</v>
      </c>
      <c r="J1883" s="78"/>
      <c r="K1883" s="79"/>
      <c r="L1883" s="80"/>
      <c r="M1883" s="81"/>
    </row>
    <row r="1884">
      <c r="A1884" s="75">
        <v>8.60369054172174E14</v>
      </c>
      <c r="B1884" s="75"/>
      <c r="C1884" s="75"/>
      <c r="D1884" s="75"/>
      <c r="E1884" s="75">
        <v>8.60369054172174E14</v>
      </c>
      <c r="F1884" s="221"/>
      <c r="G1884" s="68"/>
      <c r="H1884" s="69">
        <v>45658.0</v>
      </c>
      <c r="I1884" s="78" t="s">
        <v>2065</v>
      </c>
      <c r="J1884" s="78"/>
      <c r="K1884" s="79"/>
      <c r="L1884" s="80"/>
      <c r="M1884" s="81"/>
    </row>
    <row r="1885">
      <c r="A1885" s="75">
        <v>8.63719064046908E14</v>
      </c>
      <c r="B1885" s="75"/>
      <c r="C1885" s="75"/>
      <c r="D1885" s="75"/>
      <c r="E1885" s="75">
        <v>8.63719064046908E14</v>
      </c>
      <c r="F1885" s="221"/>
      <c r="G1885" s="68"/>
      <c r="H1885" s="69">
        <v>45658.0</v>
      </c>
      <c r="I1885" s="78" t="s">
        <v>2065</v>
      </c>
      <c r="J1885" s="78"/>
      <c r="K1885" s="79"/>
      <c r="L1885" s="80"/>
      <c r="M1885" s="81"/>
    </row>
    <row r="1886">
      <c r="A1886" s="75" t="s">
        <v>4035</v>
      </c>
      <c r="B1886" s="75" t="s">
        <v>884</v>
      </c>
      <c r="C1886" s="75" t="s">
        <v>1310</v>
      </c>
      <c r="D1886" s="75">
        <v>20222.0</v>
      </c>
      <c r="E1886" s="75">
        <v>8.60369054740467E14</v>
      </c>
      <c r="F1886" s="76" t="s">
        <v>326</v>
      </c>
      <c r="G1886" s="68" t="s">
        <v>230</v>
      </c>
      <c r="H1886" s="69">
        <v>46076.0</v>
      </c>
      <c r="I1886" s="78" t="s">
        <v>337</v>
      </c>
      <c r="J1886" s="78"/>
      <c r="K1886" s="79"/>
      <c r="L1886" s="80"/>
      <c r="M1886" s="81"/>
    </row>
    <row r="1887">
      <c r="A1887" s="75">
        <v>8.60369054407489E14</v>
      </c>
      <c r="B1887" s="75"/>
      <c r="C1887" s="75"/>
      <c r="D1887" s="75"/>
      <c r="E1887" s="75">
        <v>8.60369054407489E14</v>
      </c>
      <c r="F1887" s="221"/>
      <c r="G1887" s="68"/>
      <c r="H1887" s="69">
        <v>45658.0</v>
      </c>
      <c r="I1887" s="78" t="s">
        <v>2065</v>
      </c>
      <c r="J1887" s="78"/>
      <c r="K1887" s="79"/>
      <c r="L1887" s="80"/>
      <c r="M1887" s="81"/>
    </row>
    <row r="1888">
      <c r="A1888" s="75" t="s">
        <v>4036</v>
      </c>
      <c r="B1888" s="75" t="s">
        <v>389</v>
      </c>
      <c r="C1888" s="75" t="s">
        <v>1292</v>
      </c>
      <c r="D1888" s="75">
        <v>2025.0</v>
      </c>
      <c r="E1888" s="75">
        <v>8.60369054759913E14</v>
      </c>
      <c r="F1888" s="76" t="s">
        <v>326</v>
      </c>
      <c r="G1888" s="68" t="s">
        <v>642</v>
      </c>
      <c r="H1888" s="69">
        <v>46077.0</v>
      </c>
      <c r="I1888" s="78" t="s">
        <v>337</v>
      </c>
      <c r="J1888" s="78"/>
      <c r="K1888" s="79"/>
      <c r="L1888" s="80"/>
      <c r="M1888" s="81"/>
    </row>
    <row r="1889">
      <c r="A1889" s="75">
        <v>8.624060703781E14</v>
      </c>
      <c r="B1889" s="75"/>
      <c r="C1889" s="75"/>
      <c r="D1889" s="75"/>
      <c r="E1889" s="75">
        <v>8.624060703781E14</v>
      </c>
      <c r="F1889" s="221"/>
      <c r="G1889" s="68"/>
      <c r="H1889" s="69">
        <v>45658.0</v>
      </c>
      <c r="I1889" s="78" t="s">
        <v>2065</v>
      </c>
      <c r="J1889" s="78"/>
      <c r="K1889" s="79"/>
      <c r="L1889" s="80"/>
      <c r="M1889" s="81"/>
    </row>
    <row r="1890">
      <c r="A1890" s="75">
        <v>8.60369054181605E14</v>
      </c>
      <c r="B1890" s="75"/>
      <c r="C1890" s="75"/>
      <c r="D1890" s="75"/>
      <c r="E1890" s="75">
        <v>8.60369054181605E14</v>
      </c>
      <c r="F1890" s="221"/>
      <c r="G1890" s="68"/>
      <c r="H1890" s="69">
        <v>45658.0</v>
      </c>
      <c r="I1890" s="78" t="s">
        <v>2065</v>
      </c>
      <c r="J1890" s="78"/>
      <c r="K1890" s="79"/>
      <c r="L1890" s="80"/>
      <c r="M1890" s="81"/>
    </row>
    <row r="1891">
      <c r="A1891" s="65" t="s">
        <v>4037</v>
      </c>
      <c r="B1891" s="65" t="s">
        <v>319</v>
      </c>
      <c r="C1891" s="65" t="s">
        <v>2449</v>
      </c>
      <c r="D1891" s="65">
        <v>2020.0</v>
      </c>
      <c r="E1891" s="65">
        <v>8.60369054168586E14</v>
      </c>
      <c r="F1891" s="65" t="s">
        <v>326</v>
      </c>
      <c r="G1891" s="192" t="s">
        <v>328</v>
      </c>
      <c r="H1891" s="69">
        <v>45938.0</v>
      </c>
      <c r="I1891" s="65" t="s">
        <v>337</v>
      </c>
      <c r="J1891" s="71"/>
      <c r="K1891" s="65" t="s">
        <v>4038</v>
      </c>
      <c r="L1891" s="73"/>
      <c r="M1891" s="73" t="s">
        <v>338</v>
      </c>
    </row>
    <row r="1892">
      <c r="A1892" s="75">
        <v>8.60369052417043E14</v>
      </c>
      <c r="B1892" s="75"/>
      <c r="C1892" s="75"/>
      <c r="D1892" s="75"/>
      <c r="E1892" s="75">
        <v>8.60369052417043E14</v>
      </c>
      <c r="F1892" s="221"/>
      <c r="G1892" s="68"/>
      <c r="H1892" s="69">
        <v>45658.0</v>
      </c>
      <c r="I1892" s="78" t="s">
        <v>2065</v>
      </c>
      <c r="J1892" s="78"/>
      <c r="K1892" s="79"/>
      <c r="L1892" s="80"/>
      <c r="M1892" s="81"/>
    </row>
    <row r="1893">
      <c r="A1893" s="75">
        <v>8.60369052472121E14</v>
      </c>
      <c r="B1893" s="75"/>
      <c r="C1893" s="75"/>
      <c r="D1893" s="75"/>
      <c r="E1893" s="75">
        <v>8.60369052472121E14</v>
      </c>
      <c r="F1893" s="221"/>
      <c r="G1893" s="68"/>
      <c r="H1893" s="69">
        <v>45658.0</v>
      </c>
      <c r="I1893" s="78" t="s">
        <v>2065</v>
      </c>
      <c r="J1893" s="78"/>
      <c r="K1893" s="79"/>
      <c r="L1893" s="80"/>
      <c r="M1893" s="81"/>
    </row>
    <row r="1894">
      <c r="A1894" s="75">
        <v>8.60369054415474E14</v>
      </c>
      <c r="B1894" s="75"/>
      <c r="C1894" s="75"/>
      <c r="D1894" s="75"/>
      <c r="E1894" s="75">
        <v>8.60369054415474E14</v>
      </c>
      <c r="F1894" s="221"/>
      <c r="G1894" s="68"/>
      <c r="H1894" s="69">
        <v>45658.0</v>
      </c>
      <c r="I1894" s="78" t="s">
        <v>2065</v>
      </c>
      <c r="J1894" s="78"/>
      <c r="K1894" s="79"/>
      <c r="L1894" s="80"/>
      <c r="M1894" s="81"/>
    </row>
    <row r="1895">
      <c r="A1895" s="75" t="s">
        <v>4039</v>
      </c>
      <c r="B1895" s="75" t="s">
        <v>319</v>
      </c>
      <c r="C1895" s="75" t="s">
        <v>1247</v>
      </c>
      <c r="D1895" s="75">
        <v>2025.0</v>
      </c>
      <c r="E1895" s="75">
        <v>8.60369052422241E14</v>
      </c>
      <c r="F1895" s="76" t="s">
        <v>326</v>
      </c>
      <c r="G1895" s="68" t="s">
        <v>328</v>
      </c>
      <c r="H1895" s="69">
        <v>45658.0</v>
      </c>
      <c r="I1895" s="78" t="s">
        <v>337</v>
      </c>
      <c r="J1895" s="78"/>
      <c r="K1895" s="79"/>
      <c r="L1895" s="80"/>
      <c r="M1895" s="81"/>
    </row>
    <row r="1896">
      <c r="A1896" s="75">
        <v>8.63251073931003E14</v>
      </c>
      <c r="B1896" s="75"/>
      <c r="C1896" s="75"/>
      <c r="D1896" s="75"/>
      <c r="E1896" s="75">
        <v>8.63251073931003E14</v>
      </c>
      <c r="F1896" s="221"/>
      <c r="G1896" s="68"/>
      <c r="H1896" s="69">
        <v>45658.0</v>
      </c>
      <c r="I1896" s="78" t="s">
        <v>2065</v>
      </c>
      <c r="J1896" s="78"/>
      <c r="K1896" s="79"/>
      <c r="L1896" s="80"/>
      <c r="M1896" s="81"/>
    </row>
    <row r="1897">
      <c r="A1897" s="75" t="s">
        <v>4040</v>
      </c>
      <c r="B1897" s="75" t="s">
        <v>389</v>
      </c>
      <c r="C1897" s="195" t="s">
        <v>1292</v>
      </c>
      <c r="D1897" s="75">
        <v>2023.0</v>
      </c>
      <c r="E1897" s="75">
        <v>8.60369052406053E14</v>
      </c>
      <c r="F1897" s="76" t="s">
        <v>398</v>
      </c>
      <c r="G1897" s="68" t="s">
        <v>328</v>
      </c>
      <c r="H1897" s="69">
        <v>45658.0</v>
      </c>
      <c r="I1897" s="78" t="s">
        <v>337</v>
      </c>
      <c r="J1897" s="78"/>
      <c r="K1897" s="79"/>
      <c r="L1897" s="80"/>
      <c r="M1897" s="81"/>
    </row>
    <row r="1898">
      <c r="A1898" s="75">
        <v>8.60369052406269E14</v>
      </c>
      <c r="B1898" s="75"/>
      <c r="C1898" s="75"/>
      <c r="D1898" s="75"/>
      <c r="E1898" s="75">
        <v>8.60369052406269E14</v>
      </c>
      <c r="F1898" s="221"/>
      <c r="G1898" s="68"/>
      <c r="H1898" s="69">
        <v>45658.0</v>
      </c>
      <c r="I1898" s="78" t="s">
        <v>2065</v>
      </c>
      <c r="J1898" s="78"/>
      <c r="K1898" s="79"/>
      <c r="L1898" s="80"/>
      <c r="M1898" s="81"/>
    </row>
    <row r="1899">
      <c r="A1899" s="75" t="s">
        <v>4041</v>
      </c>
      <c r="B1899" s="75" t="s">
        <v>319</v>
      </c>
      <c r="C1899" s="75" t="s">
        <v>321</v>
      </c>
      <c r="D1899" s="75">
        <v>2025.0</v>
      </c>
      <c r="E1899" s="75">
        <v>8.60369052467121E14</v>
      </c>
      <c r="F1899" s="76" t="s">
        <v>326</v>
      </c>
      <c r="G1899" s="68" t="s">
        <v>328</v>
      </c>
      <c r="H1899" s="69">
        <v>45658.0</v>
      </c>
      <c r="I1899" s="78" t="s">
        <v>337</v>
      </c>
      <c r="J1899" s="78"/>
      <c r="K1899" s="79"/>
      <c r="L1899" s="80"/>
      <c r="M1899" s="81"/>
    </row>
    <row r="1900">
      <c r="A1900" s="75" t="s">
        <v>4042</v>
      </c>
      <c r="B1900" s="75" t="s">
        <v>319</v>
      </c>
      <c r="C1900" s="75" t="s">
        <v>321</v>
      </c>
      <c r="D1900" s="75">
        <v>2025.0</v>
      </c>
      <c r="E1900" s="75">
        <v>8.60369054159429E14</v>
      </c>
      <c r="F1900" s="76" t="s">
        <v>326</v>
      </c>
      <c r="G1900" s="68" t="s">
        <v>328</v>
      </c>
      <c r="H1900" s="69">
        <v>46076.0</v>
      </c>
      <c r="I1900" s="78" t="s">
        <v>337</v>
      </c>
      <c r="J1900" s="78"/>
      <c r="K1900" s="79"/>
      <c r="L1900" s="80"/>
      <c r="M1900" s="81"/>
    </row>
    <row r="1901">
      <c r="A1901" s="75" t="s">
        <v>4043</v>
      </c>
      <c r="B1901" s="75" t="s">
        <v>319</v>
      </c>
      <c r="C1901" s="243" t="s">
        <v>321</v>
      </c>
      <c r="D1901" s="75">
        <v>2025.0</v>
      </c>
      <c r="E1901" s="75">
        <v>8.6036905270284E14</v>
      </c>
      <c r="F1901" s="76" t="s">
        <v>326</v>
      </c>
      <c r="G1901" s="68" t="s">
        <v>328</v>
      </c>
      <c r="H1901" s="69">
        <v>46076.0</v>
      </c>
      <c r="I1901" s="78" t="s">
        <v>337</v>
      </c>
      <c r="J1901" s="78"/>
      <c r="K1901" s="79"/>
      <c r="L1901" s="80"/>
      <c r="M1901" s="81"/>
    </row>
    <row r="1902">
      <c r="A1902" s="75">
        <v>8.60369052692074E14</v>
      </c>
      <c r="B1902" s="75"/>
      <c r="C1902" s="75"/>
      <c r="D1902" s="75"/>
      <c r="E1902" s="75">
        <v>8.60369052692074E14</v>
      </c>
      <c r="F1902" s="221"/>
      <c r="G1902" s="68"/>
      <c r="H1902" s="69">
        <v>45658.0</v>
      </c>
      <c r="I1902" s="78" t="s">
        <v>2065</v>
      </c>
      <c r="J1902" s="78"/>
      <c r="K1902" s="79"/>
      <c r="L1902" s="80"/>
      <c r="M1902" s="81"/>
    </row>
    <row r="1903">
      <c r="A1903" s="75" t="s">
        <v>4044</v>
      </c>
      <c r="B1903" s="75" t="s">
        <v>319</v>
      </c>
      <c r="C1903" s="75" t="s">
        <v>1247</v>
      </c>
      <c r="D1903" s="75">
        <v>2025.0</v>
      </c>
      <c r="E1903" s="75">
        <v>8.6036905269624E14</v>
      </c>
      <c r="F1903" s="76" t="s">
        <v>326</v>
      </c>
      <c r="G1903" s="68" t="s">
        <v>328</v>
      </c>
      <c r="H1903" s="69">
        <v>45658.0</v>
      </c>
      <c r="I1903" s="78" t="s">
        <v>337</v>
      </c>
      <c r="J1903" s="78"/>
      <c r="K1903" s="79"/>
      <c r="L1903" s="80"/>
      <c r="M1903" s="81"/>
    </row>
    <row r="1904">
      <c r="A1904" s="75" t="s">
        <v>4045</v>
      </c>
      <c r="B1904" s="75" t="s">
        <v>602</v>
      </c>
      <c r="C1904" s="241" t="s">
        <v>607</v>
      </c>
      <c r="D1904" s="75">
        <v>2024.0</v>
      </c>
      <c r="E1904" s="75">
        <v>8.60369052166368E14</v>
      </c>
      <c r="F1904" s="76" t="s">
        <v>398</v>
      </c>
      <c r="G1904" s="68" t="s">
        <v>328</v>
      </c>
      <c r="H1904" s="69">
        <v>45658.0</v>
      </c>
      <c r="I1904" s="78" t="s">
        <v>337</v>
      </c>
      <c r="J1904" s="78"/>
      <c r="K1904" s="79"/>
      <c r="L1904" s="80"/>
      <c r="M1904" s="81"/>
      <c r="N1904" s="83" t="s">
        <v>380</v>
      </c>
    </row>
    <row r="1905">
      <c r="A1905" s="75" t="s">
        <v>4046</v>
      </c>
      <c r="B1905" s="75" t="s">
        <v>319</v>
      </c>
      <c r="C1905" s="75" t="s">
        <v>1247</v>
      </c>
      <c r="D1905" s="75">
        <v>2025.0</v>
      </c>
      <c r="E1905" s="75">
        <v>8.60369052703194E14</v>
      </c>
      <c r="F1905" s="76" t="s">
        <v>326</v>
      </c>
      <c r="G1905" s="68" t="s">
        <v>328</v>
      </c>
      <c r="H1905" s="69">
        <v>45658.0</v>
      </c>
      <c r="I1905" s="78" t="s">
        <v>337</v>
      </c>
      <c r="J1905" s="78"/>
      <c r="K1905" s="79"/>
      <c r="L1905" s="80"/>
      <c r="M1905" s="81"/>
    </row>
    <row r="1906">
      <c r="A1906" s="75" t="s">
        <v>4047</v>
      </c>
      <c r="B1906" s="75" t="s">
        <v>319</v>
      </c>
      <c r="C1906" s="75" t="s">
        <v>1247</v>
      </c>
      <c r="D1906" s="75">
        <v>2025.0</v>
      </c>
      <c r="E1906" s="75">
        <v>8.60369053336325E14</v>
      </c>
      <c r="F1906" s="76" t="s">
        <v>326</v>
      </c>
      <c r="G1906" s="68" t="s">
        <v>328</v>
      </c>
      <c r="H1906" s="69">
        <v>45658.0</v>
      </c>
      <c r="I1906" s="78" t="s">
        <v>337</v>
      </c>
      <c r="J1906" s="78"/>
      <c r="K1906" s="79"/>
      <c r="L1906" s="80"/>
      <c r="M1906" s="81"/>
    </row>
    <row r="1907">
      <c r="A1907" s="75" t="s">
        <v>4048</v>
      </c>
      <c r="B1907" s="75" t="s">
        <v>319</v>
      </c>
      <c r="C1907" s="75" t="s">
        <v>1247</v>
      </c>
      <c r="D1907" s="75">
        <v>2025.0</v>
      </c>
      <c r="E1907" s="75">
        <v>8.60369053345847E14</v>
      </c>
      <c r="F1907" s="76" t="s">
        <v>326</v>
      </c>
      <c r="G1907" s="68" t="s">
        <v>328</v>
      </c>
      <c r="H1907" s="69">
        <v>45658.0</v>
      </c>
      <c r="I1907" s="78" t="s">
        <v>337</v>
      </c>
      <c r="J1907" s="78"/>
      <c r="K1907" s="79"/>
      <c r="L1907" s="80"/>
      <c r="M1907" s="81"/>
    </row>
    <row r="1908">
      <c r="A1908" s="75" t="s">
        <v>4049</v>
      </c>
      <c r="B1908" s="75" t="s">
        <v>319</v>
      </c>
      <c r="C1908" s="243" t="s">
        <v>1247</v>
      </c>
      <c r="D1908" s="75">
        <v>2025.0</v>
      </c>
      <c r="E1908" s="75">
        <v>8.60369052435565E14</v>
      </c>
      <c r="F1908" s="76" t="s">
        <v>326</v>
      </c>
      <c r="G1908" s="68" t="s">
        <v>328</v>
      </c>
      <c r="H1908" s="69">
        <v>45658.0</v>
      </c>
      <c r="I1908" s="78" t="s">
        <v>337</v>
      </c>
      <c r="J1908" s="78"/>
      <c r="K1908" s="79"/>
      <c r="L1908" s="80"/>
      <c r="M1908" s="81"/>
    </row>
    <row r="1909">
      <c r="A1909" s="75" t="s">
        <v>4050</v>
      </c>
      <c r="B1909" s="225" t="s">
        <v>319</v>
      </c>
      <c r="C1909" s="226" t="s">
        <v>1247</v>
      </c>
      <c r="D1909" s="227">
        <v>2025.0</v>
      </c>
      <c r="E1909" s="75">
        <v>8.60369052422852E14</v>
      </c>
      <c r="F1909" s="76" t="s">
        <v>326</v>
      </c>
      <c r="G1909" s="68" t="s">
        <v>328</v>
      </c>
      <c r="H1909" s="69">
        <v>45658.0</v>
      </c>
      <c r="I1909" s="78" t="s">
        <v>337</v>
      </c>
      <c r="J1909" s="78"/>
      <c r="K1909" s="79"/>
      <c r="L1909" s="80"/>
      <c r="M1909" s="81"/>
    </row>
    <row r="1910">
      <c r="A1910" s="75" t="s">
        <v>4051</v>
      </c>
      <c r="B1910" s="75" t="s">
        <v>319</v>
      </c>
      <c r="C1910" s="75" t="s">
        <v>1247</v>
      </c>
      <c r="D1910" s="75">
        <v>2024.0</v>
      </c>
      <c r="E1910" s="75">
        <v>8.60369053345938E14</v>
      </c>
      <c r="F1910" s="76" t="s">
        <v>326</v>
      </c>
      <c r="G1910" s="68" t="s">
        <v>328</v>
      </c>
      <c r="H1910" s="69">
        <v>45658.0</v>
      </c>
      <c r="I1910" s="78" t="s">
        <v>337</v>
      </c>
      <c r="J1910" s="78"/>
      <c r="K1910" s="79"/>
      <c r="L1910" s="80"/>
      <c r="M1910" s="81"/>
    </row>
    <row r="1911">
      <c r="A1911" s="75" t="s">
        <v>4052</v>
      </c>
      <c r="B1911" s="75" t="s">
        <v>319</v>
      </c>
      <c r="C1911" s="75" t="s">
        <v>1247</v>
      </c>
      <c r="D1911" s="75">
        <v>2024.0</v>
      </c>
      <c r="E1911" s="75">
        <v>8.60369052435623E14</v>
      </c>
      <c r="F1911" s="76" t="s">
        <v>326</v>
      </c>
      <c r="G1911" s="68" t="s">
        <v>328</v>
      </c>
      <c r="H1911" s="69">
        <v>45658.0</v>
      </c>
      <c r="I1911" s="78" t="s">
        <v>337</v>
      </c>
      <c r="J1911" s="78"/>
      <c r="K1911" s="79"/>
      <c r="L1911" s="80"/>
      <c r="M1911" s="81"/>
    </row>
    <row r="1912">
      <c r="A1912" s="75" t="s">
        <v>4053</v>
      </c>
      <c r="B1912" s="75" t="s">
        <v>319</v>
      </c>
      <c r="C1912" s="75" t="s">
        <v>1247</v>
      </c>
      <c r="D1912" s="75">
        <v>2025.0</v>
      </c>
      <c r="E1912" s="75">
        <v>8.60369054759822E14</v>
      </c>
      <c r="F1912" s="76" t="s">
        <v>326</v>
      </c>
      <c r="G1912" s="68" t="s">
        <v>328</v>
      </c>
      <c r="H1912" s="69">
        <v>45658.0</v>
      </c>
      <c r="I1912" s="78" t="s">
        <v>337</v>
      </c>
      <c r="J1912" s="78"/>
      <c r="K1912" s="79"/>
      <c r="L1912" s="80"/>
      <c r="M1912" s="81"/>
    </row>
    <row r="1913">
      <c r="A1913" s="75" t="s">
        <v>4054</v>
      </c>
      <c r="B1913" s="75" t="s">
        <v>319</v>
      </c>
      <c r="C1913" s="75" t="s">
        <v>1247</v>
      </c>
      <c r="D1913" s="75">
        <v>2025.0</v>
      </c>
      <c r="E1913" s="75">
        <v>8.60369054192305E14</v>
      </c>
      <c r="F1913" s="76" t="s">
        <v>326</v>
      </c>
      <c r="G1913" s="68" t="s">
        <v>328</v>
      </c>
      <c r="H1913" s="69">
        <v>45658.0</v>
      </c>
      <c r="I1913" s="78" t="s">
        <v>337</v>
      </c>
      <c r="J1913" s="78"/>
      <c r="K1913" s="79"/>
      <c r="L1913" s="80"/>
      <c r="M1913" s="81"/>
    </row>
    <row r="1914">
      <c r="A1914" s="75" t="s">
        <v>4055</v>
      </c>
      <c r="B1914" s="75" t="s">
        <v>319</v>
      </c>
      <c r="C1914" s="243" t="s">
        <v>1247</v>
      </c>
      <c r="D1914" s="75">
        <v>2025.0</v>
      </c>
      <c r="E1914" s="75">
        <v>8.60369054187339E14</v>
      </c>
      <c r="F1914" s="76" t="s">
        <v>326</v>
      </c>
      <c r="G1914" s="68" t="s">
        <v>328</v>
      </c>
      <c r="H1914" s="69">
        <v>45658.0</v>
      </c>
      <c r="I1914" s="78" t="s">
        <v>337</v>
      </c>
      <c r="J1914" s="78"/>
      <c r="K1914" s="79"/>
      <c r="L1914" s="80"/>
      <c r="M1914" s="81"/>
    </row>
    <row r="1915">
      <c r="A1915" s="75" t="s">
        <v>4056</v>
      </c>
      <c r="B1915" s="75" t="s">
        <v>319</v>
      </c>
      <c r="C1915" s="75" t="s">
        <v>1247</v>
      </c>
      <c r="D1915" s="75">
        <v>2025.0</v>
      </c>
      <c r="E1915" s="75">
        <v>8.60369052143722E14</v>
      </c>
      <c r="F1915" s="76" t="s">
        <v>326</v>
      </c>
      <c r="G1915" s="68" t="s">
        <v>328</v>
      </c>
      <c r="H1915" s="69">
        <v>45658.0</v>
      </c>
      <c r="I1915" s="78" t="s">
        <v>337</v>
      </c>
      <c r="J1915" s="78"/>
      <c r="K1915" s="79"/>
      <c r="L1915" s="80"/>
      <c r="M1915" s="81"/>
    </row>
    <row r="1916">
      <c r="A1916" s="75" t="s">
        <v>4057</v>
      </c>
      <c r="B1916" s="75" t="s">
        <v>319</v>
      </c>
      <c r="C1916" s="75" t="s">
        <v>1247</v>
      </c>
      <c r="D1916" s="75">
        <v>2025.0</v>
      </c>
      <c r="E1916" s="75">
        <v>8.60369054408776E14</v>
      </c>
      <c r="F1916" s="76" t="s">
        <v>326</v>
      </c>
      <c r="G1916" s="68" t="s">
        <v>328</v>
      </c>
      <c r="H1916" s="69">
        <v>45658.0</v>
      </c>
      <c r="I1916" s="78" t="s">
        <v>337</v>
      </c>
      <c r="J1916" s="78"/>
      <c r="K1916" s="79"/>
      <c r="L1916" s="80"/>
      <c r="M1916" s="81"/>
    </row>
    <row r="1917">
      <c r="A1917" s="75" t="s">
        <v>4058</v>
      </c>
      <c r="B1917" s="75" t="s">
        <v>319</v>
      </c>
      <c r="C1917" s="75" t="s">
        <v>1247</v>
      </c>
      <c r="D1917" s="75">
        <v>2025.0</v>
      </c>
      <c r="E1917" s="75">
        <v>8.60369052696059E14</v>
      </c>
      <c r="F1917" s="76" t="s">
        <v>326</v>
      </c>
      <c r="G1917" s="68" t="s">
        <v>328</v>
      </c>
      <c r="H1917" s="69">
        <v>45658.0</v>
      </c>
      <c r="I1917" s="78" t="s">
        <v>337</v>
      </c>
      <c r="J1917" s="78"/>
      <c r="K1917" s="79"/>
      <c r="L1917" s="80"/>
      <c r="M1917" s="81"/>
    </row>
    <row r="1918">
      <c r="A1918" s="65" t="s">
        <v>4059</v>
      </c>
      <c r="B1918" s="65" t="s">
        <v>319</v>
      </c>
      <c r="C1918" s="65" t="s">
        <v>321</v>
      </c>
      <c r="D1918" s="65">
        <v>2025.0</v>
      </c>
      <c r="E1918" s="65">
        <v>8.60369052690128E14</v>
      </c>
      <c r="F1918" s="65" t="s">
        <v>326</v>
      </c>
      <c r="G1918" s="192" t="s">
        <v>328</v>
      </c>
      <c r="H1918" s="69">
        <v>45658.0</v>
      </c>
      <c r="I1918" s="65" t="s">
        <v>337</v>
      </c>
      <c r="J1918" s="71"/>
      <c r="K1918" s="73"/>
      <c r="L1918" s="73"/>
      <c r="M1918" s="73" t="s">
        <v>338</v>
      </c>
    </row>
    <row r="1919">
      <c r="A1919" s="75" t="s">
        <v>4060</v>
      </c>
      <c r="B1919" s="75" t="s">
        <v>319</v>
      </c>
      <c r="C1919" s="75" t="s">
        <v>321</v>
      </c>
      <c r="D1919" s="75">
        <v>2025.0</v>
      </c>
      <c r="E1919" s="75">
        <v>8.60369052444443E14</v>
      </c>
      <c r="F1919" s="76" t="s">
        <v>326</v>
      </c>
      <c r="G1919" s="68" t="s">
        <v>328</v>
      </c>
      <c r="H1919" s="69">
        <v>45658.0</v>
      </c>
      <c r="I1919" s="78" t="s">
        <v>337</v>
      </c>
      <c r="J1919" s="78"/>
      <c r="K1919" s="79"/>
      <c r="L1919" s="80"/>
      <c r="M1919" s="81"/>
    </row>
    <row r="1920">
      <c r="A1920" s="75" t="s">
        <v>4061</v>
      </c>
      <c r="B1920" s="75" t="s">
        <v>319</v>
      </c>
      <c r="C1920" s="75" t="s">
        <v>321</v>
      </c>
      <c r="D1920" s="75">
        <v>2025.0</v>
      </c>
      <c r="E1920" s="75">
        <v>8.60369052422639E14</v>
      </c>
      <c r="F1920" s="76" t="s">
        <v>326</v>
      </c>
      <c r="G1920" s="68" t="s">
        <v>328</v>
      </c>
      <c r="H1920" s="69">
        <v>45658.0</v>
      </c>
      <c r="I1920" s="78" t="s">
        <v>337</v>
      </c>
      <c r="J1920" s="78"/>
      <c r="K1920" s="79"/>
      <c r="L1920" s="80"/>
      <c r="M1920" s="81"/>
    </row>
    <row r="1921">
      <c r="A1921" s="75" t="s">
        <v>4062</v>
      </c>
      <c r="B1921" s="75" t="s">
        <v>319</v>
      </c>
      <c r="C1921" s="75" t="s">
        <v>321</v>
      </c>
      <c r="D1921" s="75">
        <v>2025.0</v>
      </c>
      <c r="E1921" s="75">
        <v>8.60369052116769E14</v>
      </c>
      <c r="F1921" s="76" t="s">
        <v>398</v>
      </c>
      <c r="G1921" s="68" t="s">
        <v>328</v>
      </c>
      <c r="H1921" s="69">
        <v>45658.0</v>
      </c>
      <c r="I1921" s="78" t="s">
        <v>337</v>
      </c>
      <c r="J1921" s="78"/>
      <c r="K1921" s="79"/>
      <c r="L1921" s="80"/>
      <c r="M1921" s="81"/>
    </row>
    <row r="1922">
      <c r="A1922" s="75" t="s">
        <v>4063</v>
      </c>
      <c r="B1922" s="75" t="s">
        <v>319</v>
      </c>
      <c r="C1922" s="243" t="s">
        <v>321</v>
      </c>
      <c r="D1922" s="75">
        <v>2025.0</v>
      </c>
      <c r="E1922" s="75">
        <v>8.60369052435821E14</v>
      </c>
      <c r="F1922" s="76" t="s">
        <v>326</v>
      </c>
      <c r="G1922" s="68" t="s">
        <v>328</v>
      </c>
      <c r="H1922" s="69">
        <v>45658.0</v>
      </c>
      <c r="I1922" s="78" t="s">
        <v>337</v>
      </c>
      <c r="J1922" s="78"/>
      <c r="K1922" s="79"/>
      <c r="L1922" s="80"/>
      <c r="M1922" s="81"/>
    </row>
    <row r="1923">
      <c r="A1923" s="75" t="s">
        <v>4064</v>
      </c>
      <c r="B1923" s="75" t="s">
        <v>319</v>
      </c>
      <c r="C1923" s="244" t="s">
        <v>321</v>
      </c>
      <c r="D1923" s="75">
        <v>2024.0</v>
      </c>
      <c r="E1923" s="75">
        <v>8.60369054763758E14</v>
      </c>
      <c r="F1923" s="76" t="s">
        <v>326</v>
      </c>
      <c r="G1923" s="68" t="s">
        <v>328</v>
      </c>
      <c r="H1923" s="69">
        <v>45658.0</v>
      </c>
      <c r="I1923" s="78" t="s">
        <v>337</v>
      </c>
      <c r="J1923" s="78"/>
      <c r="K1923" s="79"/>
      <c r="L1923" s="80"/>
      <c r="M1923" s="81"/>
    </row>
    <row r="1924">
      <c r="A1924" s="75" t="s">
        <v>4065</v>
      </c>
      <c r="B1924" s="225" t="s">
        <v>319</v>
      </c>
      <c r="C1924" s="226" t="s">
        <v>321</v>
      </c>
      <c r="D1924" s="227">
        <v>2024.0</v>
      </c>
      <c r="E1924" s="75">
        <v>8.60369054740442E14</v>
      </c>
      <c r="F1924" s="76" t="s">
        <v>326</v>
      </c>
      <c r="G1924" s="68" t="s">
        <v>328</v>
      </c>
      <c r="H1924" s="69">
        <v>45658.0</v>
      </c>
      <c r="I1924" s="78" t="s">
        <v>337</v>
      </c>
      <c r="J1924" s="78"/>
      <c r="K1924" s="79"/>
      <c r="L1924" s="80"/>
      <c r="M1924" s="81"/>
    </row>
    <row r="1925">
      <c r="A1925" s="75" t="s">
        <v>4066</v>
      </c>
      <c r="B1925" s="75" t="s">
        <v>319</v>
      </c>
      <c r="C1925" s="243" t="s">
        <v>321</v>
      </c>
      <c r="D1925" s="75">
        <v>2024.0</v>
      </c>
      <c r="E1925" s="75">
        <v>8.60369052409834E14</v>
      </c>
      <c r="F1925" s="76" t="s">
        <v>326</v>
      </c>
      <c r="G1925" s="68" t="s">
        <v>328</v>
      </c>
      <c r="H1925" s="69">
        <v>45658.0</v>
      </c>
      <c r="I1925" s="78" t="s">
        <v>337</v>
      </c>
      <c r="J1925" s="78"/>
      <c r="K1925" s="79"/>
      <c r="L1925" s="80"/>
      <c r="M1925" s="81"/>
    </row>
    <row r="1926">
      <c r="A1926" s="75" t="s">
        <v>4067</v>
      </c>
      <c r="B1926" s="225" t="s">
        <v>319</v>
      </c>
      <c r="C1926" s="226" t="s">
        <v>321</v>
      </c>
      <c r="D1926" s="227">
        <v>2025.0</v>
      </c>
      <c r="E1926" s="75">
        <v>8.60369054740541E14</v>
      </c>
      <c r="F1926" s="76" t="s">
        <v>326</v>
      </c>
      <c r="G1926" s="68" t="s">
        <v>328</v>
      </c>
      <c r="H1926" s="69">
        <v>45658.0</v>
      </c>
      <c r="I1926" s="78" t="s">
        <v>337</v>
      </c>
      <c r="J1926" s="78"/>
      <c r="K1926" s="79"/>
      <c r="L1926" s="80"/>
      <c r="M1926" s="81"/>
    </row>
    <row r="1927">
      <c r="A1927" s="75" t="s">
        <v>4068</v>
      </c>
      <c r="B1927" s="75" t="s">
        <v>319</v>
      </c>
      <c r="C1927" s="75" t="s">
        <v>321</v>
      </c>
      <c r="D1927" s="75">
        <v>2025.0</v>
      </c>
      <c r="E1927" s="75">
        <v>8.60369054122914E14</v>
      </c>
      <c r="F1927" s="76" t="s">
        <v>326</v>
      </c>
      <c r="G1927" s="68" t="s">
        <v>328</v>
      </c>
      <c r="H1927" s="69">
        <v>45658.0</v>
      </c>
      <c r="I1927" s="78" t="s">
        <v>337</v>
      </c>
      <c r="J1927" s="78"/>
      <c r="K1927" s="79"/>
      <c r="L1927" s="80"/>
      <c r="M1927" s="81"/>
    </row>
    <row r="1928">
      <c r="A1928" s="75" t="s">
        <v>4069</v>
      </c>
      <c r="B1928" s="75" t="s">
        <v>319</v>
      </c>
      <c r="C1928" s="75" t="s">
        <v>321</v>
      </c>
      <c r="D1928" s="75">
        <v>2025.0</v>
      </c>
      <c r="E1928" s="75">
        <v>8.60369054190341E14</v>
      </c>
      <c r="F1928" s="76" t="s">
        <v>326</v>
      </c>
      <c r="G1928" s="68" t="s">
        <v>328</v>
      </c>
      <c r="H1928" s="69">
        <v>45658.0</v>
      </c>
      <c r="I1928" s="78" t="s">
        <v>337</v>
      </c>
      <c r="J1928" s="78"/>
      <c r="K1928" s="79"/>
      <c r="L1928" s="80"/>
      <c r="M1928" s="81"/>
    </row>
    <row r="1929">
      <c r="A1929" s="75" t="s">
        <v>4070</v>
      </c>
      <c r="B1929" s="75" t="s">
        <v>319</v>
      </c>
      <c r="C1929" s="75" t="s">
        <v>321</v>
      </c>
      <c r="D1929" s="75">
        <v>2025.0</v>
      </c>
      <c r="E1929" s="75">
        <v>8.6036905440578E14</v>
      </c>
      <c r="F1929" s="76" t="s">
        <v>326</v>
      </c>
      <c r="G1929" s="68" t="s">
        <v>328</v>
      </c>
      <c r="H1929" s="69">
        <v>45658.0</v>
      </c>
      <c r="I1929" s="78" t="s">
        <v>337</v>
      </c>
      <c r="J1929" s="78"/>
      <c r="K1929" s="79"/>
      <c r="L1929" s="80"/>
      <c r="M1929" s="81"/>
    </row>
    <row r="1930">
      <c r="A1930" s="193" t="s">
        <v>4071</v>
      </c>
      <c r="B1930" s="65" t="s">
        <v>319</v>
      </c>
      <c r="C1930" s="245" t="s">
        <v>376</v>
      </c>
      <c r="D1930" s="65">
        <v>2025.0</v>
      </c>
      <c r="E1930" s="65">
        <v>8.60369054192867E14</v>
      </c>
      <c r="F1930" s="65" t="s">
        <v>326</v>
      </c>
      <c r="G1930" s="192" t="s">
        <v>387</v>
      </c>
      <c r="H1930" s="69">
        <v>45658.0</v>
      </c>
      <c r="I1930" s="65" t="s">
        <v>337</v>
      </c>
      <c r="J1930" s="71"/>
      <c r="K1930" s="73"/>
      <c r="L1930" s="73"/>
      <c r="M1930" s="73" t="s">
        <v>338</v>
      </c>
    </row>
    <row r="1931">
      <c r="A1931" s="75" t="s">
        <v>4072</v>
      </c>
      <c r="B1931" s="225" t="s">
        <v>319</v>
      </c>
      <c r="C1931" s="226" t="s">
        <v>321</v>
      </c>
      <c r="D1931" s="227">
        <v>2025.0</v>
      </c>
      <c r="E1931" s="75">
        <v>8.60369054405186E14</v>
      </c>
      <c r="F1931" s="76" t="s">
        <v>326</v>
      </c>
      <c r="G1931" s="68" t="s">
        <v>328</v>
      </c>
      <c r="H1931" s="69">
        <v>45658.0</v>
      </c>
      <c r="I1931" s="78" t="s">
        <v>337</v>
      </c>
      <c r="J1931" s="78"/>
      <c r="K1931" s="79"/>
      <c r="L1931" s="80"/>
      <c r="M1931" s="81"/>
    </row>
    <row r="1932">
      <c r="A1932" s="75" t="s">
        <v>4073</v>
      </c>
      <c r="B1932" s="225" t="s">
        <v>319</v>
      </c>
      <c r="C1932" s="226" t="s">
        <v>321</v>
      </c>
      <c r="D1932" s="227">
        <v>2025.0</v>
      </c>
      <c r="E1932" s="75">
        <v>8.60369054407208E14</v>
      </c>
      <c r="F1932" s="76" t="s">
        <v>326</v>
      </c>
      <c r="G1932" s="68" t="s">
        <v>328</v>
      </c>
      <c r="H1932" s="69">
        <v>45658.0</v>
      </c>
      <c r="I1932" s="78" t="s">
        <v>337</v>
      </c>
      <c r="J1932" s="78"/>
      <c r="K1932" s="79"/>
      <c r="L1932" s="80"/>
      <c r="M1932" s="81"/>
    </row>
    <row r="1933">
      <c r="A1933" s="75" t="s">
        <v>4074</v>
      </c>
      <c r="B1933" s="75" t="s">
        <v>319</v>
      </c>
      <c r="C1933" s="243" t="s">
        <v>321</v>
      </c>
      <c r="D1933" s="75">
        <v>2025.0</v>
      </c>
      <c r="E1933" s="75">
        <v>8.6036905472593E14</v>
      </c>
      <c r="F1933" s="76" t="s">
        <v>326</v>
      </c>
      <c r="G1933" s="68" t="s">
        <v>328</v>
      </c>
      <c r="H1933" s="69">
        <v>45658.0</v>
      </c>
      <c r="I1933" s="78" t="s">
        <v>337</v>
      </c>
      <c r="J1933" s="78"/>
      <c r="K1933" s="79"/>
      <c r="L1933" s="80"/>
      <c r="M1933" s="81"/>
    </row>
    <row r="1934">
      <c r="A1934" s="75" t="s">
        <v>4075</v>
      </c>
      <c r="B1934" s="75" t="s">
        <v>602</v>
      </c>
      <c r="C1934" s="75" t="s">
        <v>4076</v>
      </c>
      <c r="D1934" s="75">
        <v>2024.0</v>
      </c>
      <c r="E1934" s="75">
        <v>8.60369052170931E14</v>
      </c>
      <c r="F1934" s="76" t="s">
        <v>398</v>
      </c>
      <c r="G1934" s="68" t="s">
        <v>328</v>
      </c>
      <c r="H1934" s="69">
        <v>45658.0</v>
      </c>
      <c r="I1934" s="78" t="s">
        <v>337</v>
      </c>
      <c r="J1934" s="78"/>
      <c r="K1934" s="79"/>
      <c r="L1934" s="80"/>
      <c r="M1934" s="81"/>
      <c r="N1934" s="83" t="s">
        <v>380</v>
      </c>
    </row>
    <row r="1935">
      <c r="A1935" s="75" t="s">
        <v>4077</v>
      </c>
      <c r="B1935" s="75" t="s">
        <v>319</v>
      </c>
      <c r="C1935" s="75" t="s">
        <v>321</v>
      </c>
      <c r="D1935" s="75">
        <v>2025.0</v>
      </c>
      <c r="E1935" s="75">
        <v>8.60369052705512E14</v>
      </c>
      <c r="F1935" s="76" t="s">
        <v>326</v>
      </c>
      <c r="G1935" s="68" t="s">
        <v>328</v>
      </c>
      <c r="H1935" s="69">
        <v>45658.0</v>
      </c>
      <c r="I1935" s="78" t="s">
        <v>337</v>
      </c>
      <c r="J1935" s="78"/>
      <c r="K1935" s="79"/>
      <c r="L1935" s="80"/>
      <c r="M1935" s="81"/>
    </row>
    <row r="1936">
      <c r="A1936" s="75" t="s">
        <v>4078</v>
      </c>
      <c r="B1936" s="75" t="s">
        <v>319</v>
      </c>
      <c r="C1936" s="75" t="s">
        <v>321</v>
      </c>
      <c r="D1936" s="75">
        <v>2025.0</v>
      </c>
      <c r="E1936" s="75">
        <v>8.60369052449145E14</v>
      </c>
      <c r="F1936" s="76" t="s">
        <v>326</v>
      </c>
      <c r="G1936" s="68" t="s">
        <v>328</v>
      </c>
      <c r="H1936" s="69">
        <v>45658.0</v>
      </c>
      <c r="I1936" s="78" t="s">
        <v>337</v>
      </c>
      <c r="J1936" s="78"/>
      <c r="K1936" s="79"/>
      <c r="L1936" s="80"/>
      <c r="M1936" s="81"/>
    </row>
    <row r="1937">
      <c r="A1937" s="75" t="s">
        <v>4079</v>
      </c>
      <c r="B1937" s="75" t="s">
        <v>319</v>
      </c>
      <c r="C1937" s="75" t="s">
        <v>321</v>
      </c>
      <c r="D1937" s="75">
        <v>2025.0</v>
      </c>
      <c r="E1937" s="75">
        <v>8.60369052696471E14</v>
      </c>
      <c r="F1937" s="76" t="s">
        <v>326</v>
      </c>
      <c r="G1937" s="68" t="s">
        <v>328</v>
      </c>
      <c r="H1937" s="69">
        <v>45658.0</v>
      </c>
      <c r="I1937" s="78" t="s">
        <v>337</v>
      </c>
      <c r="J1937" s="78"/>
      <c r="K1937" s="79"/>
      <c r="L1937" s="80"/>
      <c r="M1937" s="81"/>
    </row>
    <row r="1938">
      <c r="A1938" s="75" t="s">
        <v>4080</v>
      </c>
      <c r="B1938" s="75" t="s">
        <v>319</v>
      </c>
      <c r="C1938" s="75" t="s">
        <v>321</v>
      </c>
      <c r="D1938" s="75">
        <v>2025.0</v>
      </c>
      <c r="E1938" s="75">
        <v>8.60369054122831E14</v>
      </c>
      <c r="F1938" s="76" t="s">
        <v>326</v>
      </c>
      <c r="G1938" s="68" t="s">
        <v>328</v>
      </c>
      <c r="H1938" s="69">
        <v>45658.0</v>
      </c>
      <c r="I1938" s="78" t="s">
        <v>337</v>
      </c>
      <c r="J1938" s="78" t="s">
        <v>4081</v>
      </c>
      <c r="K1938" s="79"/>
      <c r="L1938" s="80"/>
      <c r="M1938" s="81"/>
    </row>
    <row r="1939">
      <c r="A1939" s="75" t="s">
        <v>4082</v>
      </c>
      <c r="B1939" s="75" t="s">
        <v>319</v>
      </c>
      <c r="C1939" s="75" t="s">
        <v>321</v>
      </c>
      <c r="D1939" s="75">
        <v>2024.0</v>
      </c>
      <c r="E1939" s="75">
        <v>8.6036905415442E14</v>
      </c>
      <c r="F1939" s="76" t="s">
        <v>326</v>
      </c>
      <c r="G1939" s="68" t="s">
        <v>328</v>
      </c>
      <c r="H1939" s="69">
        <v>45658.0</v>
      </c>
      <c r="I1939" s="78" t="s">
        <v>337</v>
      </c>
      <c r="J1939" s="78"/>
      <c r="K1939" s="79"/>
      <c r="L1939" s="80"/>
      <c r="M1939" s="81"/>
    </row>
    <row r="1940">
      <c r="A1940" s="75" t="s">
        <v>4083</v>
      </c>
      <c r="B1940" s="75" t="s">
        <v>319</v>
      </c>
      <c r="C1940" s="75" t="s">
        <v>321</v>
      </c>
      <c r="D1940" s="75">
        <v>2024.0</v>
      </c>
      <c r="E1940" s="75">
        <v>8.60369054189368E14</v>
      </c>
      <c r="F1940" s="76" t="s">
        <v>326</v>
      </c>
      <c r="G1940" s="68" t="s">
        <v>328</v>
      </c>
      <c r="H1940" s="69">
        <v>45658.0</v>
      </c>
      <c r="I1940" s="78" t="s">
        <v>337</v>
      </c>
      <c r="J1940" s="78"/>
      <c r="K1940" s="79"/>
      <c r="L1940" s="80"/>
      <c r="M1940" s="81"/>
    </row>
    <row r="1941">
      <c r="A1941" s="75" t="s">
        <v>4084</v>
      </c>
      <c r="B1941" s="75" t="s">
        <v>319</v>
      </c>
      <c r="C1941" s="75" t="s">
        <v>321</v>
      </c>
      <c r="D1941" s="75">
        <v>2024.0</v>
      </c>
      <c r="E1941" s="75">
        <v>8.60369054739923E14</v>
      </c>
      <c r="F1941" s="76" t="s">
        <v>326</v>
      </c>
      <c r="G1941" s="68" t="s">
        <v>328</v>
      </c>
      <c r="H1941" s="69">
        <v>45658.0</v>
      </c>
      <c r="I1941" s="78" t="s">
        <v>337</v>
      </c>
      <c r="J1941" s="78"/>
      <c r="K1941" s="79"/>
      <c r="L1941" s="80"/>
      <c r="M1941" s="81"/>
    </row>
    <row r="1942">
      <c r="A1942" s="75" t="s">
        <v>4085</v>
      </c>
      <c r="B1942" s="75" t="s">
        <v>319</v>
      </c>
      <c r="C1942" s="75" t="s">
        <v>321</v>
      </c>
      <c r="D1942" s="75">
        <v>2024.0</v>
      </c>
      <c r="E1942" s="75">
        <v>8.6036905440564E14</v>
      </c>
      <c r="F1942" s="76" t="s">
        <v>326</v>
      </c>
      <c r="G1942" s="68" t="s">
        <v>328</v>
      </c>
      <c r="H1942" s="69">
        <v>45658.0</v>
      </c>
      <c r="I1942" s="78" t="s">
        <v>337</v>
      </c>
      <c r="J1942" s="78"/>
      <c r="K1942" s="79"/>
      <c r="L1942" s="80"/>
      <c r="M1942" s="81"/>
    </row>
    <row r="1943">
      <c r="A1943" s="75" t="s">
        <v>4086</v>
      </c>
      <c r="B1943" s="75" t="s">
        <v>319</v>
      </c>
      <c r="C1943" s="75" t="s">
        <v>321</v>
      </c>
      <c r="D1943" s="75">
        <v>2025.0</v>
      </c>
      <c r="E1943" s="75">
        <v>8.60369052695366E14</v>
      </c>
      <c r="F1943" s="76" t="s">
        <v>326</v>
      </c>
      <c r="G1943" s="68" t="s">
        <v>328</v>
      </c>
      <c r="H1943" s="69">
        <v>45658.0</v>
      </c>
      <c r="I1943" s="78" t="s">
        <v>337</v>
      </c>
      <c r="J1943" s="78"/>
      <c r="K1943" s="79"/>
      <c r="L1943" s="80"/>
      <c r="M1943" s="81"/>
    </row>
    <row r="1944">
      <c r="A1944" s="75" t="s">
        <v>4087</v>
      </c>
      <c r="B1944" s="75" t="s">
        <v>319</v>
      </c>
      <c r="C1944" s="75" t="s">
        <v>321</v>
      </c>
      <c r="D1944" s="75">
        <v>2025.0</v>
      </c>
      <c r="E1944" s="75">
        <v>8.60369054408511E14</v>
      </c>
      <c r="F1944" s="76" t="s">
        <v>326</v>
      </c>
      <c r="G1944" s="68" t="s">
        <v>328</v>
      </c>
      <c r="H1944" s="69">
        <v>45658.0</v>
      </c>
      <c r="I1944" s="78" t="s">
        <v>337</v>
      </c>
      <c r="J1944" s="78"/>
      <c r="K1944" s="79"/>
      <c r="L1944" s="80"/>
      <c r="M1944" s="81"/>
    </row>
    <row r="1945">
      <c r="A1945" s="75" t="s">
        <v>4088</v>
      </c>
      <c r="B1945" s="75" t="s">
        <v>319</v>
      </c>
      <c r="C1945" s="75" t="s">
        <v>321</v>
      </c>
      <c r="D1945" s="75">
        <v>2025.0</v>
      </c>
      <c r="E1945" s="75">
        <v>8.60369054744006E14</v>
      </c>
      <c r="F1945" s="76" t="s">
        <v>326</v>
      </c>
      <c r="G1945" s="68" t="s">
        <v>328</v>
      </c>
      <c r="H1945" s="69">
        <v>45658.0</v>
      </c>
      <c r="I1945" s="78" t="s">
        <v>337</v>
      </c>
      <c r="J1945" s="78"/>
      <c r="K1945" s="79"/>
      <c r="L1945" s="80"/>
      <c r="M1945" s="81"/>
    </row>
    <row r="1946">
      <c r="A1946" s="75" t="s">
        <v>4089</v>
      </c>
      <c r="B1946" s="75" t="s">
        <v>319</v>
      </c>
      <c r="C1946" s="75" t="s">
        <v>321</v>
      </c>
      <c r="D1946" s="75">
        <v>2025.0</v>
      </c>
      <c r="E1946" s="75">
        <v>8.60369054739188E14</v>
      </c>
      <c r="F1946" s="76" t="s">
        <v>326</v>
      </c>
      <c r="G1946" s="68" t="s">
        <v>328</v>
      </c>
      <c r="H1946" s="69">
        <v>45658.0</v>
      </c>
      <c r="I1946" s="78" t="s">
        <v>337</v>
      </c>
      <c r="J1946" s="78"/>
      <c r="K1946" s="79"/>
      <c r="L1946" s="80"/>
      <c r="M1946" s="81"/>
      <c r="N1946" s="83">
        <v>0.0</v>
      </c>
    </row>
    <row r="1947">
      <c r="A1947" s="75" t="s">
        <v>4090</v>
      </c>
      <c r="B1947" s="75" t="s">
        <v>319</v>
      </c>
      <c r="C1947" s="75" t="s">
        <v>321</v>
      </c>
      <c r="D1947" s="75">
        <v>2025.0</v>
      </c>
      <c r="E1947" s="75">
        <v>8.60369054743834E14</v>
      </c>
      <c r="F1947" s="76" t="s">
        <v>326</v>
      </c>
      <c r="G1947" s="68" t="s">
        <v>328</v>
      </c>
      <c r="H1947" s="69">
        <v>45658.0</v>
      </c>
      <c r="I1947" s="78" t="s">
        <v>337</v>
      </c>
      <c r="J1947" s="78"/>
      <c r="K1947" s="79"/>
      <c r="L1947" s="80"/>
      <c r="M1947" s="81"/>
    </row>
    <row r="1948">
      <c r="A1948" s="75" t="s">
        <v>4091</v>
      </c>
      <c r="B1948" s="75" t="s">
        <v>319</v>
      </c>
      <c r="C1948" s="75" t="s">
        <v>321</v>
      </c>
      <c r="D1948" s="75">
        <v>2024.0</v>
      </c>
      <c r="E1948" s="75">
        <v>8.60369054193451E14</v>
      </c>
      <c r="F1948" s="76" t="s">
        <v>326</v>
      </c>
      <c r="G1948" s="68" t="s">
        <v>328</v>
      </c>
      <c r="H1948" s="69">
        <v>45658.0</v>
      </c>
      <c r="I1948" s="78" t="s">
        <v>337</v>
      </c>
      <c r="J1948" s="78"/>
      <c r="K1948" s="79"/>
      <c r="L1948" s="110" t="s">
        <v>4092</v>
      </c>
      <c r="M1948" s="81"/>
    </row>
    <row r="1949">
      <c r="A1949" s="75" t="s">
        <v>4093</v>
      </c>
      <c r="B1949" s="75" t="s">
        <v>319</v>
      </c>
      <c r="C1949" s="75" t="s">
        <v>321</v>
      </c>
      <c r="D1949" s="75">
        <v>2025.0</v>
      </c>
      <c r="E1949" s="75">
        <v>8.60369054402548E14</v>
      </c>
      <c r="F1949" s="76" t="s">
        <v>326</v>
      </c>
      <c r="G1949" s="68" t="s">
        <v>328</v>
      </c>
      <c r="H1949" s="69">
        <v>45658.0</v>
      </c>
      <c r="I1949" s="78" t="s">
        <v>337</v>
      </c>
      <c r="J1949" s="78"/>
      <c r="K1949" s="79"/>
      <c r="L1949" s="80"/>
      <c r="M1949" s="81"/>
    </row>
    <row r="1950">
      <c r="A1950" s="75" t="s">
        <v>4094</v>
      </c>
      <c r="B1950" s="75" t="s">
        <v>602</v>
      </c>
      <c r="C1950" s="75" t="s">
        <v>607</v>
      </c>
      <c r="D1950" s="75">
        <v>2024.0</v>
      </c>
      <c r="E1950" s="75">
        <v>8.60369052171798E14</v>
      </c>
      <c r="F1950" s="76" t="s">
        <v>398</v>
      </c>
      <c r="G1950" s="68" t="s">
        <v>328</v>
      </c>
      <c r="H1950" s="69">
        <v>45658.0</v>
      </c>
      <c r="I1950" s="78" t="s">
        <v>337</v>
      </c>
      <c r="J1950" s="78"/>
      <c r="K1950" s="79"/>
      <c r="L1950" s="80"/>
      <c r="M1950" s="81"/>
      <c r="N1950" s="83" t="s">
        <v>380</v>
      </c>
    </row>
    <row r="1951">
      <c r="A1951" s="75" t="s">
        <v>4095</v>
      </c>
      <c r="B1951" s="75" t="s">
        <v>319</v>
      </c>
      <c r="C1951" s="75" t="s">
        <v>321</v>
      </c>
      <c r="D1951" s="75">
        <v>2024.0</v>
      </c>
      <c r="E1951" s="75">
        <v>8.60369054155914E14</v>
      </c>
      <c r="F1951" s="76" t="s">
        <v>326</v>
      </c>
      <c r="G1951" s="68" t="s">
        <v>328</v>
      </c>
      <c r="H1951" s="69">
        <v>45658.0</v>
      </c>
      <c r="I1951" s="78" t="s">
        <v>337</v>
      </c>
      <c r="J1951" s="78"/>
      <c r="K1951" s="79"/>
      <c r="L1951" s="80"/>
      <c r="M1951" s="81"/>
    </row>
    <row r="1952">
      <c r="A1952" s="75" t="s">
        <v>4096</v>
      </c>
      <c r="B1952" s="75" t="s">
        <v>319</v>
      </c>
      <c r="C1952" s="75" t="s">
        <v>321</v>
      </c>
      <c r="D1952" s="75">
        <v>2025.0</v>
      </c>
      <c r="E1952" s="75">
        <v>8.60369052707203E14</v>
      </c>
      <c r="F1952" s="76" t="s">
        <v>326</v>
      </c>
      <c r="G1952" s="68" t="s">
        <v>328</v>
      </c>
      <c r="H1952" s="69">
        <v>45658.0</v>
      </c>
      <c r="I1952" s="78" t="s">
        <v>337</v>
      </c>
      <c r="J1952" s="78"/>
      <c r="K1952" s="79"/>
      <c r="L1952" s="80"/>
      <c r="M1952" s="81"/>
    </row>
    <row r="1953">
      <c r="A1953" s="75" t="s">
        <v>4097</v>
      </c>
      <c r="B1953" s="75" t="s">
        <v>319</v>
      </c>
      <c r="C1953" s="75" t="s">
        <v>321</v>
      </c>
      <c r="D1953" s="75">
        <v>2024.0</v>
      </c>
      <c r="E1953" s="75">
        <v>8.60369052426432E14</v>
      </c>
      <c r="F1953" s="76" t="s">
        <v>326</v>
      </c>
      <c r="G1953" s="68" t="s">
        <v>328</v>
      </c>
      <c r="H1953" s="69">
        <v>45658.0</v>
      </c>
      <c r="I1953" s="78" t="s">
        <v>337</v>
      </c>
      <c r="J1953" s="78"/>
      <c r="K1953" s="79"/>
      <c r="L1953" s="80"/>
      <c r="M1953" s="81"/>
    </row>
    <row r="1954">
      <c r="A1954" s="75" t="s">
        <v>4098</v>
      </c>
      <c r="B1954" s="75" t="s">
        <v>319</v>
      </c>
      <c r="C1954" s="75" t="s">
        <v>321</v>
      </c>
      <c r="D1954" s="75">
        <v>2024.0</v>
      </c>
      <c r="E1954" s="75">
        <v>8.6036905417653E14</v>
      </c>
      <c r="F1954" s="76" t="s">
        <v>326</v>
      </c>
      <c r="G1954" s="68" t="s">
        <v>328</v>
      </c>
      <c r="H1954" s="69">
        <v>45658.0</v>
      </c>
      <c r="I1954" s="78" t="s">
        <v>337</v>
      </c>
      <c r="J1954" s="78"/>
      <c r="K1954" s="79"/>
      <c r="L1954" s="80"/>
      <c r="M1954" s="81"/>
    </row>
    <row r="1955">
      <c r="A1955" s="75" t="s">
        <v>4099</v>
      </c>
      <c r="B1955" s="75" t="s">
        <v>319</v>
      </c>
      <c r="C1955" s="75" t="s">
        <v>321</v>
      </c>
      <c r="D1955" s="75">
        <v>2025.0</v>
      </c>
      <c r="E1955" s="75">
        <v>8.60369054155179E14</v>
      </c>
      <c r="F1955" s="76" t="s">
        <v>326</v>
      </c>
      <c r="G1955" s="68" t="s">
        <v>328</v>
      </c>
      <c r="H1955" s="69">
        <v>45658.0</v>
      </c>
      <c r="I1955" s="78" t="s">
        <v>337</v>
      </c>
      <c r="J1955" s="78"/>
      <c r="K1955" s="79"/>
      <c r="L1955" s="80"/>
      <c r="M1955" s="81"/>
    </row>
    <row r="1956">
      <c r="A1956" s="75" t="s">
        <v>4100</v>
      </c>
      <c r="B1956" s="75" t="s">
        <v>319</v>
      </c>
      <c r="C1956" s="75" t="s">
        <v>321</v>
      </c>
      <c r="D1956" s="75">
        <v>2024.0</v>
      </c>
      <c r="E1956" s="75">
        <v>8.60369054402894E14</v>
      </c>
      <c r="F1956" s="76" t="s">
        <v>326</v>
      </c>
      <c r="G1956" s="68" t="s">
        <v>328</v>
      </c>
      <c r="H1956" s="69">
        <v>45658.0</v>
      </c>
      <c r="I1956" s="78" t="s">
        <v>337</v>
      </c>
      <c r="J1956" s="78"/>
      <c r="K1956" s="79"/>
      <c r="L1956" s="80"/>
      <c r="M1956" s="81"/>
    </row>
    <row r="1957">
      <c r="A1957" s="75" t="s">
        <v>4101</v>
      </c>
      <c r="B1957" s="75" t="s">
        <v>319</v>
      </c>
      <c r="C1957" s="75" t="s">
        <v>321</v>
      </c>
      <c r="D1957" s="75">
        <v>2025.0</v>
      </c>
      <c r="E1957" s="75">
        <v>8.60369054169683E14</v>
      </c>
      <c r="F1957" s="76" t="s">
        <v>326</v>
      </c>
      <c r="G1957" s="68" t="s">
        <v>328</v>
      </c>
      <c r="H1957" s="69">
        <v>45658.0</v>
      </c>
      <c r="I1957" s="78" t="s">
        <v>337</v>
      </c>
      <c r="J1957" s="78"/>
      <c r="K1957" s="79"/>
      <c r="L1957" s="80"/>
      <c r="M1957" s="81"/>
    </row>
    <row r="1958">
      <c r="A1958" s="75" t="s">
        <v>4102</v>
      </c>
      <c r="B1958" s="75" t="s">
        <v>319</v>
      </c>
      <c r="C1958" s="75" t="s">
        <v>321</v>
      </c>
      <c r="D1958" s="75">
        <v>2025.0</v>
      </c>
      <c r="E1958" s="75">
        <v>8.60369052154844E14</v>
      </c>
      <c r="F1958" s="76" t="s">
        <v>398</v>
      </c>
      <c r="G1958" s="68" t="s">
        <v>328</v>
      </c>
      <c r="H1958" s="69">
        <v>45658.0</v>
      </c>
      <c r="I1958" s="78" t="s">
        <v>337</v>
      </c>
      <c r="J1958" s="78"/>
      <c r="K1958" s="79"/>
      <c r="L1958" s="80"/>
      <c r="M1958" s="81"/>
    </row>
    <row r="1959">
      <c r="A1959" s="75" t="s">
        <v>4103</v>
      </c>
      <c r="B1959" s="75" t="s">
        <v>319</v>
      </c>
      <c r="C1959" s="75" t="s">
        <v>4104</v>
      </c>
      <c r="D1959" s="75">
        <v>2025.0</v>
      </c>
      <c r="E1959" s="75">
        <v>8.60369052405139E14</v>
      </c>
      <c r="F1959" s="76" t="s">
        <v>398</v>
      </c>
      <c r="G1959" s="68" t="s">
        <v>328</v>
      </c>
      <c r="H1959" s="69">
        <v>45658.0</v>
      </c>
      <c r="I1959" s="78" t="s">
        <v>337</v>
      </c>
      <c r="J1959" s="78"/>
      <c r="K1959" s="79"/>
      <c r="L1959" s="78" t="s">
        <v>1048</v>
      </c>
      <c r="M1959" s="246">
        <v>45923.0</v>
      </c>
      <c r="N1959" s="83" t="s">
        <v>380</v>
      </c>
    </row>
    <row r="1960">
      <c r="A1960" s="78" t="s">
        <v>4105</v>
      </c>
      <c r="B1960" s="75" t="s">
        <v>374</v>
      </c>
      <c r="C1960" s="75" t="s">
        <v>4106</v>
      </c>
      <c r="D1960" s="78">
        <v>2019.0</v>
      </c>
      <c r="E1960" s="78">
        <v>8.60369054120421E14</v>
      </c>
      <c r="F1960" s="76" t="s">
        <v>326</v>
      </c>
      <c r="G1960" s="68" t="s">
        <v>328</v>
      </c>
      <c r="H1960" s="69">
        <v>45658.0</v>
      </c>
      <c r="I1960" s="78" t="s">
        <v>337</v>
      </c>
      <c r="J1960" s="78"/>
      <c r="K1960" s="81"/>
      <c r="L1960" s="80"/>
      <c r="M1960" s="81"/>
    </row>
    <row r="1961">
      <c r="A1961" s="78" t="s">
        <v>4107</v>
      </c>
      <c r="B1961" s="75" t="s">
        <v>374</v>
      </c>
      <c r="C1961" s="220" t="s">
        <v>4108</v>
      </c>
      <c r="D1961" s="78">
        <v>2019.0</v>
      </c>
      <c r="E1961" s="78">
        <v>8.60369054740814E14</v>
      </c>
      <c r="F1961" s="76" t="s">
        <v>326</v>
      </c>
      <c r="G1961" s="68" t="s">
        <v>328</v>
      </c>
      <c r="H1961" s="69">
        <v>45658.0</v>
      </c>
      <c r="I1961" s="78" t="s">
        <v>337</v>
      </c>
      <c r="J1961" s="78"/>
      <c r="K1961" s="81"/>
      <c r="L1961" s="80"/>
      <c r="M1961" s="81"/>
    </row>
    <row r="1962">
      <c r="A1962" s="78">
        <v>8.60369052696679E14</v>
      </c>
      <c r="B1962" s="75"/>
      <c r="C1962" s="75"/>
      <c r="D1962" s="78"/>
      <c r="E1962" s="78">
        <v>8.60369052696679E14</v>
      </c>
      <c r="F1962" s="76" t="s">
        <v>326</v>
      </c>
      <c r="G1962" s="68" t="s">
        <v>328</v>
      </c>
      <c r="H1962" s="69">
        <v>45658.0</v>
      </c>
      <c r="I1962" s="78" t="s">
        <v>1240</v>
      </c>
      <c r="J1962" s="78" t="s">
        <v>4109</v>
      </c>
      <c r="K1962" s="81"/>
      <c r="L1962" s="80"/>
      <c r="M1962" s="81"/>
    </row>
    <row r="1963">
      <c r="A1963" s="78" t="s">
        <v>4110</v>
      </c>
      <c r="B1963" s="75" t="s">
        <v>884</v>
      </c>
      <c r="C1963" s="244" t="s">
        <v>1903</v>
      </c>
      <c r="D1963" s="78">
        <v>2023.0</v>
      </c>
      <c r="E1963" s="78">
        <v>8.60369054907504E14</v>
      </c>
      <c r="F1963" s="76" t="s">
        <v>326</v>
      </c>
      <c r="G1963" s="68" t="s">
        <v>271</v>
      </c>
      <c r="H1963" s="69">
        <v>46084.0</v>
      </c>
      <c r="I1963" s="78" t="s">
        <v>337</v>
      </c>
      <c r="J1963" s="78"/>
      <c r="K1963" s="81"/>
      <c r="L1963" s="80"/>
      <c r="M1963" s="81"/>
    </row>
    <row r="1964">
      <c r="A1964" s="78" t="s">
        <v>4111</v>
      </c>
      <c r="B1964" s="75" t="s">
        <v>374</v>
      </c>
      <c r="C1964" s="247" t="s">
        <v>647</v>
      </c>
      <c r="D1964" s="78">
        <v>2024.0</v>
      </c>
      <c r="E1964" s="78">
        <v>8.6036905500789E14</v>
      </c>
      <c r="F1964" s="76" t="s">
        <v>326</v>
      </c>
      <c r="G1964" s="68" t="s">
        <v>642</v>
      </c>
      <c r="H1964" s="69">
        <v>46204.0</v>
      </c>
      <c r="I1964" s="78" t="s">
        <v>337</v>
      </c>
      <c r="J1964" s="78"/>
      <c r="K1964" s="81"/>
      <c r="L1964" s="80"/>
      <c r="M1964" s="81"/>
    </row>
    <row r="1965">
      <c r="A1965" s="78" t="s">
        <v>4112</v>
      </c>
      <c r="B1965" s="75" t="s">
        <v>319</v>
      </c>
      <c r="C1965" s="75" t="s">
        <v>321</v>
      </c>
      <c r="D1965" s="78">
        <v>2026.0</v>
      </c>
      <c r="E1965" s="78">
        <v>8.60369054123045E14</v>
      </c>
      <c r="F1965" s="76" t="s">
        <v>326</v>
      </c>
      <c r="G1965" s="68" t="s">
        <v>230</v>
      </c>
      <c r="H1965" s="69">
        <v>46191.0</v>
      </c>
      <c r="I1965" s="78" t="s">
        <v>337</v>
      </c>
      <c r="J1965" s="78"/>
      <c r="K1965" s="81"/>
      <c r="L1965" s="80"/>
      <c r="M1965" s="81"/>
    </row>
    <row r="1966">
      <c r="A1966" s="78" t="s">
        <v>4113</v>
      </c>
      <c r="B1966" s="75" t="s">
        <v>319</v>
      </c>
      <c r="C1966" s="75" t="s">
        <v>321</v>
      </c>
      <c r="D1966" s="78">
        <v>2026.0</v>
      </c>
      <c r="E1966" s="78">
        <v>8.6036905476341E14</v>
      </c>
      <c r="F1966" s="76" t="s">
        <v>326</v>
      </c>
      <c r="G1966" s="68" t="s">
        <v>230</v>
      </c>
      <c r="H1966" s="69">
        <v>46191.0</v>
      </c>
      <c r="I1966" s="78" t="s">
        <v>337</v>
      </c>
      <c r="J1966" s="78"/>
      <c r="K1966" s="81"/>
      <c r="L1966" s="80"/>
      <c r="M1966" s="81"/>
    </row>
    <row r="1967">
      <c r="A1967" s="78" t="s">
        <v>4114</v>
      </c>
      <c r="B1967" s="75" t="s">
        <v>319</v>
      </c>
      <c r="C1967" s="75" t="s">
        <v>321</v>
      </c>
      <c r="D1967" s="78">
        <v>2026.0</v>
      </c>
      <c r="E1967" s="78">
        <v>8.60369054163249E14</v>
      </c>
      <c r="F1967" s="76" t="s">
        <v>326</v>
      </c>
      <c r="G1967" s="68" t="s">
        <v>230</v>
      </c>
      <c r="H1967" s="69">
        <v>46191.0</v>
      </c>
      <c r="I1967" s="78" t="s">
        <v>337</v>
      </c>
      <c r="J1967" s="78"/>
      <c r="K1967" s="81"/>
      <c r="L1967" s="80"/>
      <c r="M1967" s="81"/>
    </row>
    <row r="1968">
      <c r="A1968" s="78" t="s">
        <v>4115</v>
      </c>
      <c r="B1968" s="75" t="s">
        <v>319</v>
      </c>
      <c r="C1968" s="75" t="s">
        <v>321</v>
      </c>
      <c r="D1968" s="78">
        <v>2026.0</v>
      </c>
      <c r="E1968" s="78">
        <v>8.60369052418553E14</v>
      </c>
      <c r="F1968" s="76" t="s">
        <v>326</v>
      </c>
      <c r="G1968" s="68" t="s">
        <v>230</v>
      </c>
      <c r="H1968" s="69">
        <v>46191.0</v>
      </c>
      <c r="I1968" s="78" t="s">
        <v>337</v>
      </c>
      <c r="J1968" s="78"/>
      <c r="K1968" s="81"/>
      <c r="L1968" s="80"/>
      <c r="M1968" s="81"/>
    </row>
    <row r="1969">
      <c r="A1969" s="78" t="s">
        <v>4116</v>
      </c>
      <c r="B1969" s="75" t="s">
        <v>319</v>
      </c>
      <c r="C1969" s="75" t="s">
        <v>321</v>
      </c>
      <c r="D1969" s="78">
        <v>2026.0</v>
      </c>
      <c r="E1969" s="78">
        <v>8.60369055007544E14</v>
      </c>
      <c r="F1969" s="76" t="s">
        <v>326</v>
      </c>
      <c r="G1969" s="68" t="s">
        <v>230</v>
      </c>
      <c r="H1969" s="69">
        <v>46205.0</v>
      </c>
      <c r="I1969" s="78" t="s">
        <v>337</v>
      </c>
      <c r="J1969" s="78"/>
      <c r="K1969" s="81"/>
      <c r="L1969" s="80"/>
      <c r="M1969" s="81"/>
    </row>
    <row r="1970">
      <c r="A1970" s="78" t="s">
        <v>4117</v>
      </c>
      <c r="B1970" s="75" t="s">
        <v>319</v>
      </c>
      <c r="C1970" s="75" t="s">
        <v>321</v>
      </c>
      <c r="D1970" s="78">
        <v>2026.0</v>
      </c>
      <c r="E1970" s="78">
        <v>8.60369054759434E14</v>
      </c>
      <c r="F1970" s="76" t="s">
        <v>326</v>
      </c>
      <c r="G1970" s="68" t="s">
        <v>230</v>
      </c>
      <c r="H1970" s="69">
        <v>46205.0</v>
      </c>
      <c r="I1970" s="78" t="s">
        <v>337</v>
      </c>
      <c r="J1970" s="78"/>
      <c r="K1970" s="81"/>
      <c r="L1970" s="80"/>
      <c r="M1970" s="81"/>
    </row>
    <row r="1971">
      <c r="A1971" s="78" t="s">
        <v>4118</v>
      </c>
      <c r="B1971" s="75" t="s">
        <v>319</v>
      </c>
      <c r="C1971" s="75" t="s">
        <v>321</v>
      </c>
      <c r="D1971" s="78">
        <v>2026.0</v>
      </c>
      <c r="E1971" s="78">
        <v>8.60369054946486E14</v>
      </c>
      <c r="F1971" s="76" t="s">
        <v>326</v>
      </c>
      <c r="G1971" s="68" t="s">
        <v>230</v>
      </c>
      <c r="H1971" s="69">
        <v>46198.0</v>
      </c>
      <c r="I1971" s="78" t="s">
        <v>337</v>
      </c>
      <c r="J1971" s="78"/>
      <c r="K1971" s="81"/>
      <c r="L1971" s="80"/>
      <c r="M1971" s="81"/>
    </row>
    <row r="1972">
      <c r="A1972" s="78" t="s">
        <v>4119</v>
      </c>
      <c r="B1972" s="75" t="s">
        <v>319</v>
      </c>
      <c r="C1972" s="75" t="s">
        <v>321</v>
      </c>
      <c r="D1972" s="78">
        <v>2026.0</v>
      </c>
      <c r="E1972" s="78">
        <v>8.60369054192651E14</v>
      </c>
      <c r="F1972" s="76" t="s">
        <v>326</v>
      </c>
      <c r="G1972" s="68" t="s">
        <v>230</v>
      </c>
      <c r="H1972" s="69">
        <v>46198.0</v>
      </c>
      <c r="I1972" s="78" t="s">
        <v>337</v>
      </c>
      <c r="J1972" s="78"/>
      <c r="K1972" s="81"/>
      <c r="L1972" s="80"/>
      <c r="M1972" s="81"/>
    </row>
    <row r="1973">
      <c r="A1973" s="78" t="s">
        <v>4120</v>
      </c>
      <c r="B1973" s="75" t="s">
        <v>319</v>
      </c>
      <c r="C1973" s="75" t="s">
        <v>321</v>
      </c>
      <c r="D1973" s="78">
        <v>2026.0</v>
      </c>
      <c r="E1973" s="78">
        <v>8.60369054982275E14</v>
      </c>
      <c r="F1973" s="76" t="s">
        <v>326</v>
      </c>
      <c r="G1973" s="68" t="s">
        <v>230</v>
      </c>
      <c r="H1973" s="69">
        <v>46198.0</v>
      </c>
      <c r="I1973" s="78" t="s">
        <v>337</v>
      </c>
      <c r="J1973" s="78"/>
      <c r="K1973" s="81"/>
      <c r="L1973" s="80"/>
      <c r="M1973" s="81"/>
    </row>
    <row r="1974">
      <c r="A1974" s="78" t="s">
        <v>4121</v>
      </c>
      <c r="B1974" s="75" t="s">
        <v>374</v>
      </c>
      <c r="C1974" s="248" t="s">
        <v>647</v>
      </c>
      <c r="D1974" s="78">
        <v>2026.0</v>
      </c>
      <c r="E1974" s="78">
        <v>8.6036905502236E14</v>
      </c>
      <c r="F1974" s="76" t="s">
        <v>326</v>
      </c>
      <c r="G1974" s="68" t="s">
        <v>642</v>
      </c>
      <c r="H1974" s="69">
        <v>46205.0</v>
      </c>
      <c r="I1974" s="78" t="s">
        <v>337</v>
      </c>
      <c r="J1974" s="78"/>
      <c r="K1974" s="81"/>
      <c r="L1974" s="80"/>
      <c r="M1974" s="81"/>
    </row>
    <row r="1975">
      <c r="A1975" s="78" t="s">
        <v>4122</v>
      </c>
      <c r="B1975" s="75" t="s">
        <v>319</v>
      </c>
      <c r="C1975" s="75" t="s">
        <v>321</v>
      </c>
      <c r="D1975" s="78">
        <v>2026.0</v>
      </c>
      <c r="E1975" s="78">
        <v>8.60369054179294E14</v>
      </c>
      <c r="F1975" s="76" t="s">
        <v>326</v>
      </c>
      <c r="G1975" s="68" t="s">
        <v>328</v>
      </c>
      <c r="H1975" s="69">
        <v>46205.0</v>
      </c>
      <c r="I1975" s="78" t="s">
        <v>337</v>
      </c>
      <c r="J1975" s="78"/>
      <c r="K1975" s="81"/>
      <c r="L1975" s="80"/>
      <c r="M1975" s="81"/>
    </row>
    <row r="1976">
      <c r="A1976" s="78" t="s">
        <v>4123</v>
      </c>
      <c r="B1976" s="75" t="s">
        <v>319</v>
      </c>
      <c r="C1976" s="75" t="s">
        <v>321</v>
      </c>
      <c r="D1976" s="78">
        <v>2026.0</v>
      </c>
      <c r="E1976" s="78">
        <v>8.60369054167158E14</v>
      </c>
      <c r="F1976" s="76" t="s">
        <v>326</v>
      </c>
      <c r="G1976" s="68" t="s">
        <v>230</v>
      </c>
      <c r="H1976" s="69">
        <v>46206.0</v>
      </c>
      <c r="I1976" s="78" t="s">
        <v>337</v>
      </c>
      <c r="J1976" s="78"/>
      <c r="K1976" s="81"/>
      <c r="L1976" s="80"/>
      <c r="M1976" s="81"/>
    </row>
    <row r="1977">
      <c r="A1977" s="78" t="s">
        <v>4124</v>
      </c>
      <c r="B1977" s="75" t="s">
        <v>319</v>
      </c>
      <c r="C1977" s="75" t="s">
        <v>321</v>
      </c>
      <c r="D1977" s="78">
        <v>2026.0</v>
      </c>
      <c r="E1977" s="78">
        <v>8.60369054744063E14</v>
      </c>
      <c r="F1977" s="76" t="s">
        <v>326</v>
      </c>
      <c r="G1977" s="68" t="s">
        <v>230</v>
      </c>
      <c r="H1977" s="69">
        <v>46205.0</v>
      </c>
      <c r="I1977" s="78" t="s">
        <v>337</v>
      </c>
      <c r="J1977" s="78"/>
      <c r="K1977" s="81"/>
      <c r="L1977" s="80"/>
      <c r="M1977" s="81"/>
    </row>
    <row r="1978">
      <c r="A1978" s="75" t="s">
        <v>4125</v>
      </c>
      <c r="B1978" s="75" t="s">
        <v>319</v>
      </c>
      <c r="C1978" s="75" t="s">
        <v>1247</v>
      </c>
      <c r="D1978" s="75">
        <v>2024.0</v>
      </c>
      <c r="E1978" s="75">
        <v>8.60369054169709E14</v>
      </c>
      <c r="F1978" s="76" t="s">
        <v>326</v>
      </c>
      <c r="G1978" s="68" t="s">
        <v>328</v>
      </c>
      <c r="H1978" s="69">
        <v>45658.0</v>
      </c>
      <c r="I1978" s="78" t="s">
        <v>337</v>
      </c>
      <c r="J1978" s="78"/>
      <c r="K1978" s="79"/>
      <c r="L1978" s="80"/>
      <c r="M1978" s="81"/>
    </row>
    <row r="1979">
      <c r="A1979" s="78" t="s">
        <v>4126</v>
      </c>
      <c r="B1979" s="225" t="s">
        <v>374</v>
      </c>
      <c r="C1979" s="248" t="s">
        <v>647</v>
      </c>
      <c r="D1979" s="78">
        <v>2026.0</v>
      </c>
      <c r="E1979" s="78">
        <v>8.6036905490733E14</v>
      </c>
      <c r="F1979" s="76" t="s">
        <v>326</v>
      </c>
      <c r="G1979" s="68" t="s">
        <v>642</v>
      </c>
      <c r="H1979" s="69">
        <v>46204.0</v>
      </c>
      <c r="I1979" s="78" t="s">
        <v>337</v>
      </c>
      <c r="J1979" s="78"/>
      <c r="K1979" s="81"/>
      <c r="L1979" s="80"/>
      <c r="M1979" s="81"/>
    </row>
    <row r="1980">
      <c r="A1980" s="78" t="s">
        <v>4127</v>
      </c>
      <c r="B1980" s="75" t="s">
        <v>319</v>
      </c>
      <c r="C1980" s="75" t="s">
        <v>1247</v>
      </c>
      <c r="D1980" s="78">
        <v>2026.0</v>
      </c>
      <c r="E1980" s="78">
        <v>8.60369054757578E14</v>
      </c>
      <c r="F1980" s="76" t="s">
        <v>326</v>
      </c>
      <c r="G1980" s="68" t="s">
        <v>230</v>
      </c>
      <c r="H1980" s="69">
        <v>46198.0</v>
      </c>
      <c r="I1980" s="78" t="s">
        <v>337</v>
      </c>
      <c r="J1980" s="78"/>
      <c r="K1980" s="81"/>
      <c r="L1980" s="80"/>
      <c r="M1980" s="81"/>
    </row>
    <row r="1981">
      <c r="A1981" s="75">
        <v>8.60369054175656E14</v>
      </c>
      <c r="B1981" s="75"/>
      <c r="C1981" s="75"/>
      <c r="D1981" s="75"/>
      <c r="E1981" s="75">
        <v>8.60369054175656E14</v>
      </c>
      <c r="F1981" s="221"/>
      <c r="G1981" s="68"/>
      <c r="H1981" s="69">
        <v>45658.0</v>
      </c>
      <c r="I1981" s="78" t="s">
        <v>2065</v>
      </c>
      <c r="J1981" s="78"/>
      <c r="K1981" s="79"/>
      <c r="L1981" s="80"/>
      <c r="M1981" s="81"/>
    </row>
    <row r="1982">
      <c r="A1982" s="78" t="s">
        <v>4128</v>
      </c>
      <c r="B1982" s="75" t="s">
        <v>319</v>
      </c>
      <c r="C1982" s="75" t="s">
        <v>1346</v>
      </c>
      <c r="D1982" s="78">
        <v>2026.0</v>
      </c>
      <c r="E1982" s="78">
        <v>8.60369054405541E14</v>
      </c>
      <c r="F1982" s="76" t="s">
        <v>326</v>
      </c>
      <c r="G1982" s="68" t="s">
        <v>230</v>
      </c>
      <c r="H1982" s="69">
        <v>46198.0</v>
      </c>
      <c r="I1982" s="78" t="s">
        <v>337</v>
      </c>
      <c r="J1982" s="78"/>
      <c r="K1982" s="81"/>
      <c r="L1982" s="80"/>
      <c r="M1982" s="81"/>
    </row>
    <row r="1983">
      <c r="A1983" s="75" t="s">
        <v>4129</v>
      </c>
      <c r="B1983" s="75" t="s">
        <v>319</v>
      </c>
      <c r="C1983" s="75" t="s">
        <v>1346</v>
      </c>
      <c r="D1983" s="75">
        <v>2023.0</v>
      </c>
      <c r="E1983" s="75">
        <v>8.60369054173693E14</v>
      </c>
      <c r="F1983" s="76" t="s">
        <v>326</v>
      </c>
      <c r="G1983" s="68" t="s">
        <v>328</v>
      </c>
      <c r="H1983" s="69">
        <v>45658.0</v>
      </c>
      <c r="I1983" s="78" t="s">
        <v>337</v>
      </c>
      <c r="J1983" s="78"/>
      <c r="K1983" s="79"/>
      <c r="L1983" s="80"/>
      <c r="M1983" s="81"/>
    </row>
    <row r="1984">
      <c r="A1984" s="75" t="s">
        <v>4130</v>
      </c>
      <c r="B1984" s="75" t="s">
        <v>319</v>
      </c>
      <c r="C1984" s="75" t="s">
        <v>321</v>
      </c>
      <c r="D1984" s="75">
        <v>2025.0</v>
      </c>
      <c r="E1984" s="75">
        <v>8.60369052193917E14</v>
      </c>
      <c r="F1984" s="76" t="s">
        <v>326</v>
      </c>
      <c r="G1984" s="68" t="s">
        <v>328</v>
      </c>
      <c r="H1984" s="69">
        <v>45658.0</v>
      </c>
      <c r="I1984" s="78" t="s">
        <v>337</v>
      </c>
      <c r="J1984" s="78"/>
      <c r="K1984" s="79"/>
      <c r="L1984" s="80"/>
      <c r="M1984" s="81"/>
    </row>
    <row r="1985">
      <c r="A1985" s="75" t="s">
        <v>4131</v>
      </c>
      <c r="B1985" s="75" t="s">
        <v>319</v>
      </c>
      <c r="C1985" s="75" t="s">
        <v>1247</v>
      </c>
      <c r="D1985" s="75">
        <v>2025.0</v>
      </c>
      <c r="E1985" s="75">
        <v>8.60369052707435E14</v>
      </c>
      <c r="F1985" s="76" t="s">
        <v>326</v>
      </c>
      <c r="G1985" s="68" t="s">
        <v>328</v>
      </c>
      <c r="H1985" s="69">
        <v>45658.0</v>
      </c>
      <c r="I1985" s="78" t="s">
        <v>337</v>
      </c>
      <c r="J1985" s="78"/>
      <c r="K1985" s="79"/>
      <c r="L1985" s="80"/>
      <c r="M1985" s="81"/>
    </row>
    <row r="1986">
      <c r="A1986" s="75" t="s">
        <v>4132</v>
      </c>
      <c r="B1986" s="75" t="s">
        <v>319</v>
      </c>
      <c r="C1986" s="75" t="s">
        <v>321</v>
      </c>
      <c r="D1986" s="75">
        <v>2022.0</v>
      </c>
      <c r="E1986" s="75">
        <v>8.60369054184765E14</v>
      </c>
      <c r="F1986" s="76" t="s">
        <v>326</v>
      </c>
      <c r="G1986" s="68" t="s">
        <v>328</v>
      </c>
      <c r="H1986" s="69">
        <v>45658.0</v>
      </c>
      <c r="I1986" s="78" t="s">
        <v>337</v>
      </c>
      <c r="J1986" s="78"/>
      <c r="K1986" s="79"/>
      <c r="L1986" s="80"/>
      <c r="M1986" s="81"/>
    </row>
    <row r="1987">
      <c r="A1987" s="65" t="s">
        <v>4133</v>
      </c>
      <c r="B1987" s="65" t="s">
        <v>319</v>
      </c>
      <c r="C1987" s="65" t="s">
        <v>723</v>
      </c>
      <c r="D1987" s="65">
        <v>2020.0</v>
      </c>
      <c r="E1987" s="65">
        <v>8.60369051071999E14</v>
      </c>
      <c r="F1987" s="65" t="s">
        <v>326</v>
      </c>
      <c r="G1987" s="192" t="s">
        <v>404</v>
      </c>
      <c r="H1987" s="69">
        <v>46024.0</v>
      </c>
      <c r="I1987" s="65" t="s">
        <v>337</v>
      </c>
      <c r="J1987" s="71"/>
      <c r="K1987" s="73"/>
      <c r="L1987" s="73"/>
      <c r="M1987" s="73" t="s">
        <v>338</v>
      </c>
    </row>
    <row r="1988">
      <c r="A1988" s="75" t="s">
        <v>4134</v>
      </c>
      <c r="B1988" s="75" t="s">
        <v>319</v>
      </c>
      <c r="C1988" s="75" t="s">
        <v>376</v>
      </c>
      <c r="D1988" s="75">
        <v>2020.0</v>
      </c>
      <c r="E1988" s="75">
        <v>8.60369054160997E14</v>
      </c>
      <c r="F1988" s="76" t="s">
        <v>326</v>
      </c>
      <c r="G1988" s="68" t="s">
        <v>328</v>
      </c>
      <c r="H1988" s="69">
        <v>45658.0</v>
      </c>
      <c r="I1988" s="78" t="s">
        <v>337</v>
      </c>
      <c r="J1988" s="78"/>
      <c r="K1988" s="79"/>
      <c r="L1988" s="80"/>
      <c r="M1988" s="81"/>
    </row>
    <row r="1989">
      <c r="A1989" s="75" t="s">
        <v>4135</v>
      </c>
      <c r="B1989" s="75" t="s">
        <v>319</v>
      </c>
      <c r="C1989" s="75" t="s">
        <v>321</v>
      </c>
      <c r="D1989" s="75">
        <v>2022.0</v>
      </c>
      <c r="E1989" s="75">
        <v>8.60369054401888E14</v>
      </c>
      <c r="F1989" s="76" t="s">
        <v>326</v>
      </c>
      <c r="G1989" s="68" t="s">
        <v>328</v>
      </c>
      <c r="H1989" s="69">
        <v>45658.0</v>
      </c>
      <c r="I1989" s="78" t="s">
        <v>337</v>
      </c>
      <c r="J1989" s="78"/>
      <c r="K1989" s="79"/>
      <c r="L1989" s="80"/>
      <c r="M1989" s="81"/>
    </row>
    <row r="1990">
      <c r="A1990" s="78" t="s">
        <v>4136</v>
      </c>
      <c r="B1990" s="75" t="s">
        <v>319</v>
      </c>
      <c r="C1990" s="75" t="s">
        <v>723</v>
      </c>
      <c r="D1990" s="78">
        <v>2026.0</v>
      </c>
      <c r="E1990" s="78">
        <v>8.60369054415334E14</v>
      </c>
      <c r="F1990" s="76" t="s">
        <v>326</v>
      </c>
      <c r="G1990" s="68" t="s">
        <v>230</v>
      </c>
      <c r="H1990" s="69">
        <v>46190.0</v>
      </c>
      <c r="I1990" s="78" t="s">
        <v>337</v>
      </c>
      <c r="J1990" s="78"/>
      <c r="K1990" s="81"/>
      <c r="L1990" s="80"/>
      <c r="M1990" s="81"/>
    </row>
    <row r="1991">
      <c r="A1991" s="78" t="s">
        <v>4137</v>
      </c>
      <c r="B1991" s="75" t="s">
        <v>1006</v>
      </c>
      <c r="C1991" s="75" t="s">
        <v>2179</v>
      </c>
      <c r="D1991" s="78">
        <v>2026.0</v>
      </c>
      <c r="E1991" s="78">
        <v>8.60369055023566E14</v>
      </c>
      <c r="F1991" s="76" t="s">
        <v>326</v>
      </c>
      <c r="G1991" s="68" t="s">
        <v>538</v>
      </c>
      <c r="H1991" s="69">
        <v>46198.0</v>
      </c>
      <c r="I1991" s="78" t="s">
        <v>337</v>
      </c>
      <c r="J1991" s="78"/>
      <c r="K1991" s="81"/>
      <c r="L1991" s="80"/>
      <c r="M1991" s="81"/>
    </row>
    <row r="1992">
      <c r="A1992" s="78" t="s">
        <v>4138</v>
      </c>
      <c r="B1992" s="75" t="s">
        <v>319</v>
      </c>
      <c r="C1992" s="75" t="s">
        <v>4139</v>
      </c>
      <c r="D1992" s="78">
        <v>2021.0</v>
      </c>
      <c r="E1992" s="78">
        <v>8.60369055009557E14</v>
      </c>
      <c r="F1992" s="76" t="s">
        <v>326</v>
      </c>
      <c r="G1992" s="68" t="s">
        <v>642</v>
      </c>
      <c r="H1992" s="69">
        <v>46205.0</v>
      </c>
      <c r="I1992" s="78" t="s">
        <v>337</v>
      </c>
      <c r="J1992" s="78"/>
      <c r="K1992" s="81"/>
      <c r="L1992" s="80"/>
      <c r="M1992" s="81"/>
    </row>
    <row r="1993">
      <c r="A1993" s="78" t="s">
        <v>4140</v>
      </c>
      <c r="B1993" s="75" t="s">
        <v>319</v>
      </c>
      <c r="C1993" s="75" t="s">
        <v>4141</v>
      </c>
      <c r="D1993" s="78">
        <v>2022.0</v>
      </c>
      <c r="E1993" s="78">
        <v>8.60369054997117E14</v>
      </c>
      <c r="F1993" s="76" t="s">
        <v>326</v>
      </c>
      <c r="G1993" s="68" t="s">
        <v>642</v>
      </c>
      <c r="H1993" s="69">
        <v>46205.0</v>
      </c>
      <c r="I1993" s="78" t="s">
        <v>337</v>
      </c>
      <c r="J1993" s="78"/>
      <c r="K1993" s="81"/>
      <c r="L1993" s="80"/>
      <c r="M1993" s="81"/>
    </row>
    <row r="1994">
      <c r="A1994" s="78" t="s">
        <v>4142</v>
      </c>
      <c r="B1994" s="75" t="s">
        <v>319</v>
      </c>
      <c r="C1994" s="75" t="s">
        <v>4141</v>
      </c>
      <c r="D1994" s="78">
        <v>2022.0</v>
      </c>
      <c r="E1994" s="78">
        <v>8.60369055005258E14</v>
      </c>
      <c r="F1994" s="76" t="s">
        <v>326</v>
      </c>
      <c r="G1994" s="68" t="s">
        <v>642</v>
      </c>
      <c r="H1994" s="69">
        <v>46205.0</v>
      </c>
      <c r="I1994" s="78" t="s">
        <v>337</v>
      </c>
      <c r="J1994" s="78"/>
      <c r="K1994" s="81"/>
      <c r="L1994" s="80"/>
      <c r="M1994" s="81"/>
    </row>
    <row r="1995">
      <c r="A1995" s="78" t="s">
        <v>4143</v>
      </c>
      <c r="B1995" s="75" t="s">
        <v>319</v>
      </c>
      <c r="C1995" s="75" t="s">
        <v>376</v>
      </c>
      <c r="D1995" s="78">
        <v>2022.0</v>
      </c>
      <c r="E1995" s="78">
        <v>8.60369055004699E14</v>
      </c>
      <c r="F1995" s="76" t="s">
        <v>326</v>
      </c>
      <c r="G1995" s="68" t="s">
        <v>642</v>
      </c>
      <c r="H1995" s="69">
        <v>46205.0</v>
      </c>
      <c r="I1995" s="78" t="s">
        <v>337</v>
      </c>
      <c r="J1995" s="78"/>
      <c r="K1995" s="81"/>
      <c r="L1995" s="80"/>
      <c r="M1995" s="81"/>
    </row>
    <row r="1996">
      <c r="A1996" s="78" t="s">
        <v>4144</v>
      </c>
      <c r="B1996" s="75" t="s">
        <v>319</v>
      </c>
      <c r="C1996" s="75" t="s">
        <v>376</v>
      </c>
      <c r="D1996" s="78">
        <v>2022.0</v>
      </c>
      <c r="E1996" s="78">
        <v>8.60369051057519E14</v>
      </c>
      <c r="F1996" s="76" t="s">
        <v>326</v>
      </c>
      <c r="G1996" s="68" t="s">
        <v>642</v>
      </c>
      <c r="H1996" s="69">
        <v>46205.0</v>
      </c>
      <c r="I1996" s="78" t="s">
        <v>337</v>
      </c>
      <c r="J1996" s="78"/>
      <c r="K1996" s="81"/>
      <c r="L1996" s="80"/>
      <c r="M1996" s="81"/>
    </row>
    <row r="1997">
      <c r="A1997" s="78" t="s">
        <v>4145</v>
      </c>
      <c r="B1997" s="75" t="s">
        <v>319</v>
      </c>
      <c r="C1997" s="75" t="s">
        <v>376</v>
      </c>
      <c r="D1997" s="78">
        <v>2025.0</v>
      </c>
      <c r="E1997" s="78">
        <v>8.60369054989379E14</v>
      </c>
      <c r="F1997" s="76" t="s">
        <v>326</v>
      </c>
      <c r="G1997" s="68" t="s">
        <v>642</v>
      </c>
      <c r="H1997" s="69">
        <v>46205.0</v>
      </c>
      <c r="I1997" s="78" t="s">
        <v>337</v>
      </c>
      <c r="J1997" s="78"/>
      <c r="K1997" s="81"/>
      <c r="L1997" s="80"/>
      <c r="M1997" s="81"/>
    </row>
    <row r="1998">
      <c r="A1998" s="78" t="s">
        <v>4146</v>
      </c>
      <c r="B1998" s="75" t="s">
        <v>319</v>
      </c>
      <c r="C1998" s="75" t="s">
        <v>1898</v>
      </c>
      <c r="D1998" s="78">
        <v>2018.0</v>
      </c>
      <c r="E1998" s="78">
        <v>8.60369055008088E14</v>
      </c>
      <c r="F1998" s="76" t="s">
        <v>326</v>
      </c>
      <c r="G1998" s="68" t="s">
        <v>642</v>
      </c>
      <c r="H1998" s="69">
        <v>46205.0</v>
      </c>
      <c r="I1998" s="78" t="s">
        <v>337</v>
      </c>
      <c r="J1998" s="78"/>
      <c r="K1998" s="81"/>
      <c r="L1998" s="80"/>
      <c r="M1998" s="81"/>
    </row>
    <row r="1999">
      <c r="A1999" s="78" t="s">
        <v>4147</v>
      </c>
      <c r="B1999" s="75" t="s">
        <v>319</v>
      </c>
      <c r="C1999" s="75" t="s">
        <v>376</v>
      </c>
      <c r="D1999" s="78">
        <v>2023.0</v>
      </c>
      <c r="E1999" s="78">
        <v>8.60369055028391E14</v>
      </c>
      <c r="F1999" s="76" t="s">
        <v>326</v>
      </c>
      <c r="G1999" s="68" t="s">
        <v>642</v>
      </c>
      <c r="H1999" s="69">
        <v>46201.0</v>
      </c>
      <c r="I1999" s="78" t="s">
        <v>337</v>
      </c>
      <c r="J1999" s="78"/>
      <c r="K1999" s="81"/>
      <c r="L1999" s="80"/>
      <c r="M1999" s="81"/>
    </row>
    <row r="2000">
      <c r="A2000" s="78" t="s">
        <v>4148</v>
      </c>
      <c r="B2000" s="75" t="s">
        <v>319</v>
      </c>
      <c r="C2000" s="75" t="s">
        <v>376</v>
      </c>
      <c r="D2000" s="78">
        <v>2023.0</v>
      </c>
      <c r="E2000" s="78">
        <v>8.60369054975311E14</v>
      </c>
      <c r="F2000" s="76" t="s">
        <v>326</v>
      </c>
      <c r="G2000" s="68" t="s">
        <v>642</v>
      </c>
      <c r="H2000" s="69">
        <v>46204.0</v>
      </c>
      <c r="I2000" s="78" t="s">
        <v>337</v>
      </c>
      <c r="J2000" s="78"/>
      <c r="K2000" s="81"/>
      <c r="L2000" s="80"/>
      <c r="M2000" s="81"/>
    </row>
    <row r="2001">
      <c r="A2001" s="78" t="s">
        <v>4149</v>
      </c>
      <c r="B2001" s="75" t="s">
        <v>319</v>
      </c>
      <c r="C2001" s="75" t="s">
        <v>376</v>
      </c>
      <c r="D2001" s="78">
        <v>2023.0</v>
      </c>
      <c r="E2001" s="78">
        <v>8.60369054740178E14</v>
      </c>
      <c r="F2001" s="76" t="s">
        <v>326</v>
      </c>
      <c r="G2001" s="68" t="s">
        <v>642</v>
      </c>
      <c r="H2001" s="69">
        <v>46204.0</v>
      </c>
      <c r="I2001" s="78" t="s">
        <v>337</v>
      </c>
      <c r="J2001" s="78"/>
      <c r="K2001" s="81"/>
      <c r="L2001" s="80"/>
      <c r="M2001" s="81"/>
    </row>
    <row r="2002">
      <c r="A2002" s="78" t="s">
        <v>4150</v>
      </c>
      <c r="B2002" s="75" t="s">
        <v>319</v>
      </c>
      <c r="C2002" s="75" t="s">
        <v>723</v>
      </c>
      <c r="D2002" s="78">
        <v>2025.0</v>
      </c>
      <c r="E2002" s="78">
        <v>8.60369054188519E14</v>
      </c>
      <c r="F2002" s="76" t="s">
        <v>326</v>
      </c>
      <c r="G2002" s="68" t="s">
        <v>642</v>
      </c>
      <c r="H2002" s="69">
        <v>46204.0</v>
      </c>
      <c r="I2002" s="78" t="s">
        <v>337</v>
      </c>
      <c r="J2002" s="78"/>
      <c r="K2002" s="81"/>
      <c r="L2002" s="80"/>
      <c r="M2002" s="81"/>
    </row>
    <row r="2003">
      <c r="A2003" s="78" t="s">
        <v>4151</v>
      </c>
      <c r="B2003" s="75" t="s">
        <v>374</v>
      </c>
      <c r="C2003" s="75" t="s">
        <v>1588</v>
      </c>
      <c r="D2003" s="78">
        <v>2024.0</v>
      </c>
      <c r="E2003" s="78">
        <v>8.60369055006777E14</v>
      </c>
      <c r="F2003" s="76" t="s">
        <v>326</v>
      </c>
      <c r="G2003" s="68" t="s">
        <v>642</v>
      </c>
      <c r="H2003" s="69">
        <v>46204.0</v>
      </c>
      <c r="I2003" s="78" t="s">
        <v>337</v>
      </c>
      <c r="J2003" s="78"/>
      <c r="K2003" s="81"/>
      <c r="L2003" s="80"/>
      <c r="M2003" s="81"/>
    </row>
    <row r="2004">
      <c r="A2004" s="78" t="s">
        <v>4152</v>
      </c>
      <c r="B2004" s="75" t="s">
        <v>374</v>
      </c>
      <c r="C2004" s="75" t="s">
        <v>1588</v>
      </c>
      <c r="D2004" s="78">
        <v>2026.0</v>
      </c>
      <c r="E2004" s="78">
        <v>8.60369054947096E14</v>
      </c>
      <c r="F2004" s="76" t="s">
        <v>326</v>
      </c>
      <c r="G2004" s="68" t="s">
        <v>642</v>
      </c>
      <c r="H2004" s="69">
        <v>46204.0</v>
      </c>
      <c r="I2004" s="78" t="s">
        <v>337</v>
      </c>
      <c r="J2004" s="78"/>
      <c r="K2004" s="81"/>
      <c r="L2004" s="80"/>
      <c r="M2004" s="81"/>
    </row>
    <row r="2005">
      <c r="A2005" s="78" t="s">
        <v>4153</v>
      </c>
      <c r="B2005" s="75" t="s">
        <v>319</v>
      </c>
      <c r="C2005" s="75" t="s">
        <v>376</v>
      </c>
      <c r="D2005" s="78">
        <v>2025.0</v>
      </c>
      <c r="E2005" s="78">
        <v>8.60369052122403E14</v>
      </c>
      <c r="F2005" s="76" t="s">
        <v>326</v>
      </c>
      <c r="G2005" s="68" t="s">
        <v>642</v>
      </c>
      <c r="H2005" s="69">
        <v>46204.0</v>
      </c>
      <c r="I2005" s="78" t="s">
        <v>337</v>
      </c>
      <c r="J2005" s="78"/>
      <c r="K2005" s="81"/>
      <c r="L2005" s="80"/>
      <c r="M2005" s="81"/>
    </row>
    <row r="2006">
      <c r="A2006" s="78" t="s">
        <v>4154</v>
      </c>
      <c r="B2006" s="75" t="s">
        <v>319</v>
      </c>
      <c r="C2006" s="75" t="s">
        <v>376</v>
      </c>
      <c r="D2006" s="78">
        <v>2021.0</v>
      </c>
      <c r="E2006" s="78">
        <v>8.60369055008039E14</v>
      </c>
      <c r="F2006" s="76" t="s">
        <v>326</v>
      </c>
      <c r="G2006" s="68" t="s">
        <v>642</v>
      </c>
      <c r="H2006" s="69">
        <v>46204.0</v>
      </c>
      <c r="I2006" s="78" t="s">
        <v>337</v>
      </c>
      <c r="J2006" s="78"/>
      <c r="K2006" s="81"/>
      <c r="L2006" s="80"/>
      <c r="M2006" s="81"/>
    </row>
    <row r="2007">
      <c r="A2007" s="78" t="s">
        <v>4155</v>
      </c>
      <c r="B2007" s="75" t="s">
        <v>319</v>
      </c>
      <c r="C2007" s="75" t="s">
        <v>4139</v>
      </c>
      <c r="D2007" s="78">
        <v>2021.0</v>
      </c>
      <c r="E2007" s="78">
        <v>8.60369055005795E14</v>
      </c>
      <c r="F2007" s="76" t="s">
        <v>326</v>
      </c>
      <c r="G2007" s="68" t="s">
        <v>642</v>
      </c>
      <c r="H2007" s="69">
        <v>46204.0</v>
      </c>
      <c r="I2007" s="78" t="s">
        <v>337</v>
      </c>
      <c r="J2007" s="78"/>
      <c r="K2007" s="81"/>
      <c r="L2007" s="80"/>
      <c r="M2007" s="81"/>
    </row>
    <row r="2008">
      <c r="A2008" s="78" t="s">
        <v>4156</v>
      </c>
      <c r="B2008" s="75" t="s">
        <v>319</v>
      </c>
      <c r="C2008" s="75" t="s">
        <v>723</v>
      </c>
      <c r="D2008" s="78">
        <v>2022.0</v>
      </c>
      <c r="E2008" s="78">
        <v>8.60369055026759E14</v>
      </c>
      <c r="F2008" s="76" t="s">
        <v>326</v>
      </c>
      <c r="G2008" s="68" t="s">
        <v>642</v>
      </c>
      <c r="H2008" s="69">
        <v>46204.0</v>
      </c>
      <c r="I2008" s="78" t="s">
        <v>337</v>
      </c>
      <c r="J2008" s="78"/>
      <c r="K2008" s="81"/>
      <c r="L2008" s="80"/>
      <c r="M2008" s="81"/>
    </row>
    <row r="2009">
      <c r="A2009" s="78" t="s">
        <v>4157</v>
      </c>
      <c r="B2009" s="75" t="s">
        <v>319</v>
      </c>
      <c r="C2009" s="75" t="s">
        <v>4139</v>
      </c>
      <c r="D2009" s="78">
        <v>2021.0</v>
      </c>
      <c r="E2009" s="78">
        <v>8.60369055014193E14</v>
      </c>
      <c r="F2009" s="76" t="s">
        <v>326</v>
      </c>
      <c r="G2009" s="68" t="s">
        <v>642</v>
      </c>
      <c r="H2009" s="69">
        <v>46204.0</v>
      </c>
      <c r="I2009" s="78" t="s">
        <v>337</v>
      </c>
      <c r="J2009" s="78"/>
      <c r="K2009" s="81"/>
      <c r="L2009" s="80"/>
      <c r="M2009" s="81"/>
    </row>
    <row r="2010">
      <c r="A2010" s="78" t="s">
        <v>4158</v>
      </c>
      <c r="B2010" s="75" t="s">
        <v>319</v>
      </c>
      <c r="C2010" s="75" t="s">
        <v>321</v>
      </c>
      <c r="D2010" s="78">
        <v>2026.0</v>
      </c>
      <c r="E2010" s="78">
        <v>8.60369054176522E14</v>
      </c>
      <c r="F2010" s="76" t="s">
        <v>326</v>
      </c>
      <c r="G2010" s="68" t="s">
        <v>230</v>
      </c>
      <c r="H2010" s="69">
        <v>46191.0</v>
      </c>
      <c r="I2010" s="78" t="s">
        <v>337</v>
      </c>
      <c r="J2010" s="78"/>
      <c r="K2010" s="81"/>
      <c r="L2010" s="80"/>
      <c r="M2010" s="81"/>
    </row>
    <row r="2011">
      <c r="A2011" s="78" t="s">
        <v>4159</v>
      </c>
      <c r="B2011" s="75" t="s">
        <v>319</v>
      </c>
      <c r="C2011" s="75" t="s">
        <v>376</v>
      </c>
      <c r="D2011" s="78">
        <v>2022.0</v>
      </c>
      <c r="E2011" s="78">
        <v>8.60369054973647E14</v>
      </c>
      <c r="F2011" s="76" t="s">
        <v>326</v>
      </c>
      <c r="G2011" s="68" t="s">
        <v>642</v>
      </c>
      <c r="H2011" s="69">
        <v>46204.0</v>
      </c>
      <c r="I2011" s="78" t="s">
        <v>337</v>
      </c>
      <c r="J2011" s="78"/>
      <c r="K2011" s="81"/>
      <c r="L2011" s="80"/>
      <c r="M2011" s="81"/>
    </row>
    <row r="2012">
      <c r="A2012" s="75" t="s">
        <v>4160</v>
      </c>
      <c r="B2012" s="75" t="s">
        <v>374</v>
      </c>
      <c r="C2012" s="75"/>
      <c r="D2012" s="75"/>
      <c r="E2012" s="75" t="s">
        <v>378</v>
      </c>
      <c r="F2012" s="221"/>
      <c r="G2012" s="68"/>
      <c r="H2012" s="69">
        <v>45658.0</v>
      </c>
      <c r="I2012" s="78" t="s">
        <v>2065</v>
      </c>
      <c r="J2012" s="78"/>
      <c r="K2012" s="79"/>
      <c r="L2012" s="80"/>
      <c r="M2012" s="81"/>
    </row>
    <row r="2013">
      <c r="A2013" s="78" t="s">
        <v>4161</v>
      </c>
      <c r="B2013" s="75" t="s">
        <v>389</v>
      </c>
      <c r="C2013" s="75" t="s">
        <v>1292</v>
      </c>
      <c r="D2013" s="78">
        <v>2026.0</v>
      </c>
      <c r="E2013" s="78">
        <v>8.60369054908239E14</v>
      </c>
      <c r="F2013" s="76" t="s">
        <v>326</v>
      </c>
      <c r="G2013" s="68" t="s">
        <v>642</v>
      </c>
      <c r="H2013" s="69">
        <v>46201.0</v>
      </c>
      <c r="I2013" s="78" t="s">
        <v>337</v>
      </c>
      <c r="J2013" s="78"/>
      <c r="K2013" s="81"/>
      <c r="L2013" s="80"/>
      <c r="M2013" s="81"/>
    </row>
    <row r="2014">
      <c r="A2014" s="78" t="s">
        <v>4162</v>
      </c>
      <c r="B2014" s="75" t="s">
        <v>319</v>
      </c>
      <c r="C2014" s="75" t="s">
        <v>376</v>
      </c>
      <c r="D2014" s="78">
        <v>2022.0</v>
      </c>
      <c r="E2014" s="78">
        <v>8.60369054985708E14</v>
      </c>
      <c r="F2014" s="76" t="s">
        <v>326</v>
      </c>
      <c r="G2014" s="68" t="s">
        <v>642</v>
      </c>
      <c r="H2014" s="69">
        <v>46201.0</v>
      </c>
      <c r="I2014" s="78" t="s">
        <v>337</v>
      </c>
      <c r="J2014" s="78"/>
      <c r="K2014" s="81"/>
      <c r="L2014" s="80"/>
      <c r="M2014" s="81"/>
    </row>
    <row r="2015">
      <c r="A2015" s="78" t="s">
        <v>4163</v>
      </c>
      <c r="B2015" s="75" t="s">
        <v>319</v>
      </c>
      <c r="C2015" s="75" t="s">
        <v>376</v>
      </c>
      <c r="D2015" s="78">
        <v>2023.0</v>
      </c>
      <c r="E2015" s="78">
        <v>8.60369052457189E14</v>
      </c>
      <c r="F2015" s="76" t="s">
        <v>326</v>
      </c>
      <c r="G2015" s="68" t="s">
        <v>642</v>
      </c>
      <c r="H2015" s="69">
        <v>46201.0</v>
      </c>
      <c r="I2015" s="78" t="s">
        <v>337</v>
      </c>
      <c r="J2015" s="78"/>
      <c r="K2015" s="81"/>
      <c r="L2015" s="80"/>
      <c r="M2015" s="81"/>
    </row>
    <row r="2016">
      <c r="A2016" s="78" t="s">
        <v>4164</v>
      </c>
      <c r="B2016" s="75" t="s">
        <v>319</v>
      </c>
      <c r="C2016" s="75" t="s">
        <v>376</v>
      </c>
      <c r="D2016" s="78">
        <v>2022.0</v>
      </c>
      <c r="E2016" s="78">
        <v>8.60369055021867E14</v>
      </c>
      <c r="F2016" s="76" t="s">
        <v>326</v>
      </c>
      <c r="G2016" s="68" t="s">
        <v>642</v>
      </c>
      <c r="H2016" s="69">
        <v>46201.0</v>
      </c>
      <c r="I2016" s="78" t="s">
        <v>337</v>
      </c>
      <c r="J2016" s="78"/>
      <c r="K2016" s="81"/>
      <c r="L2016" s="80"/>
      <c r="M2016" s="81"/>
    </row>
    <row r="2017">
      <c r="A2017" s="78" t="s">
        <v>4165</v>
      </c>
      <c r="B2017" s="75" t="s">
        <v>319</v>
      </c>
      <c r="C2017" s="75" t="s">
        <v>1898</v>
      </c>
      <c r="D2017" s="78">
        <v>2022.0</v>
      </c>
      <c r="E2017" s="78">
        <v>8.60369054419807E14</v>
      </c>
      <c r="F2017" s="76" t="s">
        <v>326</v>
      </c>
      <c r="G2017" s="68" t="s">
        <v>642</v>
      </c>
      <c r="H2017" s="69">
        <v>46201.0</v>
      </c>
      <c r="I2017" s="78" t="s">
        <v>337</v>
      </c>
      <c r="J2017" s="78"/>
      <c r="K2017" s="81"/>
      <c r="L2017" s="80"/>
      <c r="M2017" s="81"/>
    </row>
    <row r="2018">
      <c r="A2018" s="78" t="s">
        <v>4166</v>
      </c>
      <c r="B2018" s="75" t="s">
        <v>374</v>
      </c>
      <c r="C2018" s="75" t="s">
        <v>647</v>
      </c>
      <c r="D2018" s="78">
        <v>2024.0</v>
      </c>
      <c r="E2018" s="78">
        <v>8.6036905498296E14</v>
      </c>
      <c r="F2018" s="76" t="s">
        <v>326</v>
      </c>
      <c r="G2018" s="68" t="s">
        <v>642</v>
      </c>
      <c r="H2018" s="69">
        <v>46201.0</v>
      </c>
      <c r="I2018" s="78" t="s">
        <v>337</v>
      </c>
      <c r="J2018" s="78"/>
      <c r="K2018" s="81"/>
      <c r="L2018" s="80"/>
      <c r="M2018" s="81"/>
    </row>
    <row r="2019">
      <c r="A2019" s="78" t="s">
        <v>4167</v>
      </c>
      <c r="B2019" s="75" t="s">
        <v>319</v>
      </c>
      <c r="C2019" s="75" t="s">
        <v>376</v>
      </c>
      <c r="D2019" s="78">
        <v>2025.0</v>
      </c>
      <c r="E2019" s="78">
        <v>8.60369054756786E14</v>
      </c>
      <c r="F2019" s="76" t="s">
        <v>326</v>
      </c>
      <c r="G2019" s="68" t="s">
        <v>642</v>
      </c>
      <c r="H2019" s="69">
        <v>46201.0</v>
      </c>
      <c r="I2019" s="78" t="s">
        <v>337</v>
      </c>
      <c r="J2019" s="78"/>
      <c r="K2019" s="81"/>
      <c r="L2019" s="80"/>
      <c r="M2019" s="81"/>
    </row>
    <row r="2020">
      <c r="A2020" s="78" t="s">
        <v>4168</v>
      </c>
      <c r="B2020" s="75" t="s">
        <v>319</v>
      </c>
      <c r="C2020" s="75" t="s">
        <v>376</v>
      </c>
      <c r="D2020" s="78">
        <v>2023.0</v>
      </c>
      <c r="E2020" s="78">
        <v>8.60369054985294E14</v>
      </c>
      <c r="F2020" s="76" t="s">
        <v>326</v>
      </c>
      <c r="G2020" s="68" t="s">
        <v>642</v>
      </c>
      <c r="H2020" s="69">
        <v>46201.0</v>
      </c>
      <c r="I2020" s="78" t="s">
        <v>337</v>
      </c>
      <c r="J2020" s="78"/>
      <c r="K2020" s="81"/>
      <c r="L2020" s="80"/>
      <c r="M2020" s="81"/>
    </row>
    <row r="2021">
      <c r="A2021" s="78" t="s">
        <v>4169</v>
      </c>
      <c r="B2021" s="75" t="s">
        <v>319</v>
      </c>
      <c r="C2021" s="75" t="s">
        <v>1898</v>
      </c>
      <c r="D2021" s="78">
        <v>2018.0</v>
      </c>
      <c r="E2021" s="78">
        <v>8.60369054915184E14</v>
      </c>
      <c r="F2021" s="76" t="s">
        <v>326</v>
      </c>
      <c r="G2021" s="68" t="s">
        <v>642</v>
      </c>
      <c r="H2021" s="69">
        <v>46201.0</v>
      </c>
      <c r="I2021" s="78" t="s">
        <v>337</v>
      </c>
      <c r="J2021" s="78"/>
      <c r="K2021" s="81"/>
      <c r="L2021" s="80"/>
      <c r="M2021" s="81"/>
    </row>
    <row r="2022">
      <c r="A2022" s="78" t="s">
        <v>4170</v>
      </c>
      <c r="B2022" s="75" t="s">
        <v>319</v>
      </c>
      <c r="C2022" s="75" t="s">
        <v>1898</v>
      </c>
      <c r="D2022" s="78">
        <v>2017.0</v>
      </c>
      <c r="E2022" s="78">
        <v>8.60369054970445E14</v>
      </c>
      <c r="F2022" s="76" t="s">
        <v>326</v>
      </c>
      <c r="G2022" s="68" t="s">
        <v>642</v>
      </c>
      <c r="H2022" s="69">
        <v>46201.0</v>
      </c>
      <c r="I2022" s="78" t="s">
        <v>337</v>
      </c>
      <c r="J2022" s="78"/>
      <c r="K2022" s="81"/>
      <c r="L2022" s="80"/>
      <c r="M2022" s="81"/>
    </row>
    <row r="2023">
      <c r="A2023" s="78" t="s">
        <v>4171</v>
      </c>
      <c r="B2023" s="75" t="s">
        <v>319</v>
      </c>
      <c r="C2023" s="75" t="s">
        <v>376</v>
      </c>
      <c r="D2023" s="78">
        <v>2022.0</v>
      </c>
      <c r="E2023" s="78">
        <v>8.60369052471792E14</v>
      </c>
      <c r="F2023" s="76" t="s">
        <v>326</v>
      </c>
      <c r="G2023" s="68" t="s">
        <v>642</v>
      </c>
      <c r="H2023" s="69">
        <v>46201.0</v>
      </c>
      <c r="I2023" s="78" t="s">
        <v>337</v>
      </c>
      <c r="J2023" s="78"/>
      <c r="K2023" s="81"/>
      <c r="L2023" s="80"/>
      <c r="M2023" s="81"/>
    </row>
    <row r="2024">
      <c r="A2024" s="78" t="s">
        <v>4172</v>
      </c>
      <c r="B2024" s="75" t="s">
        <v>319</v>
      </c>
      <c r="C2024" s="75" t="s">
        <v>1898</v>
      </c>
      <c r="D2024" s="78">
        <v>2022.0</v>
      </c>
      <c r="E2024" s="78">
        <v>8.6036905472625E14</v>
      </c>
      <c r="F2024" s="76" t="s">
        <v>326</v>
      </c>
      <c r="G2024" s="68" t="s">
        <v>642</v>
      </c>
      <c r="H2024" s="69">
        <v>46201.0</v>
      </c>
      <c r="I2024" s="78" t="s">
        <v>337</v>
      </c>
      <c r="J2024" s="78"/>
      <c r="K2024" s="81"/>
      <c r="L2024" s="80"/>
      <c r="M2024" s="81"/>
    </row>
    <row r="2025">
      <c r="A2025" s="78" t="s">
        <v>4173</v>
      </c>
      <c r="B2025" s="75" t="s">
        <v>319</v>
      </c>
      <c r="C2025" s="75" t="s">
        <v>4139</v>
      </c>
      <c r="D2025" s="78">
        <v>2021.0</v>
      </c>
      <c r="E2025" s="78">
        <v>8.60369055012551E14</v>
      </c>
      <c r="F2025" s="76" t="s">
        <v>326</v>
      </c>
      <c r="G2025" s="68" t="s">
        <v>642</v>
      </c>
      <c r="H2025" s="69">
        <v>46201.0</v>
      </c>
      <c r="I2025" s="78" t="s">
        <v>337</v>
      </c>
      <c r="J2025" s="78"/>
      <c r="K2025" s="81"/>
      <c r="L2025" s="80"/>
      <c r="M2025" s="81"/>
    </row>
    <row r="2026">
      <c r="A2026" s="78" t="s">
        <v>4174</v>
      </c>
      <c r="B2026" s="75" t="s">
        <v>374</v>
      </c>
      <c r="C2026" s="75" t="s">
        <v>647</v>
      </c>
      <c r="D2026" s="78">
        <v>2025.0</v>
      </c>
      <c r="E2026" s="78">
        <v>8.60369055026676E14</v>
      </c>
      <c r="F2026" s="76" t="s">
        <v>326</v>
      </c>
      <c r="G2026" s="68" t="s">
        <v>642</v>
      </c>
      <c r="H2026" s="69">
        <v>46201.0</v>
      </c>
      <c r="I2026" s="78" t="s">
        <v>337</v>
      </c>
      <c r="J2026" s="78"/>
      <c r="K2026" s="81"/>
      <c r="L2026" s="80"/>
      <c r="M2026" s="81"/>
    </row>
    <row r="2027">
      <c r="A2027" s="78" t="s">
        <v>4175</v>
      </c>
      <c r="B2027" s="75" t="s">
        <v>374</v>
      </c>
      <c r="C2027" s="75" t="s">
        <v>1588</v>
      </c>
      <c r="D2027" s="78">
        <v>2025.0</v>
      </c>
      <c r="E2027" s="78">
        <v>8.60369054909112E14</v>
      </c>
      <c r="F2027" s="76" t="s">
        <v>326</v>
      </c>
      <c r="G2027" s="68" t="s">
        <v>642</v>
      </c>
      <c r="H2027" s="69">
        <v>46201.0</v>
      </c>
      <c r="I2027" s="78" t="s">
        <v>337</v>
      </c>
      <c r="J2027" s="78"/>
      <c r="K2027" s="81"/>
      <c r="L2027" s="80"/>
      <c r="M2027" s="81"/>
    </row>
    <row r="2028">
      <c r="A2028" s="78" t="s">
        <v>4176</v>
      </c>
      <c r="B2028" s="75" t="s">
        <v>319</v>
      </c>
      <c r="C2028" s="75" t="s">
        <v>376</v>
      </c>
      <c r="D2028" s="78">
        <v>2023.0</v>
      </c>
      <c r="E2028" s="78">
        <v>8.60369055008179E14</v>
      </c>
      <c r="F2028" s="76" t="s">
        <v>326</v>
      </c>
      <c r="G2028" s="68" t="s">
        <v>642</v>
      </c>
      <c r="H2028" s="69">
        <v>46201.0</v>
      </c>
      <c r="I2028" s="78" t="s">
        <v>337</v>
      </c>
      <c r="J2028" s="78"/>
      <c r="K2028" s="81"/>
      <c r="L2028" s="80"/>
      <c r="M2028" s="81"/>
    </row>
    <row r="2029">
      <c r="A2029" s="78" t="s">
        <v>4177</v>
      </c>
      <c r="B2029" s="75" t="s">
        <v>319</v>
      </c>
      <c r="C2029" s="75" t="s">
        <v>376</v>
      </c>
      <c r="D2029" s="78">
        <v>2025.0</v>
      </c>
      <c r="E2029" s="78">
        <v>8.60369055006033E14</v>
      </c>
      <c r="F2029" s="76" t="s">
        <v>326</v>
      </c>
      <c r="G2029" s="68" t="s">
        <v>642</v>
      </c>
      <c r="H2029" s="69">
        <v>46201.0</v>
      </c>
      <c r="I2029" s="78" t="s">
        <v>337</v>
      </c>
      <c r="J2029" s="78"/>
      <c r="K2029" s="81"/>
      <c r="L2029" s="80"/>
      <c r="M2029" s="81"/>
    </row>
    <row r="2030">
      <c r="A2030" s="78" t="s">
        <v>4178</v>
      </c>
      <c r="B2030" s="75" t="s">
        <v>319</v>
      </c>
      <c r="C2030" s="75" t="s">
        <v>376</v>
      </c>
      <c r="D2030" s="78">
        <v>2022.0</v>
      </c>
      <c r="E2030" s="78">
        <v>8.6036905217381E14</v>
      </c>
      <c r="F2030" s="76" t="s">
        <v>326</v>
      </c>
      <c r="G2030" s="68" t="s">
        <v>642</v>
      </c>
      <c r="H2030" s="69">
        <v>46201.0</v>
      </c>
      <c r="I2030" s="78" t="s">
        <v>337</v>
      </c>
      <c r="J2030" s="78"/>
      <c r="K2030" s="81"/>
      <c r="L2030" s="80"/>
      <c r="M2030" s="81"/>
    </row>
    <row r="2031">
      <c r="A2031" s="78" t="s">
        <v>4179</v>
      </c>
      <c r="B2031" s="75" t="s">
        <v>319</v>
      </c>
      <c r="C2031" s="75" t="s">
        <v>376</v>
      </c>
      <c r="D2031" s="78">
        <v>2023.0</v>
      </c>
      <c r="E2031" s="78">
        <v>8.60369054740707E14</v>
      </c>
      <c r="F2031" s="76" t="s">
        <v>326</v>
      </c>
      <c r="G2031" s="68" t="s">
        <v>642</v>
      </c>
      <c r="H2031" s="69">
        <v>46201.0</v>
      </c>
      <c r="I2031" s="78" t="s">
        <v>337</v>
      </c>
      <c r="J2031" s="78"/>
      <c r="K2031" s="81"/>
      <c r="L2031" s="80"/>
      <c r="M2031" s="81"/>
    </row>
    <row r="2032">
      <c r="A2032" s="78" t="s">
        <v>4180</v>
      </c>
      <c r="B2032" s="75" t="s">
        <v>319</v>
      </c>
      <c r="C2032" s="75" t="s">
        <v>1898</v>
      </c>
      <c r="D2032" s="78">
        <v>2019.0</v>
      </c>
      <c r="E2032" s="78">
        <v>8.60369055003568E14</v>
      </c>
      <c r="F2032" s="76" t="s">
        <v>326</v>
      </c>
      <c r="G2032" s="68" t="s">
        <v>642</v>
      </c>
      <c r="H2032" s="69">
        <v>46201.0</v>
      </c>
      <c r="I2032" s="78" t="s">
        <v>337</v>
      </c>
      <c r="J2032" s="78"/>
      <c r="K2032" s="81"/>
      <c r="L2032" s="80"/>
      <c r="M2032" s="81"/>
    </row>
    <row r="2033">
      <c r="A2033" s="78" t="s">
        <v>4181</v>
      </c>
      <c r="B2033" s="75" t="s">
        <v>374</v>
      </c>
      <c r="C2033" s="75" t="s">
        <v>647</v>
      </c>
      <c r="D2033" s="78">
        <v>2024.0</v>
      </c>
      <c r="E2033" s="78">
        <v>8.60369054872146E14</v>
      </c>
      <c r="F2033" s="76" t="s">
        <v>326</v>
      </c>
      <c r="G2033" s="68" t="s">
        <v>642</v>
      </c>
      <c r="H2033" s="69">
        <v>46201.0</v>
      </c>
      <c r="I2033" s="78" t="s">
        <v>337</v>
      </c>
      <c r="J2033" s="78"/>
      <c r="K2033" s="81"/>
      <c r="L2033" s="80"/>
      <c r="M2033" s="81"/>
    </row>
    <row r="2034">
      <c r="A2034" s="78" t="s">
        <v>4182</v>
      </c>
      <c r="B2034" s="75" t="s">
        <v>374</v>
      </c>
      <c r="C2034" s="75" t="s">
        <v>647</v>
      </c>
      <c r="D2034" s="78">
        <v>2026.0</v>
      </c>
      <c r="E2034" s="78">
        <v>8.60369054948078E14</v>
      </c>
      <c r="F2034" s="76" t="s">
        <v>326</v>
      </c>
      <c r="G2034" s="68" t="s">
        <v>642</v>
      </c>
      <c r="H2034" s="69">
        <v>46201.0</v>
      </c>
      <c r="I2034" s="78" t="s">
        <v>337</v>
      </c>
      <c r="J2034" s="78"/>
      <c r="K2034" s="81"/>
      <c r="L2034" s="80"/>
      <c r="M2034" s="81"/>
    </row>
    <row r="2035">
      <c r="A2035" s="78" t="s">
        <v>4183</v>
      </c>
      <c r="B2035" s="75" t="s">
        <v>374</v>
      </c>
      <c r="C2035" s="75" t="s">
        <v>647</v>
      </c>
      <c r="D2035" s="78">
        <v>2024.0</v>
      </c>
      <c r="E2035" s="78">
        <v>8.60369054413982E14</v>
      </c>
      <c r="F2035" s="76" t="s">
        <v>326</v>
      </c>
      <c r="G2035" s="68" t="s">
        <v>642</v>
      </c>
      <c r="H2035" s="69">
        <v>46201.0</v>
      </c>
      <c r="I2035" s="78" t="s">
        <v>337</v>
      </c>
      <c r="J2035" s="78"/>
      <c r="K2035" s="81"/>
      <c r="L2035" s="80"/>
      <c r="M2035" s="81"/>
    </row>
    <row r="2036">
      <c r="A2036" s="78" t="s">
        <v>4184</v>
      </c>
      <c r="B2036" s="75" t="s">
        <v>374</v>
      </c>
      <c r="C2036" s="75" t="s">
        <v>647</v>
      </c>
      <c r="D2036" s="78">
        <v>2024.0</v>
      </c>
      <c r="E2036" s="78">
        <v>8.60369055010688E14</v>
      </c>
      <c r="F2036" s="76" t="s">
        <v>326</v>
      </c>
      <c r="G2036" s="68" t="s">
        <v>642</v>
      </c>
      <c r="H2036" s="69">
        <v>46201.0</v>
      </c>
      <c r="I2036" s="78" t="s">
        <v>337</v>
      </c>
      <c r="J2036" s="78"/>
      <c r="K2036" s="81"/>
      <c r="L2036" s="80"/>
      <c r="M2036" s="81"/>
    </row>
    <row r="2037">
      <c r="A2037" s="78" t="s">
        <v>4185</v>
      </c>
      <c r="B2037" s="75" t="s">
        <v>319</v>
      </c>
      <c r="C2037" s="75" t="s">
        <v>4139</v>
      </c>
      <c r="D2037" s="78">
        <v>2021.0</v>
      </c>
      <c r="E2037" s="78">
        <v>8.60369055006017E14</v>
      </c>
      <c r="F2037" s="76" t="s">
        <v>326</v>
      </c>
      <c r="G2037" s="68" t="s">
        <v>642</v>
      </c>
      <c r="H2037" s="69">
        <v>46201.0</v>
      </c>
      <c r="I2037" s="78" t="s">
        <v>337</v>
      </c>
      <c r="J2037" s="78"/>
      <c r="K2037" s="81"/>
      <c r="L2037" s="80"/>
      <c r="M2037" s="81"/>
    </row>
    <row r="2038">
      <c r="A2038" s="78" t="s">
        <v>4186</v>
      </c>
      <c r="B2038" s="75" t="s">
        <v>374</v>
      </c>
      <c r="C2038" s="75" t="s">
        <v>647</v>
      </c>
      <c r="D2038" s="78">
        <v>2024.0</v>
      </c>
      <c r="E2038" s="78">
        <v>8.60369054737828E14</v>
      </c>
      <c r="F2038" s="76" t="s">
        <v>326</v>
      </c>
      <c r="G2038" s="68" t="s">
        <v>642</v>
      </c>
      <c r="H2038" s="69">
        <v>46201.0</v>
      </c>
      <c r="I2038" s="78" t="s">
        <v>337</v>
      </c>
      <c r="J2038" s="78"/>
      <c r="K2038" s="81"/>
      <c r="L2038" s="80"/>
      <c r="M2038" s="81"/>
    </row>
    <row r="2039">
      <c r="A2039" s="78" t="s">
        <v>4187</v>
      </c>
      <c r="B2039" s="75" t="s">
        <v>374</v>
      </c>
      <c r="C2039" s="75" t="s">
        <v>647</v>
      </c>
      <c r="D2039" s="78">
        <v>2024.0</v>
      </c>
      <c r="E2039" s="78">
        <v>8.60369054944887E14</v>
      </c>
      <c r="F2039" s="76" t="s">
        <v>326</v>
      </c>
      <c r="G2039" s="68" t="s">
        <v>642</v>
      </c>
      <c r="H2039" s="69">
        <v>46201.0</v>
      </c>
      <c r="I2039" s="78" t="s">
        <v>337</v>
      </c>
      <c r="J2039" s="78"/>
      <c r="K2039" s="81"/>
      <c r="L2039" s="80"/>
      <c r="M2039" s="81"/>
    </row>
    <row r="2040">
      <c r="A2040" s="78" t="s">
        <v>4188</v>
      </c>
      <c r="B2040" s="75" t="s">
        <v>374</v>
      </c>
      <c r="C2040" s="75" t="s">
        <v>647</v>
      </c>
      <c r="D2040" s="78">
        <v>2024.0</v>
      </c>
      <c r="E2040" s="78">
        <v>8.60369055002388E14</v>
      </c>
      <c r="F2040" s="76" t="s">
        <v>326</v>
      </c>
      <c r="G2040" s="68" t="s">
        <v>642</v>
      </c>
      <c r="H2040" s="69">
        <v>46201.0</v>
      </c>
      <c r="I2040" s="78" t="s">
        <v>337</v>
      </c>
      <c r="J2040" s="78"/>
      <c r="K2040" s="81"/>
      <c r="L2040" s="80"/>
      <c r="M2040" s="81"/>
    </row>
    <row r="2041">
      <c r="A2041" s="78" t="s">
        <v>4189</v>
      </c>
      <c r="B2041" s="75" t="s">
        <v>374</v>
      </c>
      <c r="C2041" s="75" t="s">
        <v>647</v>
      </c>
      <c r="D2041" s="78">
        <v>2024.0</v>
      </c>
      <c r="E2041" s="78">
        <v>8.60369054998628E14</v>
      </c>
      <c r="F2041" s="76" t="s">
        <v>326</v>
      </c>
      <c r="G2041" s="68" t="s">
        <v>642</v>
      </c>
      <c r="H2041" s="69">
        <v>46200.0</v>
      </c>
      <c r="I2041" s="78" t="s">
        <v>337</v>
      </c>
      <c r="J2041" s="78"/>
      <c r="K2041" s="81"/>
      <c r="L2041" s="80"/>
      <c r="M2041" s="81"/>
    </row>
    <row r="2042">
      <c r="A2042" s="78" t="s">
        <v>4190</v>
      </c>
      <c r="B2042" s="75" t="s">
        <v>374</v>
      </c>
      <c r="C2042" s="75" t="s">
        <v>647</v>
      </c>
      <c r="D2042" s="78">
        <v>2024.0</v>
      </c>
      <c r="E2042" s="78">
        <v>8.60369054889488E14</v>
      </c>
      <c r="F2042" s="76" t="s">
        <v>326</v>
      </c>
      <c r="G2042" s="68" t="s">
        <v>642</v>
      </c>
      <c r="H2042" s="69">
        <v>46200.0</v>
      </c>
      <c r="I2042" s="78" t="s">
        <v>337</v>
      </c>
      <c r="J2042" s="78"/>
      <c r="K2042" s="81"/>
      <c r="L2042" s="80"/>
      <c r="M2042" s="81"/>
    </row>
    <row r="2043">
      <c r="A2043" s="78" t="s">
        <v>4191</v>
      </c>
      <c r="B2043" s="75" t="s">
        <v>319</v>
      </c>
      <c r="C2043" s="75" t="s">
        <v>723</v>
      </c>
      <c r="D2043" s="78">
        <v>2021.0</v>
      </c>
      <c r="E2043" s="78">
        <v>8.60369054985286E14</v>
      </c>
      <c r="F2043" s="76" t="s">
        <v>326</v>
      </c>
      <c r="G2043" s="68" t="s">
        <v>642</v>
      </c>
      <c r="H2043" s="69">
        <v>46200.0</v>
      </c>
      <c r="I2043" s="78" t="s">
        <v>337</v>
      </c>
      <c r="J2043" s="78"/>
      <c r="K2043" s="81"/>
      <c r="L2043" s="80"/>
      <c r="M2043" s="81"/>
    </row>
    <row r="2044">
      <c r="A2044" s="78" t="s">
        <v>4192</v>
      </c>
      <c r="B2044" s="75" t="s">
        <v>319</v>
      </c>
      <c r="C2044" s="75" t="s">
        <v>1898</v>
      </c>
      <c r="D2044" s="78">
        <v>2019.0</v>
      </c>
      <c r="E2044" s="78">
        <v>8.60369055012676E14</v>
      </c>
      <c r="F2044" s="76" t="s">
        <v>326</v>
      </c>
      <c r="G2044" s="68" t="s">
        <v>642</v>
      </c>
      <c r="H2044" s="69">
        <v>46200.0</v>
      </c>
      <c r="I2044" s="78" t="s">
        <v>337</v>
      </c>
      <c r="J2044" s="78"/>
      <c r="K2044" s="81"/>
      <c r="L2044" s="80"/>
      <c r="M2044" s="81"/>
    </row>
    <row r="2045">
      <c r="A2045" s="78" t="s">
        <v>4193</v>
      </c>
      <c r="B2045" s="75" t="s">
        <v>319</v>
      </c>
      <c r="C2045" s="75" t="s">
        <v>4139</v>
      </c>
      <c r="D2045" s="78">
        <v>2021.0</v>
      </c>
      <c r="E2045" s="78">
        <v>8.60369055005647E14</v>
      </c>
      <c r="F2045" s="76" t="s">
        <v>326</v>
      </c>
      <c r="G2045" s="68" t="s">
        <v>642</v>
      </c>
      <c r="H2045" s="69">
        <v>46200.0</v>
      </c>
      <c r="I2045" s="78" t="s">
        <v>337</v>
      </c>
      <c r="J2045" s="78"/>
      <c r="K2045" s="81"/>
      <c r="L2045" s="80"/>
      <c r="M2045" s="81"/>
    </row>
    <row r="2046">
      <c r="A2046" s="78" t="s">
        <v>4194</v>
      </c>
      <c r="B2046" s="75" t="s">
        <v>319</v>
      </c>
      <c r="C2046" s="75" t="s">
        <v>723</v>
      </c>
      <c r="D2046" s="78">
        <v>2021.0</v>
      </c>
      <c r="E2046" s="78">
        <v>8.60369055009433E14</v>
      </c>
      <c r="F2046" s="76" t="s">
        <v>326</v>
      </c>
      <c r="G2046" s="68" t="s">
        <v>642</v>
      </c>
      <c r="H2046" s="69">
        <v>46200.0</v>
      </c>
      <c r="I2046" s="78" t="s">
        <v>337</v>
      </c>
      <c r="J2046" s="78"/>
      <c r="K2046" s="81"/>
      <c r="L2046" s="80"/>
      <c r="M2046" s="81"/>
    </row>
    <row r="2047">
      <c r="A2047" s="78" t="s">
        <v>4195</v>
      </c>
      <c r="B2047" s="75" t="s">
        <v>319</v>
      </c>
      <c r="C2047" s="75" t="s">
        <v>4139</v>
      </c>
      <c r="D2047" s="78">
        <v>2021.0</v>
      </c>
      <c r="E2047" s="78">
        <v>8.60369055009664E14</v>
      </c>
      <c r="F2047" s="76" t="s">
        <v>326</v>
      </c>
      <c r="G2047" s="68" t="s">
        <v>642</v>
      </c>
      <c r="H2047" s="69">
        <v>46200.0</v>
      </c>
      <c r="I2047" s="78" t="s">
        <v>337</v>
      </c>
      <c r="J2047" s="78"/>
      <c r="K2047" s="81"/>
      <c r="L2047" s="80"/>
      <c r="M2047" s="81"/>
    </row>
    <row r="2048">
      <c r="A2048" s="78" t="s">
        <v>4196</v>
      </c>
      <c r="B2048" s="75" t="s">
        <v>319</v>
      </c>
      <c r="C2048" s="75" t="s">
        <v>4139</v>
      </c>
      <c r="D2048" s="78">
        <v>2021.0</v>
      </c>
      <c r="E2048" s="78">
        <v>8.60369055020364E14</v>
      </c>
      <c r="F2048" s="76" t="s">
        <v>326</v>
      </c>
      <c r="G2048" s="68" t="s">
        <v>642</v>
      </c>
      <c r="H2048" s="69">
        <v>46200.0</v>
      </c>
      <c r="I2048" s="78" t="s">
        <v>337</v>
      </c>
      <c r="J2048" s="78"/>
      <c r="K2048" s="81"/>
      <c r="L2048" s="80"/>
      <c r="M2048" s="81"/>
    </row>
    <row r="2049">
      <c r="A2049" s="78" t="s">
        <v>4197</v>
      </c>
      <c r="B2049" s="75" t="s">
        <v>319</v>
      </c>
      <c r="C2049" s="75" t="s">
        <v>1898</v>
      </c>
      <c r="D2049" s="78">
        <v>2019.0</v>
      </c>
      <c r="E2049" s="78">
        <v>8.60369055011405E14</v>
      </c>
      <c r="F2049" s="76" t="s">
        <v>326</v>
      </c>
      <c r="G2049" s="68" t="s">
        <v>642</v>
      </c>
      <c r="H2049" s="69">
        <v>46200.0</v>
      </c>
      <c r="I2049" s="78" t="s">
        <v>337</v>
      </c>
      <c r="J2049" s="78"/>
      <c r="K2049" s="81"/>
      <c r="L2049" s="80"/>
      <c r="M2049" s="81"/>
    </row>
    <row r="2050">
      <c r="A2050" s="78" t="s">
        <v>4198</v>
      </c>
      <c r="B2050" s="75" t="s">
        <v>319</v>
      </c>
      <c r="C2050" s="75" t="s">
        <v>4139</v>
      </c>
      <c r="D2050" s="78">
        <v>2021.0</v>
      </c>
      <c r="E2050" s="78">
        <v>8.60369054978091E14</v>
      </c>
      <c r="F2050" s="76" t="s">
        <v>326</v>
      </c>
      <c r="G2050" s="68" t="s">
        <v>642</v>
      </c>
      <c r="H2050" s="69">
        <v>46200.0</v>
      </c>
      <c r="I2050" s="78" t="s">
        <v>337</v>
      </c>
      <c r="J2050" s="78"/>
      <c r="K2050" s="81"/>
      <c r="L2050" s="80"/>
      <c r="M2050" s="81"/>
    </row>
    <row r="2051">
      <c r="A2051" s="78" t="s">
        <v>4199</v>
      </c>
      <c r="B2051" s="75" t="s">
        <v>374</v>
      </c>
      <c r="C2051" s="75" t="s">
        <v>1588</v>
      </c>
      <c r="D2051" s="78">
        <v>2025.0</v>
      </c>
      <c r="E2051" s="78">
        <v>8.60369055009425E14</v>
      </c>
      <c r="F2051" s="76" t="s">
        <v>326</v>
      </c>
      <c r="G2051" s="68" t="s">
        <v>642</v>
      </c>
      <c r="H2051" s="69">
        <v>46200.0</v>
      </c>
      <c r="I2051" s="78" t="s">
        <v>337</v>
      </c>
      <c r="J2051" s="78"/>
      <c r="K2051" s="81"/>
      <c r="L2051" s="80"/>
      <c r="M2051" s="81"/>
    </row>
    <row r="2052">
      <c r="A2052" s="78" t="s">
        <v>4200</v>
      </c>
      <c r="B2052" s="75" t="s">
        <v>319</v>
      </c>
      <c r="C2052" s="75" t="s">
        <v>376</v>
      </c>
      <c r="D2052" s="78">
        <v>2023.0</v>
      </c>
      <c r="E2052" s="78">
        <v>8.60369054173487E14</v>
      </c>
      <c r="F2052" s="76" t="s">
        <v>326</v>
      </c>
      <c r="G2052" s="68" t="s">
        <v>642</v>
      </c>
      <c r="H2052" s="69">
        <v>46200.0</v>
      </c>
      <c r="I2052" s="78" t="s">
        <v>337</v>
      </c>
      <c r="J2052" s="78"/>
      <c r="K2052" s="81"/>
      <c r="L2052" s="80"/>
      <c r="M2052" s="81"/>
    </row>
    <row r="2053">
      <c r="A2053" s="78" t="s">
        <v>4201</v>
      </c>
      <c r="B2053" s="75" t="s">
        <v>374</v>
      </c>
      <c r="C2053" s="75" t="s">
        <v>1588</v>
      </c>
      <c r="D2053" s="78">
        <v>2025.0</v>
      </c>
      <c r="E2053" s="78">
        <v>8.60369054930522E14</v>
      </c>
      <c r="F2053" s="76" t="s">
        <v>326</v>
      </c>
      <c r="G2053" s="68" t="s">
        <v>642</v>
      </c>
      <c r="H2053" s="69">
        <v>46200.0</v>
      </c>
      <c r="I2053" s="78" t="s">
        <v>337</v>
      </c>
      <c r="J2053" s="78"/>
      <c r="K2053" s="81"/>
      <c r="L2053" s="80"/>
      <c r="M2053" s="81"/>
    </row>
    <row r="2054">
      <c r="A2054" s="78" t="s">
        <v>4202</v>
      </c>
      <c r="B2054" s="75" t="s">
        <v>319</v>
      </c>
      <c r="C2054" s="243" t="s">
        <v>376</v>
      </c>
      <c r="D2054" s="78">
        <v>2022.0</v>
      </c>
      <c r="E2054" s="78">
        <v>8.60369054122112E14</v>
      </c>
      <c r="F2054" s="76" t="s">
        <v>326</v>
      </c>
      <c r="G2054" s="68" t="s">
        <v>642</v>
      </c>
      <c r="H2054" s="69">
        <v>46200.0</v>
      </c>
      <c r="I2054" s="78" t="s">
        <v>337</v>
      </c>
      <c r="J2054" s="78"/>
      <c r="K2054" s="81"/>
      <c r="L2054" s="80"/>
      <c r="M2054" s="81"/>
    </row>
    <row r="2055">
      <c r="A2055" s="78" t="s">
        <v>4203</v>
      </c>
      <c r="B2055" s="75" t="s">
        <v>374</v>
      </c>
      <c r="C2055" s="75" t="s">
        <v>1588</v>
      </c>
      <c r="D2055" s="78">
        <v>2026.0</v>
      </c>
      <c r="E2055" s="78">
        <v>8.60369055009946E14</v>
      </c>
      <c r="F2055" s="76" t="s">
        <v>326</v>
      </c>
      <c r="G2055" s="68" t="s">
        <v>642</v>
      </c>
      <c r="H2055" s="69">
        <v>46200.0</v>
      </c>
      <c r="I2055" s="78" t="s">
        <v>337</v>
      </c>
      <c r="J2055" s="78"/>
      <c r="K2055" s="81"/>
      <c r="L2055" s="80"/>
      <c r="M2055" s="81"/>
    </row>
    <row r="2056">
      <c r="A2056" s="78" t="s">
        <v>4204</v>
      </c>
      <c r="B2056" s="75" t="s">
        <v>319</v>
      </c>
      <c r="C2056" s="75" t="s">
        <v>1898</v>
      </c>
      <c r="D2056" s="78">
        <v>2022.0</v>
      </c>
      <c r="E2056" s="78">
        <v>8.60369055021933E14</v>
      </c>
      <c r="F2056" s="76" t="s">
        <v>326</v>
      </c>
      <c r="G2056" s="68" t="s">
        <v>642</v>
      </c>
      <c r="H2056" s="69">
        <v>46200.0</v>
      </c>
      <c r="I2056" s="78" t="s">
        <v>337</v>
      </c>
      <c r="J2056" s="78"/>
      <c r="K2056" s="81"/>
      <c r="L2056" s="80"/>
      <c r="M2056" s="81"/>
    </row>
    <row r="2057">
      <c r="A2057" s="78" t="s">
        <v>4205</v>
      </c>
      <c r="B2057" s="75" t="s">
        <v>374</v>
      </c>
      <c r="C2057" s="75" t="s">
        <v>647</v>
      </c>
      <c r="D2057" s="78">
        <v>2026.0</v>
      </c>
      <c r="E2057" s="78">
        <v>8.60369054948102E14</v>
      </c>
      <c r="F2057" s="76" t="s">
        <v>326</v>
      </c>
      <c r="G2057" s="68" t="s">
        <v>642</v>
      </c>
      <c r="H2057" s="69">
        <v>46200.0</v>
      </c>
      <c r="I2057" s="78" t="s">
        <v>337</v>
      </c>
      <c r="J2057" s="78"/>
      <c r="K2057" s="81"/>
      <c r="L2057" s="80"/>
      <c r="M2057" s="81"/>
    </row>
    <row r="2058">
      <c r="A2058" s="78" t="s">
        <v>4206</v>
      </c>
      <c r="B2058" s="75" t="s">
        <v>374</v>
      </c>
      <c r="C2058" s="75" t="s">
        <v>1588</v>
      </c>
      <c r="D2058" s="78">
        <v>2026.0</v>
      </c>
      <c r="E2058" s="78">
        <v>8.60369054939994E14</v>
      </c>
      <c r="F2058" s="76" t="s">
        <v>326</v>
      </c>
      <c r="G2058" s="68" t="s">
        <v>642</v>
      </c>
      <c r="H2058" s="69">
        <v>46200.0</v>
      </c>
      <c r="I2058" s="78" t="s">
        <v>337</v>
      </c>
      <c r="J2058" s="78"/>
      <c r="K2058" s="81"/>
      <c r="L2058" s="80"/>
      <c r="M2058" s="81"/>
    </row>
    <row r="2059">
      <c r="A2059" s="78" t="s">
        <v>4207</v>
      </c>
      <c r="B2059" s="75" t="s">
        <v>319</v>
      </c>
      <c r="C2059" s="75" t="s">
        <v>376</v>
      </c>
      <c r="D2059" s="78">
        <v>2022.0</v>
      </c>
      <c r="E2059" s="78">
        <v>8.60369054982184E14</v>
      </c>
      <c r="F2059" s="76" t="s">
        <v>326</v>
      </c>
      <c r="G2059" s="68" t="s">
        <v>642</v>
      </c>
      <c r="H2059" s="69">
        <v>46200.0</v>
      </c>
      <c r="I2059" s="78" t="s">
        <v>337</v>
      </c>
      <c r="J2059" s="78"/>
      <c r="K2059" s="81"/>
      <c r="L2059" s="80"/>
      <c r="M2059" s="81"/>
    </row>
    <row r="2060">
      <c r="A2060" s="78" t="s">
        <v>4208</v>
      </c>
      <c r="B2060" s="75" t="s">
        <v>319</v>
      </c>
      <c r="C2060" s="75" t="s">
        <v>723</v>
      </c>
      <c r="D2060" s="78">
        <v>2025.0</v>
      </c>
      <c r="E2060" s="78">
        <v>8.60369055000952E14</v>
      </c>
      <c r="F2060" s="76" t="s">
        <v>326</v>
      </c>
      <c r="G2060" s="68" t="s">
        <v>642</v>
      </c>
      <c r="H2060" s="69">
        <v>46200.0</v>
      </c>
      <c r="I2060" s="78" t="s">
        <v>337</v>
      </c>
      <c r="J2060" s="78"/>
      <c r="K2060" s="81"/>
      <c r="L2060" s="80"/>
      <c r="M2060" s="81"/>
    </row>
    <row r="2061">
      <c r="A2061" s="78" t="s">
        <v>4209</v>
      </c>
      <c r="B2061" s="75" t="s">
        <v>374</v>
      </c>
      <c r="C2061" s="75" t="s">
        <v>647</v>
      </c>
      <c r="D2061" s="78">
        <v>2025.0</v>
      </c>
      <c r="E2061" s="78">
        <v>8.60369054915119E14</v>
      </c>
      <c r="F2061" s="76" t="s">
        <v>326</v>
      </c>
      <c r="G2061" s="68" t="s">
        <v>642</v>
      </c>
      <c r="H2061" s="69">
        <v>46200.0</v>
      </c>
      <c r="I2061" s="78" t="s">
        <v>337</v>
      </c>
      <c r="J2061" s="78"/>
      <c r="K2061" s="81"/>
      <c r="L2061" s="80"/>
      <c r="M2061" s="81"/>
    </row>
    <row r="2062">
      <c r="A2062" s="78" t="s">
        <v>4210</v>
      </c>
      <c r="B2062" s="75" t="s">
        <v>374</v>
      </c>
      <c r="C2062" s="75" t="s">
        <v>647</v>
      </c>
      <c r="D2062" s="78">
        <v>2024.0</v>
      </c>
      <c r="E2062" s="78">
        <v>8.60369054886971E14</v>
      </c>
      <c r="F2062" s="76" t="s">
        <v>326</v>
      </c>
      <c r="G2062" s="68" t="s">
        <v>642</v>
      </c>
      <c r="H2062" s="69">
        <v>46200.0</v>
      </c>
      <c r="I2062" s="78" t="s">
        <v>337</v>
      </c>
      <c r="J2062" s="78"/>
      <c r="K2062" s="81"/>
      <c r="L2062" s="80"/>
      <c r="M2062" s="81"/>
    </row>
    <row r="2063">
      <c r="A2063" s="78" t="s">
        <v>4211</v>
      </c>
      <c r="B2063" s="75" t="s">
        <v>319</v>
      </c>
      <c r="C2063" s="75" t="s">
        <v>376</v>
      </c>
      <c r="D2063" s="78">
        <v>2022.0</v>
      </c>
      <c r="E2063" s="78">
        <v>8.60369054740061E14</v>
      </c>
      <c r="F2063" s="76" t="s">
        <v>326</v>
      </c>
      <c r="G2063" s="68" t="s">
        <v>642</v>
      </c>
      <c r="H2063" s="69">
        <v>46200.0</v>
      </c>
      <c r="I2063" s="78" t="s">
        <v>337</v>
      </c>
      <c r="J2063" s="78"/>
      <c r="K2063" s="81"/>
      <c r="L2063" s="80"/>
      <c r="M2063" s="81"/>
    </row>
    <row r="2064">
      <c r="A2064" s="78" t="s">
        <v>4212</v>
      </c>
      <c r="B2064" s="75" t="s">
        <v>374</v>
      </c>
      <c r="C2064" s="75" t="s">
        <v>647</v>
      </c>
      <c r="D2064" s="78">
        <v>2025.0</v>
      </c>
      <c r="E2064" s="78">
        <v>8.60369054929805E14</v>
      </c>
      <c r="F2064" s="76" t="s">
        <v>326</v>
      </c>
      <c r="G2064" s="68" t="s">
        <v>642</v>
      </c>
      <c r="H2064" s="69">
        <v>46200.0</v>
      </c>
      <c r="I2064" s="78" t="s">
        <v>337</v>
      </c>
      <c r="J2064" s="78"/>
      <c r="K2064" s="81"/>
      <c r="L2064" s="80"/>
      <c r="M2064" s="81"/>
    </row>
    <row r="2065">
      <c r="A2065" s="78" t="s">
        <v>4213</v>
      </c>
      <c r="B2065" s="75" t="s">
        <v>374</v>
      </c>
      <c r="C2065" s="75" t="s">
        <v>647</v>
      </c>
      <c r="D2065" s="78">
        <v>2024.0</v>
      </c>
      <c r="E2065" s="78">
        <v>8.60369054764814E14</v>
      </c>
      <c r="F2065" s="76" t="s">
        <v>326</v>
      </c>
      <c r="G2065" s="68" t="s">
        <v>642</v>
      </c>
      <c r="H2065" s="69">
        <v>46200.0</v>
      </c>
      <c r="I2065" s="78" t="s">
        <v>337</v>
      </c>
      <c r="J2065" s="78"/>
      <c r="K2065" s="81"/>
      <c r="L2065" s="80"/>
      <c r="M2065" s="81"/>
    </row>
    <row r="2066">
      <c r="A2066" s="78" t="s">
        <v>4214</v>
      </c>
      <c r="B2066" s="75" t="s">
        <v>319</v>
      </c>
      <c r="C2066" s="75" t="s">
        <v>376</v>
      </c>
      <c r="D2066" s="78">
        <v>2022.0</v>
      </c>
      <c r="E2066" s="78">
        <v>8.60369055024432E14</v>
      </c>
      <c r="F2066" s="76" t="s">
        <v>326</v>
      </c>
      <c r="G2066" s="68" t="s">
        <v>642</v>
      </c>
      <c r="H2066" s="69">
        <v>46200.0</v>
      </c>
      <c r="I2066" s="78" t="s">
        <v>337</v>
      </c>
      <c r="J2066" s="78"/>
      <c r="K2066" s="81"/>
      <c r="L2066" s="80"/>
      <c r="M2066" s="81"/>
    </row>
    <row r="2067">
      <c r="A2067" s="78" t="s">
        <v>4215</v>
      </c>
      <c r="B2067" s="75" t="s">
        <v>319</v>
      </c>
      <c r="C2067" s="75" t="s">
        <v>376</v>
      </c>
      <c r="D2067" s="78">
        <v>2022.0</v>
      </c>
      <c r="E2067" s="78">
        <v>8.60369054908023E14</v>
      </c>
      <c r="F2067" s="76" t="s">
        <v>326</v>
      </c>
      <c r="G2067" s="68" t="s">
        <v>642</v>
      </c>
      <c r="H2067" s="69">
        <v>46200.0</v>
      </c>
      <c r="I2067" s="78" t="s">
        <v>337</v>
      </c>
      <c r="J2067" s="78"/>
      <c r="K2067" s="81"/>
      <c r="L2067" s="80"/>
      <c r="M2067" s="81"/>
    </row>
    <row r="2068">
      <c r="A2068" s="78" t="s">
        <v>4216</v>
      </c>
      <c r="B2068" s="75" t="s">
        <v>319</v>
      </c>
      <c r="C2068" s="75" t="s">
        <v>376</v>
      </c>
      <c r="D2068" s="78">
        <v>2022.0</v>
      </c>
      <c r="E2068" s="78">
        <v>8.60369055022469E14</v>
      </c>
      <c r="F2068" s="76" t="s">
        <v>326</v>
      </c>
      <c r="G2068" s="68" t="s">
        <v>642</v>
      </c>
      <c r="H2068" s="69">
        <v>46200.0</v>
      </c>
      <c r="I2068" s="78" t="s">
        <v>337</v>
      </c>
      <c r="J2068" s="78"/>
      <c r="K2068" s="81"/>
      <c r="L2068" s="80"/>
      <c r="M2068" s="81"/>
    </row>
    <row r="2069">
      <c r="A2069" s="78" t="s">
        <v>4217</v>
      </c>
      <c r="B2069" s="75" t="s">
        <v>374</v>
      </c>
      <c r="C2069" s="75" t="s">
        <v>647</v>
      </c>
      <c r="D2069" s="78">
        <v>2024.0</v>
      </c>
      <c r="E2069" s="78">
        <v>8.60369055017139E14</v>
      </c>
      <c r="F2069" s="76" t="s">
        <v>326</v>
      </c>
      <c r="G2069" s="68" t="s">
        <v>642</v>
      </c>
      <c r="H2069" s="69">
        <v>46200.0</v>
      </c>
      <c r="I2069" s="78" t="s">
        <v>337</v>
      </c>
      <c r="J2069" s="78"/>
      <c r="K2069" s="81"/>
      <c r="L2069" s="80"/>
      <c r="M2069" s="81"/>
    </row>
    <row r="2070">
      <c r="A2070" s="78" t="s">
        <v>4218</v>
      </c>
      <c r="B2070" s="75" t="s">
        <v>374</v>
      </c>
      <c r="C2070" s="75" t="s">
        <v>1588</v>
      </c>
      <c r="D2070" s="78">
        <v>2025.0</v>
      </c>
      <c r="E2070" s="78">
        <v>8.60369055016628E14</v>
      </c>
      <c r="F2070" s="76" t="s">
        <v>326</v>
      </c>
      <c r="G2070" s="68" t="s">
        <v>642</v>
      </c>
      <c r="H2070" s="69">
        <v>46200.0</v>
      </c>
      <c r="I2070" s="78" t="s">
        <v>337</v>
      </c>
      <c r="J2070" s="78"/>
      <c r="K2070" s="81"/>
      <c r="L2070" s="80"/>
      <c r="M2070" s="81"/>
    </row>
    <row r="2071">
      <c r="A2071" s="78" t="s">
        <v>4219</v>
      </c>
      <c r="B2071" s="75" t="s">
        <v>319</v>
      </c>
      <c r="C2071" s="75" t="s">
        <v>376</v>
      </c>
      <c r="D2071" s="78">
        <v>2022.0</v>
      </c>
      <c r="E2071" s="78">
        <v>8.60369055025918E14</v>
      </c>
      <c r="F2071" s="76" t="s">
        <v>326</v>
      </c>
      <c r="G2071" s="68" t="s">
        <v>642</v>
      </c>
      <c r="H2071" s="69">
        <v>46200.0</v>
      </c>
      <c r="I2071" s="78" t="s">
        <v>337</v>
      </c>
      <c r="J2071" s="78"/>
      <c r="K2071" s="81"/>
      <c r="L2071" s="80"/>
      <c r="M2071" s="81"/>
    </row>
    <row r="2072">
      <c r="A2072" s="78" t="s">
        <v>4220</v>
      </c>
      <c r="B2072" s="75" t="s">
        <v>319</v>
      </c>
      <c r="C2072" s="75" t="s">
        <v>376</v>
      </c>
      <c r="D2072" s="78">
        <v>2023.0</v>
      </c>
      <c r="E2072" s="78">
        <v>8.6036905497824E14</v>
      </c>
      <c r="F2072" s="76" t="s">
        <v>326</v>
      </c>
      <c r="G2072" s="68" t="s">
        <v>642</v>
      </c>
      <c r="H2072" s="69">
        <v>46200.0</v>
      </c>
      <c r="I2072" s="78" t="s">
        <v>337</v>
      </c>
      <c r="J2072" s="78"/>
      <c r="K2072" s="81"/>
      <c r="L2072" s="80"/>
      <c r="M2072" s="81"/>
    </row>
    <row r="2073">
      <c r="A2073" s="78" t="s">
        <v>4221</v>
      </c>
      <c r="B2073" s="75" t="s">
        <v>389</v>
      </c>
      <c r="C2073" s="75" t="s">
        <v>1292</v>
      </c>
      <c r="D2073" s="78">
        <v>2026.0</v>
      </c>
      <c r="E2073" s="78">
        <v>8.60369055007213E14</v>
      </c>
      <c r="F2073" s="76" t="s">
        <v>326</v>
      </c>
      <c r="G2073" s="68" t="s">
        <v>642</v>
      </c>
      <c r="H2073" s="69">
        <v>46200.0</v>
      </c>
      <c r="I2073" s="78" t="s">
        <v>337</v>
      </c>
      <c r="J2073" s="78"/>
      <c r="K2073" s="81"/>
      <c r="L2073" s="80"/>
      <c r="M2073" s="81"/>
    </row>
    <row r="2074">
      <c r="A2074" s="78" t="s">
        <v>4222</v>
      </c>
      <c r="B2074" s="75" t="s">
        <v>319</v>
      </c>
      <c r="C2074" s="75" t="s">
        <v>376</v>
      </c>
      <c r="D2074" s="78">
        <v>2025.0</v>
      </c>
      <c r="E2074" s="78">
        <v>8.6036905411892E14</v>
      </c>
      <c r="F2074" s="76" t="s">
        <v>326</v>
      </c>
      <c r="G2074" s="68" t="s">
        <v>642</v>
      </c>
      <c r="H2074" s="69">
        <v>46200.0</v>
      </c>
      <c r="I2074" s="78" t="s">
        <v>337</v>
      </c>
      <c r="J2074" s="78"/>
      <c r="K2074" s="81"/>
      <c r="L2074" s="80"/>
      <c r="M2074" s="81"/>
    </row>
    <row r="2075">
      <c r="A2075" s="78" t="s">
        <v>4223</v>
      </c>
      <c r="B2075" s="75" t="s">
        <v>319</v>
      </c>
      <c r="C2075" s="75" t="s">
        <v>376</v>
      </c>
      <c r="D2075" s="78">
        <v>2022.0</v>
      </c>
      <c r="E2075" s="78">
        <v>8.60369054999006E14</v>
      </c>
      <c r="F2075" s="76" t="s">
        <v>326</v>
      </c>
      <c r="G2075" s="68" t="s">
        <v>642</v>
      </c>
      <c r="H2075" s="69">
        <v>46200.0</v>
      </c>
      <c r="I2075" s="78" t="s">
        <v>337</v>
      </c>
      <c r="J2075" s="78"/>
      <c r="K2075" s="81"/>
      <c r="L2075" s="80"/>
      <c r="M2075" s="81"/>
    </row>
    <row r="2076">
      <c r="A2076" s="78" t="s">
        <v>4224</v>
      </c>
      <c r="B2076" s="75" t="s">
        <v>319</v>
      </c>
      <c r="C2076" s="75" t="s">
        <v>1898</v>
      </c>
      <c r="D2076" s="78">
        <v>2018.0</v>
      </c>
      <c r="E2076" s="78">
        <v>8.60369055010746E14</v>
      </c>
      <c r="F2076" s="76" t="s">
        <v>326</v>
      </c>
      <c r="G2076" s="68" t="s">
        <v>642</v>
      </c>
      <c r="H2076" s="69">
        <v>46200.0</v>
      </c>
      <c r="I2076" s="78" t="s">
        <v>337</v>
      </c>
      <c r="J2076" s="78"/>
      <c r="K2076" s="81"/>
      <c r="L2076" s="80"/>
      <c r="M2076" s="81"/>
    </row>
    <row r="2077">
      <c r="A2077" s="78" t="s">
        <v>4225</v>
      </c>
      <c r="B2077" s="75" t="s">
        <v>319</v>
      </c>
      <c r="C2077" s="75" t="s">
        <v>376</v>
      </c>
      <c r="D2077" s="78">
        <v>2023.0</v>
      </c>
      <c r="E2077" s="78">
        <v>8.60369054932254E14</v>
      </c>
      <c r="F2077" s="76" t="s">
        <v>326</v>
      </c>
      <c r="G2077" s="68" t="s">
        <v>642</v>
      </c>
      <c r="H2077" s="69">
        <v>46200.0</v>
      </c>
      <c r="I2077" s="78" t="s">
        <v>337</v>
      </c>
      <c r="J2077" s="78"/>
      <c r="K2077" s="81"/>
      <c r="L2077" s="80"/>
      <c r="M2077" s="81"/>
    </row>
    <row r="2078">
      <c r="A2078" s="78" t="s">
        <v>4226</v>
      </c>
      <c r="B2078" s="75" t="s">
        <v>374</v>
      </c>
      <c r="C2078" s="75" t="s">
        <v>647</v>
      </c>
      <c r="D2078" s="78">
        <v>2024.0</v>
      </c>
      <c r="E2078" s="78">
        <v>8.60369054408644E14</v>
      </c>
      <c r="F2078" s="76" t="s">
        <v>326</v>
      </c>
      <c r="G2078" s="68" t="s">
        <v>642</v>
      </c>
      <c r="H2078" s="69">
        <v>46200.0</v>
      </c>
      <c r="I2078" s="78" t="s">
        <v>337</v>
      </c>
      <c r="J2078" s="78"/>
      <c r="K2078" s="81"/>
      <c r="L2078" s="80"/>
      <c r="M2078" s="81"/>
    </row>
    <row r="2079">
      <c r="A2079" s="78" t="s">
        <v>4227</v>
      </c>
      <c r="B2079" s="75" t="s">
        <v>319</v>
      </c>
      <c r="C2079" s="75" t="s">
        <v>321</v>
      </c>
      <c r="D2079" s="78">
        <v>2025.0</v>
      </c>
      <c r="E2079" s="78">
        <v>8.60369052439765E14</v>
      </c>
      <c r="F2079" s="76" t="s">
        <v>326</v>
      </c>
      <c r="G2079" s="68" t="s">
        <v>328</v>
      </c>
      <c r="H2079" s="69">
        <v>46210.0</v>
      </c>
      <c r="I2079" s="78" t="s">
        <v>337</v>
      </c>
      <c r="J2079" s="78"/>
      <c r="K2079" s="81"/>
      <c r="L2079" s="80"/>
      <c r="M2079" s="81"/>
    </row>
    <row r="2080">
      <c r="A2080" s="78" t="s">
        <v>4228</v>
      </c>
      <c r="B2080" s="75" t="s">
        <v>319</v>
      </c>
      <c r="C2080" s="75" t="s">
        <v>376</v>
      </c>
      <c r="D2080" s="78">
        <v>2025.0</v>
      </c>
      <c r="E2080" s="78">
        <v>8.60369054409089E14</v>
      </c>
      <c r="F2080" s="76" t="s">
        <v>326</v>
      </c>
      <c r="G2080" s="68" t="s">
        <v>642</v>
      </c>
      <c r="H2080" s="69">
        <v>46209.0</v>
      </c>
      <c r="I2080" s="78" t="s">
        <v>337</v>
      </c>
      <c r="J2080" s="78"/>
      <c r="K2080" s="81"/>
      <c r="L2080" s="80"/>
      <c r="M2080" s="81"/>
    </row>
    <row r="2081">
      <c r="A2081" s="78" t="s">
        <v>4229</v>
      </c>
      <c r="B2081" s="75" t="s">
        <v>374</v>
      </c>
      <c r="C2081" s="75" t="s">
        <v>647</v>
      </c>
      <c r="D2081" s="78">
        <v>2025.0</v>
      </c>
      <c r="E2081" s="78">
        <v>8.60369054909153E14</v>
      </c>
      <c r="F2081" s="76" t="s">
        <v>326</v>
      </c>
      <c r="G2081" s="68" t="s">
        <v>642</v>
      </c>
      <c r="H2081" s="69">
        <v>46209.0</v>
      </c>
      <c r="I2081" s="78" t="s">
        <v>337</v>
      </c>
      <c r="J2081" s="78"/>
      <c r="K2081" s="81"/>
      <c r="L2081" s="80"/>
      <c r="M2081" s="81"/>
    </row>
    <row r="2082">
      <c r="A2082" s="78" t="s">
        <v>4230</v>
      </c>
      <c r="B2082" s="75" t="s">
        <v>374</v>
      </c>
      <c r="C2082" s="75" t="s">
        <v>1588</v>
      </c>
      <c r="D2082" s="78">
        <v>2024.0</v>
      </c>
      <c r="E2082" s="78">
        <v>8.60369055029183E14</v>
      </c>
      <c r="F2082" s="76" t="s">
        <v>326</v>
      </c>
      <c r="G2082" s="68" t="s">
        <v>642</v>
      </c>
      <c r="H2082" s="69">
        <v>46209.0</v>
      </c>
      <c r="I2082" s="78" t="s">
        <v>337</v>
      </c>
      <c r="J2082" s="78"/>
      <c r="K2082" s="81"/>
      <c r="L2082" s="80"/>
      <c r="M2082" s="81"/>
    </row>
    <row r="2083">
      <c r="A2083" s="78" t="s">
        <v>4231</v>
      </c>
      <c r="B2083" s="75" t="s">
        <v>374</v>
      </c>
      <c r="C2083" s="75" t="s">
        <v>647</v>
      </c>
      <c r="D2083" s="78">
        <v>2024.0</v>
      </c>
      <c r="E2083" s="78">
        <v>8.60369054864879E14</v>
      </c>
      <c r="F2083" s="76" t="s">
        <v>326</v>
      </c>
      <c r="G2083" s="68" t="s">
        <v>642</v>
      </c>
      <c r="H2083" s="69">
        <v>46209.0</v>
      </c>
      <c r="I2083" s="78" t="s">
        <v>337</v>
      </c>
      <c r="J2083" s="78"/>
      <c r="K2083" s="81"/>
      <c r="L2083" s="80"/>
      <c r="M2083" s="81"/>
    </row>
    <row r="2084">
      <c r="A2084" s="78" t="s">
        <v>4232</v>
      </c>
      <c r="B2084" s="75" t="s">
        <v>319</v>
      </c>
      <c r="C2084" s="75" t="s">
        <v>723</v>
      </c>
      <c r="D2084" s="78">
        <v>2021.0</v>
      </c>
      <c r="E2084" s="78">
        <v>8.60369054934292E14</v>
      </c>
      <c r="F2084" s="76" t="s">
        <v>326</v>
      </c>
      <c r="G2084" s="68" t="s">
        <v>642</v>
      </c>
      <c r="H2084" s="69">
        <v>46209.0</v>
      </c>
      <c r="I2084" s="78" t="s">
        <v>337</v>
      </c>
      <c r="J2084" s="78"/>
      <c r="K2084" s="81"/>
      <c r="L2084" s="80"/>
      <c r="M2084" s="81"/>
    </row>
    <row r="2085">
      <c r="A2085" s="78" t="s">
        <v>4233</v>
      </c>
      <c r="B2085" s="75" t="s">
        <v>374</v>
      </c>
      <c r="C2085" s="75" t="s">
        <v>647</v>
      </c>
      <c r="D2085" s="78">
        <v>2024.0</v>
      </c>
      <c r="E2085" s="78">
        <v>8.60369054948235E14</v>
      </c>
      <c r="F2085" s="76" t="s">
        <v>326</v>
      </c>
      <c r="G2085" s="68" t="s">
        <v>642</v>
      </c>
      <c r="H2085" s="69">
        <v>46209.0</v>
      </c>
      <c r="I2085" s="78" t="s">
        <v>337</v>
      </c>
      <c r="J2085" s="78"/>
      <c r="K2085" s="81"/>
      <c r="L2085" s="80"/>
      <c r="M2085" s="81"/>
    </row>
    <row r="2086">
      <c r="A2086" s="78" t="s">
        <v>4234</v>
      </c>
      <c r="B2086" s="75" t="s">
        <v>319</v>
      </c>
      <c r="C2086" s="75" t="s">
        <v>376</v>
      </c>
      <c r="D2086" s="78">
        <v>2022.0</v>
      </c>
      <c r="E2086" s="78">
        <v>8.60369054121148E14</v>
      </c>
      <c r="F2086" s="76" t="s">
        <v>326</v>
      </c>
      <c r="G2086" s="68" t="s">
        <v>642</v>
      </c>
      <c r="H2086" s="69">
        <v>46209.0</v>
      </c>
      <c r="I2086" s="78" t="s">
        <v>337</v>
      </c>
      <c r="J2086" s="78"/>
      <c r="K2086" s="81"/>
      <c r="L2086" s="80"/>
      <c r="M2086" s="81"/>
    </row>
    <row r="2087">
      <c r="A2087" s="78" t="s">
        <v>4235</v>
      </c>
      <c r="B2087" s="75" t="s">
        <v>319</v>
      </c>
      <c r="C2087" s="75" t="s">
        <v>376</v>
      </c>
      <c r="D2087" s="78">
        <v>2025.0</v>
      </c>
      <c r="E2087" s="78">
        <v>8.60369054764335E14</v>
      </c>
      <c r="F2087" s="76" t="s">
        <v>326</v>
      </c>
      <c r="G2087" s="68" t="s">
        <v>642</v>
      </c>
      <c r="H2087" s="69">
        <v>46209.0</v>
      </c>
      <c r="I2087" s="78" t="s">
        <v>337</v>
      </c>
      <c r="J2087" s="78"/>
      <c r="K2087" s="81"/>
      <c r="L2087" s="80"/>
      <c r="M2087" s="81"/>
    </row>
    <row r="2088">
      <c r="A2088" s="78" t="s">
        <v>4236</v>
      </c>
      <c r="B2088" s="75" t="s">
        <v>374</v>
      </c>
      <c r="C2088" s="75" t="s">
        <v>647</v>
      </c>
      <c r="D2088" s="78">
        <v>2024.0</v>
      </c>
      <c r="E2088" s="78">
        <v>8.60369054907033E14</v>
      </c>
      <c r="F2088" s="76" t="s">
        <v>326</v>
      </c>
      <c r="G2088" s="68" t="s">
        <v>642</v>
      </c>
      <c r="H2088" s="69">
        <v>46209.0</v>
      </c>
      <c r="I2088" s="78" t="s">
        <v>337</v>
      </c>
      <c r="J2088" s="78"/>
      <c r="K2088" s="81"/>
      <c r="L2088" s="80"/>
      <c r="M2088" s="81"/>
    </row>
    <row r="2089">
      <c r="A2089" s="78" t="s">
        <v>4237</v>
      </c>
      <c r="B2089" s="75" t="s">
        <v>319</v>
      </c>
      <c r="C2089" s="75" t="s">
        <v>723</v>
      </c>
      <c r="D2089" s="78">
        <v>2021.0</v>
      </c>
      <c r="E2089" s="78">
        <v>8.60369055012742E14</v>
      </c>
      <c r="F2089" s="76" t="s">
        <v>326</v>
      </c>
      <c r="G2089" s="68" t="s">
        <v>642</v>
      </c>
      <c r="H2089" s="69">
        <v>46209.0</v>
      </c>
      <c r="I2089" s="78" t="s">
        <v>337</v>
      </c>
      <c r="J2089" s="78"/>
      <c r="K2089" s="81"/>
      <c r="L2089" s="80"/>
      <c r="M2089" s="81"/>
    </row>
    <row r="2090">
      <c r="A2090" s="78" t="s">
        <v>4238</v>
      </c>
      <c r="B2090" s="75" t="s">
        <v>374</v>
      </c>
      <c r="C2090" s="75" t="s">
        <v>1588</v>
      </c>
      <c r="D2090" s="78">
        <v>2024.0</v>
      </c>
      <c r="E2090" s="78">
        <v>8.60369054915424E14</v>
      </c>
      <c r="F2090" s="76" t="s">
        <v>326</v>
      </c>
      <c r="G2090" s="68" t="s">
        <v>642</v>
      </c>
      <c r="H2090" s="69">
        <v>46207.0</v>
      </c>
      <c r="I2090" s="78" t="s">
        <v>337</v>
      </c>
      <c r="J2090" s="78"/>
      <c r="K2090" s="81"/>
      <c r="L2090" s="80"/>
      <c r="M2090" s="81"/>
    </row>
    <row r="2091">
      <c r="A2091" s="78" t="s">
        <v>4239</v>
      </c>
      <c r="B2091" s="75" t="s">
        <v>374</v>
      </c>
      <c r="C2091" s="75" t="s">
        <v>647</v>
      </c>
      <c r="D2091" s="78">
        <v>2024.0</v>
      </c>
      <c r="E2091" s="78">
        <v>8.60369055009599E14</v>
      </c>
      <c r="F2091" s="76" t="s">
        <v>326</v>
      </c>
      <c r="G2091" s="68" t="s">
        <v>642</v>
      </c>
      <c r="H2091" s="69">
        <v>46207.0</v>
      </c>
      <c r="I2091" s="78" t="s">
        <v>337</v>
      </c>
      <c r="J2091" s="78"/>
      <c r="K2091" s="81"/>
      <c r="L2091" s="80"/>
      <c r="M2091" s="81"/>
    </row>
    <row r="2092">
      <c r="A2092" s="78" t="s">
        <v>4240</v>
      </c>
      <c r="B2092" s="75" t="s">
        <v>319</v>
      </c>
      <c r="C2092" s="75" t="s">
        <v>723</v>
      </c>
      <c r="D2092" s="78">
        <v>2024.0</v>
      </c>
      <c r="E2092" s="78">
        <v>8.60369055005605E14</v>
      </c>
      <c r="F2092" s="76" t="s">
        <v>326</v>
      </c>
      <c r="G2092" s="68" t="s">
        <v>642</v>
      </c>
      <c r="H2092" s="69">
        <v>46207.0</v>
      </c>
      <c r="I2092" s="78" t="s">
        <v>337</v>
      </c>
      <c r="J2092" s="78"/>
      <c r="K2092" s="81"/>
      <c r="L2092" s="80"/>
      <c r="M2092" s="81"/>
    </row>
    <row r="2093">
      <c r="A2093" s="78" t="s">
        <v>4241</v>
      </c>
      <c r="B2093" s="75" t="s">
        <v>319</v>
      </c>
      <c r="C2093" s="75" t="s">
        <v>376</v>
      </c>
      <c r="D2093" s="78">
        <v>2023.0</v>
      </c>
      <c r="E2093" s="78">
        <v>8.60369054997398E14</v>
      </c>
      <c r="F2093" s="76" t="s">
        <v>326</v>
      </c>
      <c r="G2093" s="68" t="s">
        <v>642</v>
      </c>
      <c r="H2093" s="69">
        <v>46207.0</v>
      </c>
      <c r="I2093" s="78" t="s">
        <v>337</v>
      </c>
      <c r="J2093" s="78"/>
      <c r="K2093" s="81"/>
      <c r="L2093" s="80"/>
      <c r="M2093" s="81"/>
    </row>
    <row r="2094">
      <c r="A2094" s="78" t="s">
        <v>4242</v>
      </c>
      <c r="B2094" s="75" t="s">
        <v>319</v>
      </c>
      <c r="C2094" s="75" t="s">
        <v>1898</v>
      </c>
      <c r="D2094" s="78">
        <v>2018.0</v>
      </c>
      <c r="E2094" s="78">
        <v>8.60369054735384E14</v>
      </c>
      <c r="F2094" s="76" t="s">
        <v>326</v>
      </c>
      <c r="G2094" s="68" t="s">
        <v>642</v>
      </c>
      <c r="H2094" s="69">
        <v>46207.0</v>
      </c>
      <c r="I2094" s="78" t="s">
        <v>337</v>
      </c>
      <c r="J2094" s="78"/>
      <c r="K2094" s="81"/>
      <c r="L2094" s="80"/>
      <c r="M2094" s="81"/>
    </row>
    <row r="2095">
      <c r="A2095" s="78" t="s">
        <v>4243</v>
      </c>
      <c r="B2095" s="75" t="s">
        <v>319</v>
      </c>
      <c r="C2095" s="75" t="s">
        <v>376</v>
      </c>
      <c r="D2095" s="78">
        <v>2022.0</v>
      </c>
      <c r="E2095" s="78">
        <v>8.60369054997307E14</v>
      </c>
      <c r="F2095" s="76" t="s">
        <v>326</v>
      </c>
      <c r="G2095" s="68" t="s">
        <v>642</v>
      </c>
      <c r="H2095" s="69">
        <v>46207.0</v>
      </c>
      <c r="I2095" s="78" t="s">
        <v>337</v>
      </c>
      <c r="J2095" s="78"/>
      <c r="K2095" s="81"/>
      <c r="L2095" s="80"/>
      <c r="M2095" s="81"/>
    </row>
    <row r="2096">
      <c r="A2096" s="78" t="s">
        <v>4244</v>
      </c>
      <c r="B2096" s="75" t="s">
        <v>374</v>
      </c>
      <c r="C2096" s="75" t="s">
        <v>1588</v>
      </c>
      <c r="D2096" s="78">
        <v>2025.0</v>
      </c>
      <c r="E2096" s="78">
        <v>8.60369054929748E14</v>
      </c>
      <c r="F2096" s="76" t="s">
        <v>326</v>
      </c>
      <c r="G2096" s="68" t="s">
        <v>642</v>
      </c>
      <c r="H2096" s="69">
        <v>46206.0</v>
      </c>
      <c r="I2096" s="78" t="s">
        <v>337</v>
      </c>
      <c r="J2096" s="78"/>
      <c r="K2096" s="81"/>
      <c r="L2096" s="80"/>
      <c r="M2096" s="81"/>
    </row>
    <row r="2097">
      <c r="A2097" s="78" t="s">
        <v>4245</v>
      </c>
      <c r="B2097" s="75" t="s">
        <v>374</v>
      </c>
      <c r="C2097" s="75" t="s">
        <v>647</v>
      </c>
      <c r="D2097" s="78">
        <v>2024.0</v>
      </c>
      <c r="E2097" s="78">
        <v>8.60369054939317E14</v>
      </c>
      <c r="F2097" s="76" t="s">
        <v>326</v>
      </c>
      <c r="G2097" s="68" t="s">
        <v>642</v>
      </c>
      <c r="H2097" s="69">
        <v>46206.0</v>
      </c>
      <c r="I2097" s="78" t="s">
        <v>337</v>
      </c>
      <c r="J2097" s="78"/>
      <c r="K2097" s="81"/>
      <c r="L2097" s="80"/>
      <c r="M2097" s="81"/>
    </row>
    <row r="2098">
      <c r="A2098" s="78" t="s">
        <v>4246</v>
      </c>
      <c r="B2098" s="75" t="s">
        <v>374</v>
      </c>
      <c r="C2098" s="75" t="s">
        <v>647</v>
      </c>
      <c r="D2098" s="78">
        <v>2024.0</v>
      </c>
      <c r="E2098" s="78">
        <v>8.60369054940018E14</v>
      </c>
      <c r="F2098" s="76" t="s">
        <v>326</v>
      </c>
      <c r="G2098" s="68" t="s">
        <v>642</v>
      </c>
      <c r="H2098" s="69">
        <v>46206.0</v>
      </c>
      <c r="I2098" s="78" t="s">
        <v>337</v>
      </c>
      <c r="J2098" s="78"/>
      <c r="K2098" s="81"/>
      <c r="L2098" s="80"/>
      <c r="M2098" s="81"/>
    </row>
    <row r="2099">
      <c r="A2099" s="78" t="s">
        <v>4247</v>
      </c>
      <c r="B2099" s="75" t="s">
        <v>319</v>
      </c>
      <c r="C2099" s="75" t="s">
        <v>4139</v>
      </c>
      <c r="D2099" s="78">
        <v>2021.0</v>
      </c>
      <c r="E2099" s="78">
        <v>8.60369054403132E14</v>
      </c>
      <c r="F2099" s="76" t="s">
        <v>326</v>
      </c>
      <c r="G2099" s="68" t="s">
        <v>642</v>
      </c>
      <c r="H2099" s="69">
        <v>46206.0</v>
      </c>
      <c r="I2099" s="78" t="s">
        <v>337</v>
      </c>
      <c r="J2099" s="78"/>
      <c r="K2099" s="81"/>
      <c r="L2099" s="80"/>
      <c r="M2099" s="81"/>
    </row>
    <row r="2100">
      <c r="A2100" s="78" t="s">
        <v>4248</v>
      </c>
      <c r="B2100" s="75" t="s">
        <v>374</v>
      </c>
      <c r="C2100" s="75" t="s">
        <v>647</v>
      </c>
      <c r="D2100" s="78">
        <v>2024.0</v>
      </c>
      <c r="E2100" s="78">
        <v>8.60369054946049E14</v>
      </c>
      <c r="F2100" s="76" t="s">
        <v>326</v>
      </c>
      <c r="G2100" s="68" t="s">
        <v>642</v>
      </c>
      <c r="H2100" s="69">
        <v>46206.0</v>
      </c>
      <c r="I2100" s="78" t="s">
        <v>337</v>
      </c>
      <c r="J2100" s="78"/>
      <c r="K2100" s="81"/>
      <c r="L2100" s="80"/>
      <c r="M2100" s="81"/>
    </row>
    <row r="2101">
      <c r="A2101" s="78" t="s">
        <v>4249</v>
      </c>
      <c r="B2101" s="75" t="s">
        <v>374</v>
      </c>
      <c r="C2101" s="75" t="s">
        <v>647</v>
      </c>
      <c r="D2101" s="78">
        <v>2024.0</v>
      </c>
      <c r="E2101" s="78">
        <v>8.60369055022717E14</v>
      </c>
      <c r="F2101" s="76" t="s">
        <v>326</v>
      </c>
      <c r="G2101" s="68" t="s">
        <v>642</v>
      </c>
      <c r="H2101" s="69">
        <v>46206.0</v>
      </c>
      <c r="I2101" s="78" t="s">
        <v>337</v>
      </c>
      <c r="J2101" s="78"/>
      <c r="K2101" s="81"/>
      <c r="L2101" s="80"/>
      <c r="M2101" s="81"/>
    </row>
    <row r="2102">
      <c r="A2102" s="78" t="s">
        <v>4250</v>
      </c>
      <c r="B2102" s="75" t="s">
        <v>319</v>
      </c>
      <c r="C2102" s="75" t="s">
        <v>376</v>
      </c>
      <c r="D2102" s="78">
        <v>2022.0</v>
      </c>
      <c r="E2102" s="78">
        <v>8.60369055005969E14</v>
      </c>
      <c r="F2102" s="76" t="s">
        <v>326</v>
      </c>
      <c r="G2102" s="68" t="s">
        <v>642</v>
      </c>
      <c r="H2102" s="69">
        <v>46206.0</v>
      </c>
      <c r="I2102" s="78" t="s">
        <v>337</v>
      </c>
      <c r="J2102" s="78"/>
      <c r="K2102" s="81"/>
      <c r="L2102" s="80"/>
      <c r="M2102" s="81"/>
    </row>
    <row r="2103">
      <c r="A2103" s="78" t="s">
        <v>4251</v>
      </c>
      <c r="B2103" s="75" t="s">
        <v>374</v>
      </c>
      <c r="C2103" s="75" t="s">
        <v>647</v>
      </c>
      <c r="D2103" s="78">
        <v>2024.0</v>
      </c>
      <c r="E2103" s="78">
        <v>8.60369055003535E14</v>
      </c>
      <c r="F2103" s="76" t="s">
        <v>326</v>
      </c>
      <c r="G2103" s="68" t="s">
        <v>642</v>
      </c>
      <c r="H2103" s="69">
        <v>46206.0</v>
      </c>
      <c r="I2103" s="78" t="s">
        <v>337</v>
      </c>
      <c r="J2103" s="78"/>
      <c r="K2103" s="81"/>
      <c r="L2103" s="80"/>
      <c r="M2103" s="81"/>
    </row>
    <row r="2104">
      <c r="A2104" s="78" t="s">
        <v>4252</v>
      </c>
      <c r="B2104" s="75" t="s">
        <v>319</v>
      </c>
      <c r="C2104" s="75" t="s">
        <v>376</v>
      </c>
      <c r="D2104" s="78">
        <v>2022.0</v>
      </c>
      <c r="E2104" s="78">
        <v>8.60369054947443E14</v>
      </c>
      <c r="F2104" s="76" t="s">
        <v>326</v>
      </c>
      <c r="G2104" s="68" t="s">
        <v>642</v>
      </c>
      <c r="H2104" s="69">
        <v>46206.0</v>
      </c>
      <c r="I2104" s="78" t="s">
        <v>337</v>
      </c>
      <c r="J2104" s="78"/>
      <c r="K2104" s="81"/>
      <c r="L2104" s="80"/>
      <c r="M2104" s="81"/>
    </row>
    <row r="2105">
      <c r="A2105" s="78" t="s">
        <v>4253</v>
      </c>
      <c r="B2105" s="75" t="s">
        <v>319</v>
      </c>
      <c r="C2105" s="75" t="s">
        <v>376</v>
      </c>
      <c r="D2105" s="78">
        <v>2022.0</v>
      </c>
      <c r="E2105" s="78">
        <v>8.60369054759897E14</v>
      </c>
      <c r="F2105" s="76" t="s">
        <v>326</v>
      </c>
      <c r="G2105" s="68" t="s">
        <v>642</v>
      </c>
      <c r="H2105" s="69">
        <v>46206.0</v>
      </c>
      <c r="I2105" s="78" t="s">
        <v>337</v>
      </c>
      <c r="J2105" s="78"/>
      <c r="K2105" s="81"/>
      <c r="L2105" s="80"/>
      <c r="M2105" s="81"/>
    </row>
    <row r="2106">
      <c r="A2106" s="78" t="s">
        <v>4254</v>
      </c>
      <c r="B2106" s="75" t="s">
        <v>319</v>
      </c>
      <c r="C2106" s="75" t="s">
        <v>376</v>
      </c>
      <c r="D2106" s="78">
        <v>2022.0</v>
      </c>
      <c r="E2106" s="78">
        <v>8.60369055012718E14</v>
      </c>
      <c r="F2106" s="76" t="s">
        <v>326</v>
      </c>
      <c r="G2106" s="68" t="s">
        <v>642</v>
      </c>
      <c r="H2106" s="69">
        <v>46206.0</v>
      </c>
      <c r="I2106" s="78" t="s">
        <v>337</v>
      </c>
      <c r="J2106" s="78"/>
      <c r="K2106" s="81"/>
      <c r="L2106" s="80"/>
      <c r="M2106" s="81"/>
    </row>
    <row r="2107">
      <c r="A2107" s="78" t="s">
        <v>4255</v>
      </c>
      <c r="B2107" s="75" t="s">
        <v>319</v>
      </c>
      <c r="C2107" s="75" t="s">
        <v>376</v>
      </c>
      <c r="D2107" s="78">
        <v>2022.0</v>
      </c>
      <c r="E2107" s="78">
        <v>8.60369054948086E14</v>
      </c>
      <c r="F2107" s="76" t="s">
        <v>326</v>
      </c>
      <c r="G2107" s="68" t="s">
        <v>642</v>
      </c>
      <c r="H2107" s="69">
        <v>46206.0</v>
      </c>
      <c r="I2107" s="78" t="s">
        <v>337</v>
      </c>
      <c r="J2107" s="78"/>
      <c r="K2107" s="81"/>
      <c r="L2107" s="80"/>
      <c r="M2107" s="81"/>
    </row>
    <row r="2108">
      <c r="A2108" s="78" t="s">
        <v>4256</v>
      </c>
      <c r="B2108" s="75" t="s">
        <v>374</v>
      </c>
      <c r="C2108" s="75" t="s">
        <v>647</v>
      </c>
      <c r="D2108" s="78">
        <v>2024.0</v>
      </c>
      <c r="E2108" s="78">
        <v>8.60369054762859E14</v>
      </c>
      <c r="F2108" s="76" t="s">
        <v>326</v>
      </c>
      <c r="G2108" s="68" t="s">
        <v>642</v>
      </c>
      <c r="H2108" s="69">
        <v>46206.0</v>
      </c>
      <c r="I2108" s="78" t="s">
        <v>337</v>
      </c>
      <c r="J2108" s="78"/>
      <c r="K2108" s="81"/>
      <c r="L2108" s="80"/>
      <c r="M2108" s="81"/>
    </row>
    <row r="2109">
      <c r="A2109" s="78" t="s">
        <v>4257</v>
      </c>
      <c r="B2109" s="75" t="s">
        <v>319</v>
      </c>
      <c r="C2109" s="75" t="s">
        <v>376</v>
      </c>
      <c r="D2109" s="78">
        <v>2023.0</v>
      </c>
      <c r="E2109" s="78">
        <v>8.60369054993173E14</v>
      </c>
      <c r="F2109" s="76" t="s">
        <v>326</v>
      </c>
      <c r="G2109" s="68" t="s">
        <v>642</v>
      </c>
      <c r="H2109" s="69">
        <v>46206.0</v>
      </c>
      <c r="I2109" s="78" t="s">
        <v>337</v>
      </c>
      <c r="J2109" s="78"/>
      <c r="K2109" s="81"/>
      <c r="L2109" s="80"/>
      <c r="M2109" s="81"/>
    </row>
    <row r="2110">
      <c r="A2110" s="78" t="s">
        <v>4258</v>
      </c>
      <c r="B2110" s="75" t="s">
        <v>319</v>
      </c>
      <c r="C2110" s="75" t="s">
        <v>4139</v>
      </c>
      <c r="D2110" s="78">
        <v>2021.0</v>
      </c>
      <c r="E2110" s="78">
        <v>8.60369054978661E14</v>
      </c>
      <c r="F2110" s="76" t="s">
        <v>326</v>
      </c>
      <c r="G2110" s="68" t="s">
        <v>642</v>
      </c>
      <c r="H2110" s="69">
        <v>46206.0</v>
      </c>
      <c r="I2110" s="78" t="s">
        <v>337</v>
      </c>
      <c r="J2110" s="78"/>
      <c r="K2110" s="81"/>
      <c r="L2110" s="80"/>
      <c r="M2110" s="81"/>
    </row>
    <row r="2111">
      <c r="A2111" s="78" t="s">
        <v>4259</v>
      </c>
      <c r="B2111" s="75" t="s">
        <v>319</v>
      </c>
      <c r="C2111" s="75" t="s">
        <v>376</v>
      </c>
      <c r="D2111" s="78">
        <v>2023.0</v>
      </c>
      <c r="E2111" s="78">
        <v>8.60369054908247E14</v>
      </c>
      <c r="F2111" s="76" t="s">
        <v>326</v>
      </c>
      <c r="G2111" s="68" t="s">
        <v>642</v>
      </c>
      <c r="H2111" s="69">
        <v>46206.0</v>
      </c>
      <c r="I2111" s="78" t="s">
        <v>337</v>
      </c>
      <c r="J2111" s="78"/>
      <c r="K2111" s="81"/>
      <c r="L2111" s="80"/>
      <c r="M2111" s="81"/>
    </row>
    <row r="2112">
      <c r="A2112" s="78" t="s">
        <v>4260</v>
      </c>
      <c r="B2112" s="75" t="s">
        <v>319</v>
      </c>
      <c r="C2112" s="75" t="s">
        <v>376</v>
      </c>
      <c r="D2112" s="78">
        <v>2023.0</v>
      </c>
      <c r="E2112" s="78">
        <v>8.60369055025819E14</v>
      </c>
      <c r="F2112" s="76" t="s">
        <v>326</v>
      </c>
      <c r="G2112" s="68" t="s">
        <v>642</v>
      </c>
      <c r="H2112" s="69">
        <v>46206.0</v>
      </c>
      <c r="I2112" s="78" t="s">
        <v>337</v>
      </c>
      <c r="J2112" s="78"/>
      <c r="K2112" s="81"/>
      <c r="L2112" s="80"/>
      <c r="M2112" s="81"/>
    </row>
    <row r="2113">
      <c r="A2113" s="78" t="s">
        <v>4261</v>
      </c>
      <c r="B2113" s="75" t="s">
        <v>319</v>
      </c>
      <c r="C2113" s="75" t="s">
        <v>321</v>
      </c>
      <c r="D2113" s="78">
        <v>2026.0</v>
      </c>
      <c r="E2113" s="78">
        <v>8.60369054740251E14</v>
      </c>
      <c r="F2113" s="76" t="s">
        <v>326</v>
      </c>
      <c r="G2113" s="68" t="s">
        <v>230</v>
      </c>
      <c r="H2113" s="69">
        <v>46206.0</v>
      </c>
      <c r="I2113" s="78" t="s">
        <v>337</v>
      </c>
      <c r="J2113" s="78"/>
      <c r="K2113" s="81"/>
      <c r="L2113" s="80"/>
      <c r="M2113" s="81"/>
    </row>
    <row r="2114">
      <c r="A2114" s="78" t="s">
        <v>4262</v>
      </c>
      <c r="B2114" s="75" t="s">
        <v>319</v>
      </c>
      <c r="C2114" s="75" t="s">
        <v>376</v>
      </c>
      <c r="D2114" s="78">
        <v>2025.0</v>
      </c>
      <c r="E2114" s="78">
        <v>8.60369055020323E14</v>
      </c>
      <c r="F2114" s="76" t="s">
        <v>326</v>
      </c>
      <c r="G2114" s="68" t="s">
        <v>328</v>
      </c>
      <c r="H2114" s="69">
        <v>46211.0</v>
      </c>
      <c r="I2114" s="78" t="s">
        <v>337</v>
      </c>
      <c r="J2114" s="78"/>
      <c r="K2114" s="81"/>
      <c r="L2114" s="80"/>
      <c r="M2114" s="81"/>
    </row>
    <row r="2115">
      <c r="A2115" s="78" t="s">
        <v>4263</v>
      </c>
      <c r="B2115" s="75" t="s">
        <v>319</v>
      </c>
      <c r="C2115" s="75" t="s">
        <v>321</v>
      </c>
      <c r="D2115" s="78">
        <v>2026.0</v>
      </c>
      <c r="E2115" s="78">
        <v>8.60369054735251E14</v>
      </c>
      <c r="F2115" s="76" t="s">
        <v>326</v>
      </c>
      <c r="G2115" s="68" t="s">
        <v>230</v>
      </c>
      <c r="H2115" s="69">
        <v>46212.0</v>
      </c>
      <c r="I2115" s="78" t="s">
        <v>337</v>
      </c>
      <c r="J2115" s="78"/>
      <c r="K2115" s="81"/>
      <c r="L2115" s="80"/>
      <c r="M2115" s="81"/>
    </row>
    <row r="2116">
      <c r="A2116" s="78" t="s">
        <v>4264</v>
      </c>
      <c r="B2116" s="75" t="s">
        <v>319</v>
      </c>
      <c r="C2116" s="75" t="s">
        <v>321</v>
      </c>
      <c r="D2116" s="78">
        <v>2026.0</v>
      </c>
      <c r="E2116" s="78">
        <v>8.6036905412108E14</v>
      </c>
      <c r="F2116" s="76" t="s">
        <v>326</v>
      </c>
      <c r="G2116" s="68" t="s">
        <v>230</v>
      </c>
      <c r="H2116" s="69">
        <v>46212.0</v>
      </c>
      <c r="I2116" s="78" t="s">
        <v>337</v>
      </c>
      <c r="J2116" s="78"/>
      <c r="K2116" s="81"/>
      <c r="L2116" s="80"/>
      <c r="M2116" s="81"/>
    </row>
    <row r="2117">
      <c r="A2117" s="78" t="s">
        <v>4265</v>
      </c>
      <c r="B2117" s="75" t="s">
        <v>319</v>
      </c>
      <c r="C2117" s="75" t="s">
        <v>321</v>
      </c>
      <c r="D2117" s="78">
        <v>2026.0</v>
      </c>
      <c r="E2117" s="78">
        <v>8.60369054997125E14</v>
      </c>
      <c r="F2117" s="76" t="s">
        <v>326</v>
      </c>
      <c r="G2117" s="68" t="s">
        <v>230</v>
      </c>
      <c r="H2117" s="69">
        <v>46212.0</v>
      </c>
      <c r="I2117" s="78" t="s">
        <v>337</v>
      </c>
      <c r="J2117" s="78"/>
      <c r="K2117" s="81"/>
      <c r="L2117" s="80"/>
      <c r="M2117" s="81"/>
    </row>
    <row r="2118">
      <c r="A2118" s="78" t="s">
        <v>4266</v>
      </c>
      <c r="B2118" s="75" t="s">
        <v>319</v>
      </c>
      <c r="C2118" s="75" t="s">
        <v>321</v>
      </c>
      <c r="D2118" s="78">
        <v>2025.0</v>
      </c>
      <c r="E2118" s="78">
        <v>8.60369055023384E14</v>
      </c>
      <c r="F2118" s="76" t="s">
        <v>326</v>
      </c>
      <c r="G2118" s="68" t="s">
        <v>328</v>
      </c>
      <c r="H2118" s="69">
        <v>46217.0</v>
      </c>
      <c r="I2118" s="78" t="s">
        <v>337</v>
      </c>
      <c r="J2118" s="78"/>
      <c r="K2118" s="81"/>
      <c r="L2118" s="80"/>
      <c r="M2118" s="81"/>
    </row>
    <row r="2119">
      <c r="A2119" s="78" t="s">
        <v>4267</v>
      </c>
      <c r="B2119" s="75" t="s">
        <v>319</v>
      </c>
      <c r="C2119" s="75" t="s">
        <v>321</v>
      </c>
      <c r="D2119" s="78">
        <v>2021.0</v>
      </c>
      <c r="E2119" s="78">
        <v>8.60369052695663E14</v>
      </c>
      <c r="F2119" s="76" t="s">
        <v>326</v>
      </c>
      <c r="G2119" s="68" t="s">
        <v>378</v>
      </c>
      <c r="H2119" s="69">
        <v>46218.0</v>
      </c>
      <c r="I2119" s="78" t="s">
        <v>337</v>
      </c>
      <c r="J2119" s="78"/>
      <c r="K2119" s="81"/>
      <c r="L2119" s="80"/>
      <c r="M2119" s="81"/>
    </row>
    <row r="2120">
      <c r="A2120" s="78" t="s">
        <v>4268</v>
      </c>
      <c r="B2120" s="75" t="s">
        <v>374</v>
      </c>
      <c r="C2120" s="75" t="s">
        <v>1588</v>
      </c>
      <c r="D2120" s="78">
        <v>2026.0</v>
      </c>
      <c r="E2120" s="78">
        <v>8.60369054871908E14</v>
      </c>
      <c r="F2120" s="76" t="s">
        <v>326</v>
      </c>
      <c r="G2120" s="68" t="s">
        <v>642</v>
      </c>
      <c r="H2120" s="69">
        <v>46218.0</v>
      </c>
      <c r="I2120" s="78" t="s">
        <v>337</v>
      </c>
      <c r="J2120" s="78"/>
      <c r="K2120" s="81"/>
      <c r="L2120" s="80"/>
      <c r="M2120" s="81"/>
    </row>
    <row r="2121">
      <c r="A2121" s="78" t="s">
        <v>4269</v>
      </c>
      <c r="B2121" s="75" t="s">
        <v>374</v>
      </c>
      <c r="C2121" s="75" t="s">
        <v>647</v>
      </c>
      <c r="D2121" s="78">
        <v>2025.0</v>
      </c>
      <c r="E2121" s="78">
        <v>8.60369054915101E14</v>
      </c>
      <c r="F2121" s="76" t="s">
        <v>326</v>
      </c>
      <c r="G2121" s="68" t="s">
        <v>642</v>
      </c>
      <c r="H2121" s="69">
        <v>46218.0</v>
      </c>
      <c r="I2121" s="78" t="s">
        <v>337</v>
      </c>
      <c r="J2121" s="78"/>
      <c r="K2121" s="81"/>
      <c r="L2121" s="80"/>
      <c r="M2121" s="81"/>
    </row>
    <row r="2122">
      <c r="A2122" s="78" t="s">
        <v>4270</v>
      </c>
      <c r="B2122" s="75" t="s">
        <v>374</v>
      </c>
      <c r="C2122" s="75" t="s">
        <v>647</v>
      </c>
      <c r="D2122" s="78">
        <v>2024.0</v>
      </c>
      <c r="E2122" s="78">
        <v>8.60369054187453E14</v>
      </c>
      <c r="F2122" s="76" t="s">
        <v>326</v>
      </c>
      <c r="G2122" s="68" t="s">
        <v>642</v>
      </c>
      <c r="H2122" s="69">
        <v>46218.0</v>
      </c>
      <c r="I2122" s="78" t="s">
        <v>337</v>
      </c>
      <c r="J2122" s="78"/>
      <c r="K2122" s="81"/>
      <c r="L2122" s="80"/>
      <c r="M2122" s="81"/>
    </row>
    <row r="2123">
      <c r="A2123" s="78" t="s">
        <v>4271</v>
      </c>
      <c r="B2123" s="75" t="s">
        <v>389</v>
      </c>
      <c r="C2123" s="75" t="s">
        <v>1371</v>
      </c>
      <c r="D2123" s="78">
        <v>2024.0</v>
      </c>
      <c r="E2123" s="78">
        <v>8.60369055081143E14</v>
      </c>
      <c r="F2123" s="76" t="s">
        <v>326</v>
      </c>
      <c r="G2123" s="68" t="s">
        <v>296</v>
      </c>
      <c r="H2123" s="69">
        <v>46218.0</v>
      </c>
      <c r="I2123" s="78" t="s">
        <v>337</v>
      </c>
      <c r="J2123" s="78"/>
      <c r="K2123" s="81"/>
      <c r="L2123" s="80"/>
      <c r="M2123" s="81"/>
    </row>
    <row r="2124">
      <c r="A2124" s="78" t="s">
        <v>4272</v>
      </c>
      <c r="B2124" s="75" t="s">
        <v>319</v>
      </c>
      <c r="C2124" s="75" t="s">
        <v>723</v>
      </c>
      <c r="D2124" s="78">
        <v>2024.0</v>
      </c>
      <c r="E2124" s="78">
        <v>8.60369054974439E14</v>
      </c>
      <c r="F2124" s="76" t="s">
        <v>326</v>
      </c>
      <c r="G2124" s="68" t="s">
        <v>296</v>
      </c>
      <c r="H2124" s="69">
        <v>46218.0</v>
      </c>
      <c r="I2124" s="78" t="s">
        <v>337</v>
      </c>
      <c r="J2124" s="78"/>
      <c r="K2124" s="81"/>
      <c r="L2124" s="80"/>
      <c r="M2124" s="81"/>
    </row>
    <row r="2125">
      <c r="A2125" s="78" t="s">
        <v>4273</v>
      </c>
      <c r="B2125" s="75" t="s">
        <v>319</v>
      </c>
      <c r="C2125" s="75" t="s">
        <v>376</v>
      </c>
      <c r="D2125" s="78">
        <v>2024.0</v>
      </c>
      <c r="E2125" s="78">
        <v>8.60369054992647E14</v>
      </c>
      <c r="F2125" s="76" t="s">
        <v>326</v>
      </c>
      <c r="G2125" s="68" t="s">
        <v>296</v>
      </c>
      <c r="H2125" s="69">
        <v>46218.0</v>
      </c>
      <c r="I2125" s="78" t="s">
        <v>337</v>
      </c>
      <c r="J2125" s="78"/>
      <c r="K2125" s="81"/>
      <c r="L2125" s="80"/>
      <c r="M2125" s="81"/>
    </row>
    <row r="2126">
      <c r="A2126" s="78" t="s">
        <v>4274</v>
      </c>
      <c r="B2126" s="75" t="s">
        <v>374</v>
      </c>
      <c r="C2126" s="75" t="s">
        <v>4275</v>
      </c>
      <c r="D2126" s="78">
        <v>2025.0</v>
      </c>
      <c r="E2126" s="78">
        <v>8.60369055081424E14</v>
      </c>
      <c r="F2126" s="76" t="s">
        <v>326</v>
      </c>
      <c r="G2126" s="68" t="s">
        <v>296</v>
      </c>
      <c r="H2126" s="69">
        <v>46218.0</v>
      </c>
      <c r="I2126" s="78" t="s">
        <v>337</v>
      </c>
      <c r="J2126" s="78"/>
      <c r="K2126" s="81"/>
      <c r="L2126" s="80"/>
      <c r="M2126" s="81"/>
    </row>
    <row r="2127">
      <c r="A2127" s="78" t="s">
        <v>4276</v>
      </c>
      <c r="B2127" s="75" t="s">
        <v>319</v>
      </c>
      <c r="C2127" s="75" t="s">
        <v>1898</v>
      </c>
      <c r="D2127" s="78">
        <v>2018.0</v>
      </c>
      <c r="E2127" s="78">
        <v>8.60369055011371E14</v>
      </c>
      <c r="F2127" s="76" t="s">
        <v>326</v>
      </c>
      <c r="G2127" s="68" t="s">
        <v>642</v>
      </c>
      <c r="H2127" s="69">
        <v>46217.0</v>
      </c>
      <c r="I2127" s="78" t="s">
        <v>337</v>
      </c>
      <c r="J2127" s="78"/>
      <c r="K2127" s="81"/>
      <c r="L2127" s="80"/>
      <c r="M2127" s="81"/>
    </row>
    <row r="2128">
      <c r="A2128" s="78" t="s">
        <v>4277</v>
      </c>
      <c r="B2128" s="75" t="s">
        <v>374</v>
      </c>
      <c r="C2128" s="75" t="s">
        <v>647</v>
      </c>
      <c r="D2128" s="78">
        <v>2024.0</v>
      </c>
      <c r="E2128" s="78">
        <v>8.60369055014177E14</v>
      </c>
      <c r="F2128" s="76" t="s">
        <v>326</v>
      </c>
      <c r="G2128" s="68" t="s">
        <v>642</v>
      </c>
      <c r="H2128" s="69">
        <v>46217.0</v>
      </c>
      <c r="I2128" s="78" t="s">
        <v>337</v>
      </c>
      <c r="J2128" s="78"/>
      <c r="K2128" s="81"/>
      <c r="L2128" s="80"/>
      <c r="M2128" s="81"/>
    </row>
    <row r="2129">
      <c r="A2129" s="78" t="s">
        <v>4278</v>
      </c>
      <c r="B2129" s="75" t="s">
        <v>319</v>
      </c>
      <c r="C2129" s="75" t="s">
        <v>376</v>
      </c>
      <c r="D2129" s="78">
        <v>2022.0</v>
      </c>
      <c r="E2129" s="78">
        <v>8.60369054945843E14</v>
      </c>
      <c r="F2129" s="76" t="s">
        <v>326</v>
      </c>
      <c r="G2129" s="68" t="s">
        <v>642</v>
      </c>
      <c r="H2129" s="69">
        <v>46217.0</v>
      </c>
      <c r="I2129" s="78" t="s">
        <v>337</v>
      </c>
      <c r="J2129" s="78"/>
      <c r="K2129" s="81"/>
      <c r="L2129" s="80"/>
      <c r="M2129" s="81"/>
    </row>
    <row r="2130">
      <c r="A2130" s="78" t="s">
        <v>4279</v>
      </c>
      <c r="B2130" s="75" t="s">
        <v>319</v>
      </c>
      <c r="C2130" s="75" t="s">
        <v>1898</v>
      </c>
      <c r="D2130" s="78">
        <v>2019.0</v>
      </c>
      <c r="E2130" s="78">
        <v>8.60369055004541E14</v>
      </c>
      <c r="F2130" s="76" t="s">
        <v>326</v>
      </c>
      <c r="G2130" s="68" t="s">
        <v>642</v>
      </c>
      <c r="H2130" s="69">
        <v>46217.0</v>
      </c>
      <c r="I2130" s="78" t="s">
        <v>337</v>
      </c>
      <c r="J2130" s="78"/>
      <c r="K2130" s="81"/>
      <c r="L2130" s="80"/>
      <c r="M2130" s="81"/>
    </row>
    <row r="2131">
      <c r="A2131" s="78" t="s">
        <v>4280</v>
      </c>
      <c r="B2131" s="75" t="s">
        <v>319</v>
      </c>
      <c r="C2131" s="75" t="s">
        <v>1898</v>
      </c>
      <c r="D2131" s="78">
        <v>2022.0</v>
      </c>
      <c r="E2131" s="78">
        <v>8.60369052171947E14</v>
      </c>
      <c r="F2131" s="76" t="s">
        <v>326</v>
      </c>
      <c r="G2131" s="68" t="s">
        <v>642</v>
      </c>
      <c r="H2131" s="69">
        <v>46217.0</v>
      </c>
      <c r="I2131" s="78" t="s">
        <v>337</v>
      </c>
      <c r="J2131" s="78"/>
      <c r="K2131" s="81"/>
      <c r="L2131" s="80"/>
      <c r="M2131" s="81"/>
    </row>
    <row r="2132">
      <c r="A2132" s="78" t="s">
        <v>4281</v>
      </c>
      <c r="B2132" s="75" t="s">
        <v>319</v>
      </c>
      <c r="C2132" s="75" t="s">
        <v>1898</v>
      </c>
      <c r="D2132" s="78">
        <v>2019.0</v>
      </c>
      <c r="E2132" s="78">
        <v>8.60369054981582E14</v>
      </c>
      <c r="F2132" s="76" t="s">
        <v>326</v>
      </c>
      <c r="G2132" s="68" t="s">
        <v>642</v>
      </c>
      <c r="H2132" s="69">
        <v>46217.0</v>
      </c>
      <c r="I2132" s="78" t="s">
        <v>337</v>
      </c>
      <c r="J2132" s="78"/>
      <c r="K2132" s="81"/>
      <c r="L2132" s="80"/>
      <c r="M2132" s="81"/>
    </row>
    <row r="2133">
      <c r="A2133" s="78" t="s">
        <v>4282</v>
      </c>
      <c r="B2133" s="75" t="s">
        <v>319</v>
      </c>
      <c r="C2133" s="75" t="s">
        <v>1898</v>
      </c>
      <c r="D2133" s="78">
        <v>2025.0</v>
      </c>
      <c r="E2133" s="78">
        <v>8.60369052170832E14</v>
      </c>
      <c r="F2133" s="76" t="s">
        <v>326</v>
      </c>
      <c r="G2133" s="68" t="s">
        <v>642</v>
      </c>
      <c r="H2133" s="69">
        <v>46216.0</v>
      </c>
      <c r="I2133" s="78" t="s">
        <v>337</v>
      </c>
      <c r="J2133" s="78"/>
      <c r="K2133" s="81"/>
      <c r="L2133" s="80"/>
      <c r="M2133" s="81"/>
    </row>
    <row r="2134">
      <c r="A2134" s="78" t="s">
        <v>4283</v>
      </c>
      <c r="B2134" s="75" t="s">
        <v>319</v>
      </c>
      <c r="C2134" s="75" t="s">
        <v>1898</v>
      </c>
      <c r="D2134" s="78">
        <v>2022.0</v>
      </c>
      <c r="E2134" s="78">
        <v>8.60369052166665E14</v>
      </c>
      <c r="F2134" s="76" t="s">
        <v>326</v>
      </c>
      <c r="G2134" s="68" t="s">
        <v>642</v>
      </c>
      <c r="H2134" s="69">
        <v>46216.0</v>
      </c>
      <c r="I2134" s="78" t="s">
        <v>337</v>
      </c>
      <c r="J2134" s="78"/>
      <c r="K2134" s="81"/>
      <c r="L2134" s="80"/>
      <c r="M2134" s="81"/>
    </row>
    <row r="2135">
      <c r="A2135" s="78" t="s">
        <v>4284</v>
      </c>
      <c r="B2135" s="75" t="s">
        <v>374</v>
      </c>
      <c r="C2135" s="75" t="s">
        <v>647</v>
      </c>
      <c r="D2135" s="78">
        <v>2024.0</v>
      </c>
      <c r="E2135" s="78">
        <v>8.60369054993751E14</v>
      </c>
      <c r="F2135" s="76" t="s">
        <v>326</v>
      </c>
      <c r="G2135" s="68" t="s">
        <v>642</v>
      </c>
      <c r="H2135" s="69">
        <v>46216.0</v>
      </c>
      <c r="I2135" s="78" t="s">
        <v>337</v>
      </c>
      <c r="J2135" s="78"/>
      <c r="K2135" s="81"/>
      <c r="L2135" s="80"/>
      <c r="M2135" s="81"/>
    </row>
    <row r="2136">
      <c r="A2136" s="78" t="s">
        <v>4285</v>
      </c>
      <c r="B2136" s="75" t="s">
        <v>374</v>
      </c>
      <c r="C2136" s="75" t="s">
        <v>647</v>
      </c>
      <c r="D2136" s="78">
        <v>2026.0</v>
      </c>
      <c r="E2136" s="78">
        <v>8.60369055028284E14</v>
      </c>
      <c r="F2136" s="76" t="s">
        <v>326</v>
      </c>
      <c r="G2136" s="68" t="s">
        <v>642</v>
      </c>
      <c r="H2136" s="69">
        <v>46216.0</v>
      </c>
      <c r="I2136" s="78" t="s">
        <v>337</v>
      </c>
      <c r="J2136" s="78"/>
      <c r="K2136" s="81"/>
      <c r="L2136" s="80"/>
      <c r="M2136" s="81"/>
    </row>
    <row r="2137">
      <c r="A2137" s="78" t="s">
        <v>4286</v>
      </c>
      <c r="B2137" s="75" t="s">
        <v>319</v>
      </c>
      <c r="C2137" s="75" t="s">
        <v>376</v>
      </c>
      <c r="D2137" s="78">
        <v>2022.0</v>
      </c>
      <c r="E2137" s="78">
        <v>8.60369055005613E14</v>
      </c>
      <c r="F2137" s="76" t="s">
        <v>326</v>
      </c>
      <c r="G2137" s="68" t="s">
        <v>642</v>
      </c>
      <c r="H2137" s="69">
        <v>46216.0</v>
      </c>
      <c r="I2137" s="78" t="s">
        <v>337</v>
      </c>
      <c r="J2137" s="78"/>
      <c r="K2137" s="81"/>
      <c r="L2137" s="80"/>
      <c r="M2137" s="81"/>
    </row>
    <row r="2138">
      <c r="A2138" s="78" t="s">
        <v>4287</v>
      </c>
      <c r="B2138" s="75" t="s">
        <v>319</v>
      </c>
      <c r="C2138" s="75" t="s">
        <v>376</v>
      </c>
      <c r="D2138" s="78">
        <v>2022.0</v>
      </c>
      <c r="E2138" s="78">
        <v>8.60369055008658E14</v>
      </c>
      <c r="F2138" s="76" t="s">
        <v>326</v>
      </c>
      <c r="G2138" s="68" t="s">
        <v>642</v>
      </c>
      <c r="H2138" s="69">
        <v>46216.0</v>
      </c>
      <c r="I2138" s="78" t="s">
        <v>337</v>
      </c>
      <c r="J2138" s="78"/>
      <c r="K2138" s="81"/>
      <c r="L2138" s="80"/>
      <c r="M2138" s="81"/>
    </row>
    <row r="2139">
      <c r="A2139" s="78" t="s">
        <v>4288</v>
      </c>
      <c r="B2139" s="75" t="s">
        <v>319</v>
      </c>
      <c r="C2139" s="75" t="s">
        <v>376</v>
      </c>
      <c r="D2139" s="78">
        <v>2023.0</v>
      </c>
      <c r="E2139" s="78">
        <v>8.60369055025827E14</v>
      </c>
      <c r="F2139" s="76" t="s">
        <v>326</v>
      </c>
      <c r="G2139" s="68" t="s">
        <v>642</v>
      </c>
      <c r="H2139" s="69">
        <v>46216.0</v>
      </c>
      <c r="I2139" s="78" t="s">
        <v>337</v>
      </c>
      <c r="J2139" s="78"/>
      <c r="K2139" s="81"/>
      <c r="L2139" s="80"/>
      <c r="M2139" s="81"/>
    </row>
    <row r="2140">
      <c r="A2140" s="78" t="s">
        <v>4289</v>
      </c>
      <c r="B2140" s="75" t="s">
        <v>319</v>
      </c>
      <c r="C2140" s="75" t="s">
        <v>1898</v>
      </c>
      <c r="D2140" s="78">
        <v>2019.0</v>
      </c>
      <c r="E2140" s="78">
        <v>8.60369055026643E14</v>
      </c>
      <c r="F2140" s="76" t="s">
        <v>326</v>
      </c>
      <c r="G2140" s="68" t="s">
        <v>642</v>
      </c>
      <c r="H2140" s="69">
        <v>46216.0</v>
      </c>
      <c r="I2140" s="78" t="s">
        <v>337</v>
      </c>
      <c r="J2140" s="78"/>
      <c r="K2140" s="81"/>
      <c r="L2140" s="80"/>
      <c r="M2140" s="81"/>
    </row>
    <row r="2141">
      <c r="A2141" s="78" t="s">
        <v>4290</v>
      </c>
      <c r="B2141" s="75" t="s">
        <v>319</v>
      </c>
      <c r="C2141" s="75" t="s">
        <v>376</v>
      </c>
      <c r="D2141" s="78">
        <v>2025.0</v>
      </c>
      <c r="E2141" s="78">
        <v>8.60369054945827E14</v>
      </c>
      <c r="F2141" s="76" t="s">
        <v>326</v>
      </c>
      <c r="G2141" s="68" t="s">
        <v>642</v>
      </c>
      <c r="H2141" s="69">
        <v>46216.0</v>
      </c>
      <c r="I2141" s="78" t="s">
        <v>337</v>
      </c>
      <c r="J2141" s="78"/>
      <c r="K2141" s="81"/>
      <c r="L2141" s="80"/>
      <c r="M2141" s="81"/>
    </row>
    <row r="2142">
      <c r="A2142" s="78" t="s">
        <v>4291</v>
      </c>
      <c r="B2142" s="75" t="s">
        <v>319</v>
      </c>
      <c r="C2142" s="75" t="s">
        <v>376</v>
      </c>
      <c r="D2142" s="78">
        <v>2022.0</v>
      </c>
      <c r="E2142" s="78">
        <v>8.60369055026353E14</v>
      </c>
      <c r="F2142" s="76" t="s">
        <v>326</v>
      </c>
      <c r="G2142" s="68" t="s">
        <v>642</v>
      </c>
      <c r="H2142" s="69">
        <v>46216.0</v>
      </c>
      <c r="I2142" s="78" t="s">
        <v>337</v>
      </c>
      <c r="J2142" s="78"/>
      <c r="K2142" s="81"/>
      <c r="L2142" s="80"/>
      <c r="M2142" s="81"/>
    </row>
    <row r="2143">
      <c r="A2143" s="78" t="s">
        <v>4292</v>
      </c>
      <c r="B2143" s="75" t="s">
        <v>319</v>
      </c>
      <c r="C2143" s="75" t="s">
        <v>321</v>
      </c>
      <c r="D2143" s="78">
        <v>2026.0</v>
      </c>
      <c r="E2143" s="78">
        <v>8.60369054726896E14</v>
      </c>
      <c r="F2143" s="76" t="s">
        <v>326</v>
      </c>
      <c r="G2143" s="68" t="s">
        <v>230</v>
      </c>
      <c r="H2143" s="69">
        <v>46214.0</v>
      </c>
      <c r="I2143" s="78" t="s">
        <v>337</v>
      </c>
      <c r="J2143" s="78"/>
      <c r="K2143" s="81"/>
      <c r="L2143" s="80"/>
      <c r="M2143" s="81"/>
    </row>
    <row r="2144">
      <c r="A2144" s="78" t="s">
        <v>4293</v>
      </c>
      <c r="B2144" s="75" t="s">
        <v>319</v>
      </c>
      <c r="C2144" s="75" t="s">
        <v>321</v>
      </c>
      <c r="D2144" s="78">
        <v>2026.0</v>
      </c>
      <c r="E2144" s="78">
        <v>8.60369054739139E14</v>
      </c>
      <c r="F2144" s="76" t="s">
        <v>326</v>
      </c>
      <c r="G2144" s="68" t="s">
        <v>230</v>
      </c>
      <c r="H2144" s="69">
        <v>46214.0</v>
      </c>
      <c r="I2144" s="78" t="s">
        <v>337</v>
      </c>
      <c r="J2144" s="78"/>
      <c r="K2144" s="81"/>
      <c r="L2144" s="80"/>
      <c r="M2144" s="81"/>
    </row>
    <row r="2145">
      <c r="A2145" s="78" t="s">
        <v>4294</v>
      </c>
      <c r="B2145" s="75" t="s">
        <v>319</v>
      </c>
      <c r="C2145" s="75" t="s">
        <v>321</v>
      </c>
      <c r="D2145" s="78">
        <v>2026.0</v>
      </c>
      <c r="E2145" s="78">
        <v>8.60369054408487E14</v>
      </c>
      <c r="F2145" s="76" t="s">
        <v>326</v>
      </c>
      <c r="G2145" s="68" t="s">
        <v>230</v>
      </c>
      <c r="H2145" s="69">
        <v>46214.0</v>
      </c>
      <c r="I2145" s="78" t="s">
        <v>337</v>
      </c>
      <c r="J2145" s="78"/>
      <c r="K2145" s="81"/>
      <c r="L2145" s="80"/>
      <c r="M2145" s="81"/>
    </row>
    <row r="2146">
      <c r="A2146" s="78" t="s">
        <v>4295</v>
      </c>
      <c r="B2146" s="75" t="s">
        <v>374</v>
      </c>
      <c r="C2146" s="75" t="s">
        <v>1588</v>
      </c>
      <c r="D2146" s="78">
        <v>2025.0</v>
      </c>
      <c r="E2146" s="78">
        <v>8.60369054944846E14</v>
      </c>
      <c r="F2146" s="76" t="s">
        <v>326</v>
      </c>
      <c r="G2146" s="68" t="s">
        <v>642</v>
      </c>
      <c r="H2146" s="69">
        <v>46213.0</v>
      </c>
      <c r="I2146" s="78" t="s">
        <v>337</v>
      </c>
      <c r="J2146" s="78"/>
      <c r="K2146" s="81"/>
      <c r="L2146" s="80"/>
      <c r="M2146" s="81"/>
    </row>
    <row r="2147">
      <c r="A2147" s="78" t="s">
        <v>4296</v>
      </c>
      <c r="B2147" s="75" t="s">
        <v>389</v>
      </c>
      <c r="C2147" s="75" t="s">
        <v>1292</v>
      </c>
      <c r="D2147" s="78">
        <v>2026.0</v>
      </c>
      <c r="E2147" s="78">
        <v>8.60369052702915E14</v>
      </c>
      <c r="F2147" s="76" t="s">
        <v>326</v>
      </c>
      <c r="G2147" s="68" t="s">
        <v>642</v>
      </c>
      <c r="H2147" s="69">
        <v>46213.0</v>
      </c>
      <c r="I2147" s="78" t="s">
        <v>337</v>
      </c>
      <c r="J2147" s="78"/>
      <c r="K2147" s="81"/>
      <c r="L2147" s="80"/>
      <c r="M2147" s="81"/>
    </row>
    <row r="2148">
      <c r="A2148" s="78" t="s">
        <v>4297</v>
      </c>
      <c r="B2148" s="75" t="s">
        <v>319</v>
      </c>
      <c r="C2148" s="75" t="s">
        <v>376</v>
      </c>
      <c r="D2148" s="78">
        <v>2023.0</v>
      </c>
      <c r="E2148" s="78">
        <v>8.60369054993116E14</v>
      </c>
      <c r="F2148" s="76" t="s">
        <v>326</v>
      </c>
      <c r="G2148" s="68" t="s">
        <v>642</v>
      </c>
      <c r="H2148" s="69">
        <v>46213.0</v>
      </c>
      <c r="I2148" s="78" t="s">
        <v>337</v>
      </c>
      <c r="J2148" s="78"/>
      <c r="K2148" s="81"/>
      <c r="L2148" s="80"/>
      <c r="M2148" s="81"/>
    </row>
    <row r="2149">
      <c r="A2149" s="78" t="s">
        <v>4298</v>
      </c>
      <c r="B2149" s="75" t="s">
        <v>319</v>
      </c>
      <c r="C2149" s="75" t="s">
        <v>723</v>
      </c>
      <c r="D2149" s="78">
        <v>2023.0</v>
      </c>
      <c r="E2149" s="78">
        <v>8.60369054978901E14</v>
      </c>
      <c r="F2149" s="76" t="s">
        <v>326</v>
      </c>
      <c r="G2149" s="68" t="s">
        <v>642</v>
      </c>
      <c r="H2149" s="69">
        <v>46213.0</v>
      </c>
      <c r="I2149" s="78" t="s">
        <v>337</v>
      </c>
      <c r="J2149" s="78"/>
      <c r="K2149" s="81"/>
      <c r="L2149" s="80"/>
      <c r="M2149" s="81"/>
    </row>
    <row r="2150">
      <c r="A2150" s="78" t="s">
        <v>4299</v>
      </c>
      <c r="B2150" s="75" t="s">
        <v>374</v>
      </c>
      <c r="C2150" s="75" t="s">
        <v>647</v>
      </c>
      <c r="D2150" s="78">
        <v>2024.0</v>
      </c>
      <c r="E2150" s="78">
        <v>8.60369054896947E14</v>
      </c>
      <c r="F2150" s="76" t="s">
        <v>326</v>
      </c>
      <c r="G2150" s="68" t="s">
        <v>642</v>
      </c>
      <c r="H2150" s="69">
        <v>46213.0</v>
      </c>
      <c r="I2150" s="78" t="s">
        <v>337</v>
      </c>
      <c r="J2150" s="78"/>
      <c r="K2150" s="81"/>
      <c r="L2150" s="80"/>
      <c r="M2150" s="81"/>
    </row>
    <row r="2151">
      <c r="A2151" s="78" t="s">
        <v>4300</v>
      </c>
      <c r="B2151" s="75" t="s">
        <v>389</v>
      </c>
      <c r="C2151" s="75" t="s">
        <v>1292</v>
      </c>
      <c r="D2151" s="78">
        <v>2026.0</v>
      </c>
      <c r="E2151" s="78">
        <v>8.60369054886914E14</v>
      </c>
      <c r="F2151" s="76" t="s">
        <v>326</v>
      </c>
      <c r="G2151" s="68" t="s">
        <v>642</v>
      </c>
      <c r="H2151" s="69">
        <v>46213.0</v>
      </c>
      <c r="I2151" s="78" t="s">
        <v>337</v>
      </c>
      <c r="J2151" s="78"/>
      <c r="K2151" s="81"/>
      <c r="L2151" s="80"/>
      <c r="M2151" s="81"/>
    </row>
    <row r="2152">
      <c r="A2152" s="78" t="s">
        <v>4301</v>
      </c>
      <c r="B2152" s="75" t="s">
        <v>319</v>
      </c>
      <c r="C2152" s="75" t="s">
        <v>376</v>
      </c>
      <c r="D2152" s="78">
        <v>2022.0</v>
      </c>
      <c r="E2152" s="78">
        <v>8.60369054122203E14</v>
      </c>
      <c r="F2152" s="76" t="s">
        <v>326</v>
      </c>
      <c r="G2152" s="68" t="s">
        <v>642</v>
      </c>
      <c r="H2152" s="69">
        <v>46213.0</v>
      </c>
      <c r="I2152" s="78" t="s">
        <v>337</v>
      </c>
      <c r="J2152" s="78"/>
      <c r="K2152" s="81"/>
      <c r="L2152" s="80"/>
      <c r="M2152" s="81"/>
    </row>
    <row r="2153">
      <c r="A2153" s="78" t="s">
        <v>4302</v>
      </c>
      <c r="B2153" s="75" t="s">
        <v>319</v>
      </c>
      <c r="C2153" s="75" t="s">
        <v>376</v>
      </c>
      <c r="D2153" s="78">
        <v>2022.0</v>
      </c>
      <c r="E2153" s="78">
        <v>8.60369055010571E14</v>
      </c>
      <c r="F2153" s="76" t="s">
        <v>326</v>
      </c>
      <c r="G2153" s="68" t="s">
        <v>642</v>
      </c>
      <c r="H2153" s="69">
        <v>46213.0</v>
      </c>
      <c r="I2153" s="78" t="s">
        <v>337</v>
      </c>
      <c r="J2153" s="78"/>
      <c r="K2153" s="81"/>
      <c r="L2153" s="80"/>
      <c r="M2153" s="81"/>
    </row>
    <row r="2154">
      <c r="A2154" s="78" t="s">
        <v>4303</v>
      </c>
      <c r="B2154" s="75" t="s">
        <v>374</v>
      </c>
      <c r="C2154" s="75" t="s">
        <v>1588</v>
      </c>
      <c r="D2154" s="78">
        <v>2024.0</v>
      </c>
      <c r="E2154" s="78">
        <v>8.60369055084394E14</v>
      </c>
      <c r="F2154" s="76" t="s">
        <v>326</v>
      </c>
      <c r="G2154" s="68" t="s">
        <v>642</v>
      </c>
      <c r="H2154" s="69">
        <v>46213.0</v>
      </c>
      <c r="I2154" s="78" t="s">
        <v>337</v>
      </c>
      <c r="J2154" s="78"/>
      <c r="K2154" s="81"/>
      <c r="L2154" s="80"/>
      <c r="M2154" s="81"/>
    </row>
    <row r="2155">
      <c r="A2155" s="78" t="s">
        <v>4304</v>
      </c>
      <c r="B2155" s="75" t="s">
        <v>319</v>
      </c>
      <c r="C2155" s="75" t="s">
        <v>376</v>
      </c>
      <c r="D2155" s="78">
        <v>2022.0</v>
      </c>
      <c r="E2155" s="78">
        <v>8.6036905491092E14</v>
      </c>
      <c r="F2155" s="76" t="s">
        <v>326</v>
      </c>
      <c r="G2155" s="68" t="s">
        <v>642</v>
      </c>
      <c r="H2155" s="69">
        <v>46213.0</v>
      </c>
      <c r="I2155" s="78" t="s">
        <v>337</v>
      </c>
      <c r="J2155" s="78"/>
      <c r="K2155" s="81"/>
      <c r="L2155" s="80"/>
      <c r="M2155" s="81"/>
    </row>
    <row r="2156">
      <c r="A2156" s="78" t="s">
        <v>4305</v>
      </c>
      <c r="B2156" s="75" t="s">
        <v>319</v>
      </c>
      <c r="C2156" s="75" t="s">
        <v>376</v>
      </c>
      <c r="D2156" s="78">
        <v>2022.0</v>
      </c>
      <c r="E2156" s="78">
        <v>8.60369054200165E14</v>
      </c>
      <c r="F2156" s="76" t="s">
        <v>326</v>
      </c>
      <c r="G2156" s="68" t="s">
        <v>642</v>
      </c>
      <c r="H2156" s="69">
        <v>46213.0</v>
      </c>
      <c r="I2156" s="78" t="s">
        <v>337</v>
      </c>
      <c r="J2156" s="78"/>
      <c r="K2156" s="81"/>
      <c r="L2156" s="80"/>
      <c r="M2156" s="81"/>
    </row>
    <row r="2157">
      <c r="A2157" s="78" t="s">
        <v>4306</v>
      </c>
      <c r="B2157" s="75" t="s">
        <v>319</v>
      </c>
      <c r="C2157" s="75" t="s">
        <v>376</v>
      </c>
      <c r="D2157" s="78">
        <v>2022.0</v>
      </c>
      <c r="E2157" s="78">
        <v>8.60369054192123E14</v>
      </c>
      <c r="F2157" s="76" t="s">
        <v>326</v>
      </c>
      <c r="G2157" s="68" t="s">
        <v>642</v>
      </c>
      <c r="H2157" s="69">
        <v>46213.0</v>
      </c>
      <c r="I2157" s="78" t="s">
        <v>337</v>
      </c>
      <c r="J2157" s="78"/>
      <c r="K2157" s="81"/>
      <c r="L2157" s="80"/>
      <c r="M2157" s="81"/>
    </row>
    <row r="2158">
      <c r="A2158" s="78" t="s">
        <v>4307</v>
      </c>
      <c r="B2158" s="75" t="s">
        <v>389</v>
      </c>
      <c r="C2158" s="75" t="s">
        <v>1292</v>
      </c>
      <c r="D2158" s="78">
        <v>2026.0</v>
      </c>
      <c r="E2158" s="78">
        <v>8.60369055082224E14</v>
      </c>
      <c r="F2158" s="76" t="s">
        <v>326</v>
      </c>
      <c r="G2158" s="68" t="s">
        <v>328</v>
      </c>
      <c r="H2158" s="69">
        <v>46220.0</v>
      </c>
      <c r="I2158" s="78" t="s">
        <v>337</v>
      </c>
      <c r="J2158" s="78"/>
      <c r="K2158" s="81"/>
      <c r="L2158" s="80"/>
      <c r="M2158" s="81"/>
    </row>
    <row r="2159">
      <c r="A2159" s="78" t="s">
        <v>4308</v>
      </c>
      <c r="B2159" s="75" t="s">
        <v>319</v>
      </c>
      <c r="C2159" s="75" t="s">
        <v>723</v>
      </c>
      <c r="D2159" s="78">
        <v>2021.0</v>
      </c>
      <c r="E2159" s="78">
        <v>8.60369055011447E14</v>
      </c>
      <c r="F2159" s="76" t="s">
        <v>326</v>
      </c>
      <c r="G2159" s="68" t="s">
        <v>642</v>
      </c>
      <c r="H2159" s="246">
        <v>46219.0</v>
      </c>
      <c r="I2159" s="78" t="s">
        <v>337</v>
      </c>
      <c r="J2159" s="78"/>
      <c r="K2159" s="81"/>
      <c r="L2159" s="80"/>
      <c r="M2159" s="81"/>
    </row>
    <row r="2160">
      <c r="A2160" s="78" t="s">
        <v>4309</v>
      </c>
      <c r="B2160" s="75" t="s">
        <v>319</v>
      </c>
      <c r="C2160" s="75" t="s">
        <v>376</v>
      </c>
      <c r="D2160" s="78">
        <v>2025.0</v>
      </c>
      <c r="E2160" s="78">
        <v>8.60369055025611E14</v>
      </c>
      <c r="F2160" s="76" t="s">
        <v>326</v>
      </c>
      <c r="G2160" s="68" t="s">
        <v>642</v>
      </c>
      <c r="H2160" s="246">
        <v>46219.0</v>
      </c>
      <c r="I2160" s="78" t="s">
        <v>337</v>
      </c>
      <c r="J2160" s="78"/>
      <c r="K2160" s="81"/>
      <c r="L2160" s="80"/>
      <c r="M2160" s="81"/>
    </row>
    <row r="2161">
      <c r="A2161" s="78" t="s">
        <v>4310</v>
      </c>
      <c r="B2161" s="75" t="s">
        <v>319</v>
      </c>
      <c r="C2161" s="75" t="s">
        <v>376</v>
      </c>
      <c r="D2161" s="78">
        <v>2022.0</v>
      </c>
      <c r="E2161" s="78">
        <v>8.60369054192545E14</v>
      </c>
      <c r="F2161" s="76" t="s">
        <v>326</v>
      </c>
      <c r="G2161" s="68" t="s">
        <v>642</v>
      </c>
      <c r="H2161" s="246">
        <v>46219.0</v>
      </c>
      <c r="I2161" s="78" t="s">
        <v>337</v>
      </c>
      <c r="J2161" s="78"/>
      <c r="K2161" s="81"/>
      <c r="L2161" s="80"/>
      <c r="M2161" s="81"/>
    </row>
    <row r="2162">
      <c r="A2162" s="78" t="s">
        <v>4311</v>
      </c>
      <c r="B2162" s="75" t="s">
        <v>319</v>
      </c>
      <c r="C2162" s="75" t="s">
        <v>723</v>
      </c>
      <c r="D2162" s="78">
        <v>2024.0</v>
      </c>
      <c r="E2162" s="78">
        <v>8.60369054987902E14</v>
      </c>
      <c r="F2162" s="76" t="s">
        <v>326</v>
      </c>
      <c r="G2162" s="68" t="s">
        <v>642</v>
      </c>
      <c r="H2162" s="246">
        <v>46219.0</v>
      </c>
      <c r="I2162" s="78" t="s">
        <v>337</v>
      </c>
      <c r="J2162" s="78"/>
      <c r="K2162" s="81"/>
      <c r="L2162" s="80"/>
      <c r="M2162" s="81"/>
    </row>
    <row r="2163">
      <c r="A2163" s="78" t="s">
        <v>4312</v>
      </c>
      <c r="B2163" s="75" t="s">
        <v>319</v>
      </c>
      <c r="C2163" s="75" t="s">
        <v>376</v>
      </c>
      <c r="D2163" s="78">
        <v>2023.0</v>
      </c>
      <c r="E2163" s="78">
        <v>8.60369054907637E14</v>
      </c>
      <c r="F2163" s="76" t="s">
        <v>326</v>
      </c>
      <c r="G2163" s="68" t="s">
        <v>642</v>
      </c>
      <c r="H2163" s="246">
        <v>46219.0</v>
      </c>
      <c r="I2163" s="78" t="s">
        <v>337</v>
      </c>
      <c r="J2163" s="78"/>
      <c r="K2163" s="81"/>
      <c r="L2163" s="80"/>
      <c r="M2163" s="81"/>
    </row>
    <row r="2164">
      <c r="A2164" s="78" t="s">
        <v>4313</v>
      </c>
      <c r="B2164" s="75" t="s">
        <v>319</v>
      </c>
      <c r="C2164" s="75"/>
      <c r="D2164" s="78"/>
      <c r="E2164" s="78">
        <v>8.60369055091233E14</v>
      </c>
      <c r="F2164" s="76" t="s">
        <v>326</v>
      </c>
      <c r="G2164" s="68" t="s">
        <v>230</v>
      </c>
      <c r="H2164" s="246">
        <v>46220.0</v>
      </c>
      <c r="I2164" s="78" t="s">
        <v>337</v>
      </c>
      <c r="J2164" s="78"/>
      <c r="K2164" s="81"/>
      <c r="L2164" s="80"/>
      <c r="M2164" s="81"/>
    </row>
    <row r="2165">
      <c r="A2165" s="78" t="s">
        <v>4314</v>
      </c>
      <c r="B2165" s="75" t="s">
        <v>319</v>
      </c>
      <c r="C2165" s="75" t="s">
        <v>321</v>
      </c>
      <c r="D2165" s="78">
        <v>2026.0</v>
      </c>
      <c r="E2165" s="78">
        <v>8.60369055014235E14</v>
      </c>
      <c r="F2165" s="76" t="s">
        <v>326</v>
      </c>
      <c r="G2165" s="68" t="s">
        <v>230</v>
      </c>
      <c r="H2165" s="246">
        <v>46220.0</v>
      </c>
      <c r="I2165" s="78" t="s">
        <v>337</v>
      </c>
      <c r="J2165" s="78"/>
      <c r="K2165" s="81"/>
      <c r="L2165" s="80"/>
      <c r="M2165" s="81"/>
    </row>
    <row r="2166">
      <c r="A2166" s="78" t="s">
        <v>4315</v>
      </c>
      <c r="B2166" s="75" t="s">
        <v>319</v>
      </c>
      <c r="C2166" s="75" t="s">
        <v>321</v>
      </c>
      <c r="D2166" s="78">
        <v>2026.0</v>
      </c>
      <c r="E2166" s="78">
        <v>8.60369054789662E14</v>
      </c>
      <c r="F2166" s="76" t="s">
        <v>326</v>
      </c>
      <c r="G2166" s="68" t="s">
        <v>230</v>
      </c>
      <c r="H2166" s="246">
        <v>46220.0</v>
      </c>
      <c r="I2166" s="78" t="s">
        <v>337</v>
      </c>
      <c r="J2166" s="78"/>
      <c r="K2166" s="81"/>
      <c r="L2166" s="80"/>
      <c r="M2166" s="81"/>
    </row>
    <row r="2167">
      <c r="A2167" s="78" t="s">
        <v>4316</v>
      </c>
      <c r="B2167" s="75" t="s">
        <v>319</v>
      </c>
      <c r="C2167" s="75"/>
      <c r="D2167" s="78"/>
      <c r="E2167" s="78">
        <v>8.60369055010951E14</v>
      </c>
      <c r="F2167" s="76" t="s">
        <v>326</v>
      </c>
      <c r="G2167" s="68" t="s">
        <v>230</v>
      </c>
      <c r="H2167" s="246">
        <v>46220.0</v>
      </c>
      <c r="I2167" s="78" t="s">
        <v>337</v>
      </c>
      <c r="J2167" s="78"/>
      <c r="K2167" s="81"/>
      <c r="L2167" s="80"/>
      <c r="M2167" s="81"/>
    </row>
    <row r="2168">
      <c r="A2168" s="78" t="s">
        <v>4317</v>
      </c>
      <c r="B2168" s="75" t="s">
        <v>374</v>
      </c>
      <c r="C2168" s="75" t="s">
        <v>1866</v>
      </c>
      <c r="D2168" s="78">
        <v>2025.0</v>
      </c>
      <c r="E2168" s="78">
        <v>8.60369054788227E14</v>
      </c>
      <c r="F2168" s="76" t="s">
        <v>326</v>
      </c>
      <c r="G2168" s="68" t="s">
        <v>4318</v>
      </c>
      <c r="H2168" s="246">
        <v>46220.0</v>
      </c>
      <c r="I2168" s="78" t="s">
        <v>337</v>
      </c>
      <c r="J2168" s="78"/>
      <c r="K2168" s="81"/>
      <c r="L2168" s="80"/>
      <c r="M2168" s="81"/>
    </row>
    <row r="2169">
      <c r="A2169" s="78" t="s">
        <v>4319</v>
      </c>
      <c r="B2169" s="75" t="s">
        <v>374</v>
      </c>
      <c r="C2169" s="75" t="s">
        <v>1866</v>
      </c>
      <c r="D2169" s="78">
        <v>2025.0</v>
      </c>
      <c r="E2169" s="78">
        <v>8.60369055006199E14</v>
      </c>
      <c r="F2169" s="76" t="s">
        <v>326</v>
      </c>
      <c r="G2169" s="68" t="s">
        <v>4318</v>
      </c>
      <c r="H2169" s="246">
        <v>46220.0</v>
      </c>
      <c r="I2169" s="78" t="s">
        <v>337</v>
      </c>
      <c r="J2169" s="78"/>
      <c r="K2169" s="81"/>
      <c r="L2169" s="80"/>
      <c r="M2169" s="81"/>
    </row>
    <row r="2170">
      <c r="A2170" s="78" t="s">
        <v>4320</v>
      </c>
      <c r="B2170" s="75" t="s">
        <v>374</v>
      </c>
      <c r="C2170" s="75" t="s">
        <v>1866</v>
      </c>
      <c r="D2170" s="78">
        <v>2025.0</v>
      </c>
      <c r="E2170" s="78">
        <v>8.60369054984412E14</v>
      </c>
      <c r="F2170" s="76" t="s">
        <v>326</v>
      </c>
      <c r="G2170" s="68" t="s">
        <v>4318</v>
      </c>
      <c r="H2170" s="246">
        <v>46220.0</v>
      </c>
      <c r="I2170" s="78" t="s">
        <v>337</v>
      </c>
      <c r="J2170" s="78"/>
      <c r="K2170" s="81"/>
      <c r="L2170" s="80"/>
      <c r="M2170" s="81"/>
    </row>
    <row r="2171">
      <c r="A2171" s="78" t="s">
        <v>4321</v>
      </c>
      <c r="B2171" s="75" t="s">
        <v>374</v>
      </c>
      <c r="C2171" s="75" t="s">
        <v>1866</v>
      </c>
      <c r="D2171" s="78">
        <v>2025.0</v>
      </c>
      <c r="E2171" s="78">
        <v>8.60369054998016E14</v>
      </c>
      <c r="F2171" s="76" t="s">
        <v>326</v>
      </c>
      <c r="G2171" s="68" t="s">
        <v>4318</v>
      </c>
      <c r="H2171" s="246">
        <v>46220.0</v>
      </c>
      <c r="I2171" s="78" t="s">
        <v>337</v>
      </c>
      <c r="J2171" s="78"/>
      <c r="K2171" s="81"/>
      <c r="L2171" s="80"/>
      <c r="M2171" s="81"/>
    </row>
    <row r="2172">
      <c r="A2172" s="78" t="s">
        <v>4322</v>
      </c>
      <c r="B2172" s="75" t="s">
        <v>374</v>
      </c>
      <c r="C2172" s="75" t="s">
        <v>1866</v>
      </c>
      <c r="D2172" s="78">
        <v>2025.0</v>
      </c>
      <c r="E2172" s="78">
        <v>8.60369055068314E14</v>
      </c>
      <c r="F2172" s="76" t="s">
        <v>326</v>
      </c>
      <c r="G2172" s="68" t="s">
        <v>4318</v>
      </c>
      <c r="H2172" s="246">
        <v>46220.0</v>
      </c>
      <c r="I2172" s="78" t="s">
        <v>337</v>
      </c>
      <c r="J2172" s="78"/>
      <c r="K2172" s="81"/>
      <c r="L2172" s="80"/>
      <c r="M2172" s="81"/>
    </row>
    <row r="2173">
      <c r="A2173" s="78" t="s">
        <v>4323</v>
      </c>
      <c r="B2173" s="75" t="s">
        <v>374</v>
      </c>
      <c r="C2173" s="75" t="s">
        <v>1866</v>
      </c>
      <c r="D2173" s="78">
        <v>2025.0</v>
      </c>
      <c r="E2173" s="78">
        <v>8.60369055066698E14</v>
      </c>
      <c r="F2173" s="76" t="s">
        <v>326</v>
      </c>
      <c r="G2173" s="68" t="s">
        <v>4318</v>
      </c>
      <c r="H2173" s="246">
        <v>46220.0</v>
      </c>
      <c r="I2173" s="78" t="s">
        <v>337</v>
      </c>
      <c r="J2173" s="78"/>
      <c r="K2173" s="81"/>
      <c r="L2173" s="80"/>
      <c r="M2173" s="81"/>
    </row>
    <row r="2174">
      <c r="A2174" s="78" t="s">
        <v>4324</v>
      </c>
      <c r="B2174" s="75" t="s">
        <v>374</v>
      </c>
      <c r="C2174" s="75" t="s">
        <v>1866</v>
      </c>
      <c r="D2174" s="78">
        <v>2025.0</v>
      </c>
      <c r="E2174" s="78">
        <v>8.60369054788334E14</v>
      </c>
      <c r="F2174" s="76" t="s">
        <v>326</v>
      </c>
      <c r="G2174" s="68" t="s">
        <v>4318</v>
      </c>
      <c r="H2174" s="246">
        <v>46220.0</v>
      </c>
      <c r="I2174" s="78" t="s">
        <v>337</v>
      </c>
      <c r="J2174" s="78"/>
      <c r="K2174" s="81"/>
      <c r="L2174" s="80"/>
      <c r="M2174" s="81"/>
    </row>
    <row r="2175">
      <c r="A2175" s="78" t="s">
        <v>4325</v>
      </c>
      <c r="B2175" s="75" t="s">
        <v>374</v>
      </c>
      <c r="C2175" s="75" t="s">
        <v>1866</v>
      </c>
      <c r="D2175" s="78">
        <v>2025.0</v>
      </c>
      <c r="E2175" s="78">
        <v>8.60369054993199E14</v>
      </c>
      <c r="F2175" s="76" t="s">
        <v>326</v>
      </c>
      <c r="G2175" s="68" t="s">
        <v>4318</v>
      </c>
      <c r="H2175" s="246">
        <v>46220.0</v>
      </c>
      <c r="I2175" s="78" t="s">
        <v>337</v>
      </c>
      <c r="J2175" s="78"/>
      <c r="K2175" s="81"/>
      <c r="L2175" s="80"/>
      <c r="M2175" s="81"/>
    </row>
    <row r="2176">
      <c r="A2176" s="78" t="s">
        <v>4326</v>
      </c>
      <c r="B2176" s="75" t="s">
        <v>374</v>
      </c>
      <c r="C2176" s="75" t="s">
        <v>1866</v>
      </c>
      <c r="D2176" s="78">
        <v>2025.0</v>
      </c>
      <c r="E2176" s="78">
        <v>8.60369054789761E14</v>
      </c>
      <c r="F2176" s="76" t="s">
        <v>326</v>
      </c>
      <c r="G2176" s="68" t="s">
        <v>4318</v>
      </c>
      <c r="H2176" s="246">
        <v>46220.0</v>
      </c>
      <c r="I2176" s="78" t="s">
        <v>337</v>
      </c>
      <c r="J2176" s="78"/>
      <c r="K2176" s="81"/>
      <c r="L2176" s="80"/>
      <c r="M2176" s="81"/>
    </row>
    <row r="2177">
      <c r="A2177" s="78" t="s">
        <v>4327</v>
      </c>
      <c r="B2177" s="75" t="s">
        <v>319</v>
      </c>
      <c r="C2177" s="75" t="s">
        <v>723</v>
      </c>
      <c r="D2177" s="78">
        <v>2026.0</v>
      </c>
      <c r="E2177" s="78">
        <v>8.60369052115597E14</v>
      </c>
      <c r="F2177" s="76" t="s">
        <v>326</v>
      </c>
      <c r="G2177" s="68" t="s">
        <v>230</v>
      </c>
      <c r="H2177" s="246">
        <v>46220.0</v>
      </c>
      <c r="I2177" s="78" t="s">
        <v>337</v>
      </c>
      <c r="J2177" s="78"/>
      <c r="K2177" s="81"/>
      <c r="L2177" s="80"/>
      <c r="M2177" s="81"/>
    </row>
    <row r="2178">
      <c r="A2178" s="78" t="s">
        <v>4328</v>
      </c>
      <c r="B2178" s="75" t="s">
        <v>374</v>
      </c>
      <c r="C2178" s="75" t="s">
        <v>1866</v>
      </c>
      <c r="D2178" s="78">
        <v>2025.0</v>
      </c>
      <c r="E2178" s="78">
        <v>8.60369055070419E14</v>
      </c>
      <c r="F2178" s="76" t="s">
        <v>326</v>
      </c>
      <c r="G2178" s="68" t="s">
        <v>4318</v>
      </c>
      <c r="H2178" s="246">
        <v>46220.0</v>
      </c>
      <c r="I2178" s="78" t="s">
        <v>337</v>
      </c>
      <c r="J2178" s="78"/>
      <c r="K2178" s="81"/>
      <c r="L2178" s="80"/>
      <c r="M2178" s="81"/>
    </row>
    <row r="2179">
      <c r="A2179" s="78" t="s">
        <v>4329</v>
      </c>
      <c r="B2179" s="75" t="s">
        <v>374</v>
      </c>
      <c r="C2179" s="75" t="s">
        <v>1866</v>
      </c>
      <c r="D2179" s="78">
        <v>2025.0</v>
      </c>
      <c r="E2179" s="78">
        <v>8.60369055091225E14</v>
      </c>
      <c r="F2179" s="76" t="s">
        <v>326</v>
      </c>
      <c r="G2179" s="68" t="s">
        <v>4318</v>
      </c>
      <c r="H2179" s="246">
        <v>46220.0</v>
      </c>
      <c r="I2179" s="78" t="s">
        <v>337</v>
      </c>
      <c r="J2179" s="78"/>
      <c r="K2179" s="81"/>
      <c r="L2179" s="80"/>
      <c r="M2179" s="81"/>
    </row>
    <row r="2180">
      <c r="A2180" s="78" t="s">
        <v>4330</v>
      </c>
      <c r="B2180" s="75" t="s">
        <v>374</v>
      </c>
      <c r="C2180" s="75" t="s">
        <v>1866</v>
      </c>
      <c r="D2180" s="78">
        <v>2025.0</v>
      </c>
      <c r="E2180" s="78">
        <v>8.60369055077125E14</v>
      </c>
      <c r="F2180" s="76" t="s">
        <v>326</v>
      </c>
      <c r="G2180" s="68" t="s">
        <v>4318</v>
      </c>
      <c r="H2180" s="246">
        <v>46220.0</v>
      </c>
      <c r="I2180" s="78" t="s">
        <v>337</v>
      </c>
      <c r="J2180" s="78"/>
      <c r="K2180" s="81"/>
      <c r="L2180" s="80"/>
      <c r="M2180" s="81"/>
    </row>
    <row r="2181">
      <c r="A2181" s="78" t="s">
        <v>4331</v>
      </c>
      <c r="B2181" s="75" t="s">
        <v>374</v>
      </c>
      <c r="C2181" s="75" t="s">
        <v>1866</v>
      </c>
      <c r="D2181" s="78">
        <v>2025.0</v>
      </c>
      <c r="E2181" s="78">
        <v>8.60369055030827E14</v>
      </c>
      <c r="F2181" s="76" t="s">
        <v>326</v>
      </c>
      <c r="G2181" s="68" t="s">
        <v>4318</v>
      </c>
      <c r="H2181" s="246">
        <v>46220.0</v>
      </c>
      <c r="I2181" s="78" t="s">
        <v>337</v>
      </c>
      <c r="J2181" s="78"/>
      <c r="K2181" s="81"/>
      <c r="L2181" s="80"/>
      <c r="M2181" s="81"/>
    </row>
    <row r="2182">
      <c r="A2182" s="78" t="s">
        <v>4332</v>
      </c>
      <c r="B2182" s="75" t="s">
        <v>374</v>
      </c>
      <c r="C2182" s="75" t="s">
        <v>1866</v>
      </c>
      <c r="D2182" s="78">
        <v>2025.0</v>
      </c>
      <c r="E2182" s="78">
        <v>8.60369054948185E14</v>
      </c>
      <c r="F2182" s="76" t="s">
        <v>326</v>
      </c>
      <c r="G2182" s="68" t="s">
        <v>4318</v>
      </c>
      <c r="H2182" s="246">
        <v>46220.0</v>
      </c>
      <c r="I2182" s="78" t="s">
        <v>337</v>
      </c>
      <c r="J2182" s="78"/>
      <c r="K2182" s="81"/>
      <c r="L2182" s="80"/>
      <c r="M2182" s="81"/>
    </row>
    <row r="2183">
      <c r="A2183" s="78" t="s">
        <v>4333</v>
      </c>
      <c r="B2183" s="75" t="s">
        <v>374</v>
      </c>
      <c r="C2183" s="75" t="s">
        <v>1866</v>
      </c>
      <c r="D2183" s="78">
        <v>2025.0</v>
      </c>
      <c r="E2183" s="78">
        <v>8.60369055023475E14</v>
      </c>
      <c r="F2183" s="76" t="s">
        <v>326</v>
      </c>
      <c r="G2183" s="68" t="s">
        <v>4318</v>
      </c>
      <c r="H2183" s="246">
        <v>46220.0</v>
      </c>
      <c r="I2183" s="78" t="s">
        <v>337</v>
      </c>
      <c r="J2183" s="78"/>
      <c r="K2183" s="81"/>
      <c r="L2183" s="80"/>
      <c r="M2183" s="81"/>
    </row>
    <row r="2184">
      <c r="A2184" s="78" t="s">
        <v>4334</v>
      </c>
      <c r="B2184" s="75" t="s">
        <v>374</v>
      </c>
      <c r="C2184" s="75" t="s">
        <v>1866</v>
      </c>
      <c r="D2184" s="78">
        <v>2025.0</v>
      </c>
      <c r="E2184" s="78">
        <v>8.6036905508224E14</v>
      </c>
      <c r="F2184" s="76" t="s">
        <v>326</v>
      </c>
      <c r="G2184" s="68" t="s">
        <v>4318</v>
      </c>
      <c r="H2184" s="246">
        <v>46220.0</v>
      </c>
      <c r="I2184" s="78" t="s">
        <v>337</v>
      </c>
      <c r="J2184" s="78"/>
      <c r="K2184" s="81"/>
      <c r="L2184" s="80"/>
      <c r="M2184" s="81"/>
    </row>
    <row r="2185">
      <c r="A2185" s="78" t="s">
        <v>4335</v>
      </c>
      <c r="B2185" s="75" t="s">
        <v>374</v>
      </c>
      <c r="C2185" s="75" t="s">
        <v>1866</v>
      </c>
      <c r="D2185" s="78">
        <v>2025.0</v>
      </c>
      <c r="E2185" s="78">
        <v>8.60369054984248E14</v>
      </c>
      <c r="F2185" s="76" t="s">
        <v>326</v>
      </c>
      <c r="G2185" s="68" t="s">
        <v>4318</v>
      </c>
      <c r="H2185" s="246">
        <v>46220.0</v>
      </c>
      <c r="I2185" s="78" t="s">
        <v>337</v>
      </c>
      <c r="J2185" s="78"/>
      <c r="K2185" s="81"/>
      <c r="L2185" s="80"/>
      <c r="M2185" s="81"/>
    </row>
    <row r="2186">
      <c r="A2186" s="78" t="s">
        <v>4336</v>
      </c>
      <c r="B2186" s="75" t="s">
        <v>374</v>
      </c>
      <c r="C2186" s="75" t="s">
        <v>1866</v>
      </c>
      <c r="D2186" s="78">
        <v>2025.0</v>
      </c>
      <c r="E2186" s="78">
        <v>8.60369054992704E14</v>
      </c>
      <c r="F2186" s="76" t="s">
        <v>326</v>
      </c>
      <c r="G2186" s="68" t="s">
        <v>4318</v>
      </c>
      <c r="H2186" s="246">
        <v>46220.0</v>
      </c>
      <c r="I2186" s="78" t="s">
        <v>337</v>
      </c>
      <c r="J2186" s="78"/>
      <c r="K2186" s="81"/>
      <c r="L2186" s="80"/>
      <c r="M2186" s="81"/>
    </row>
    <row r="2187">
      <c r="A2187" s="78" t="s">
        <v>4337</v>
      </c>
      <c r="B2187" s="75" t="s">
        <v>374</v>
      </c>
      <c r="C2187" s="75" t="s">
        <v>1866</v>
      </c>
      <c r="D2187" s="78">
        <v>2025.0</v>
      </c>
      <c r="E2187" s="78">
        <v>8.60369054972144E14</v>
      </c>
      <c r="F2187" s="76" t="s">
        <v>326</v>
      </c>
      <c r="G2187" s="68" t="s">
        <v>4318</v>
      </c>
      <c r="H2187" s="246">
        <v>46220.0</v>
      </c>
      <c r="I2187" s="78" t="s">
        <v>337</v>
      </c>
      <c r="J2187" s="78"/>
      <c r="K2187" s="81"/>
      <c r="L2187" s="80"/>
      <c r="M2187" s="81"/>
    </row>
    <row r="2188">
      <c r="A2188" s="78" t="s">
        <v>4338</v>
      </c>
      <c r="B2188" s="75" t="s">
        <v>374</v>
      </c>
      <c r="C2188" s="75" t="s">
        <v>1866</v>
      </c>
      <c r="D2188" s="78">
        <v>2025.0</v>
      </c>
      <c r="E2188" s="78">
        <v>8.60369055025645E14</v>
      </c>
      <c r="F2188" s="76" t="s">
        <v>326</v>
      </c>
      <c r="G2188" s="68" t="s">
        <v>4318</v>
      </c>
      <c r="H2188" s="246">
        <v>46220.0</v>
      </c>
      <c r="I2188" s="78" t="s">
        <v>337</v>
      </c>
      <c r="J2188" s="78"/>
      <c r="K2188" s="81"/>
      <c r="L2188" s="80"/>
      <c r="M2188" s="81"/>
    </row>
    <row r="2189">
      <c r="A2189" s="78" t="s">
        <v>4339</v>
      </c>
      <c r="B2189" s="75" t="s">
        <v>319</v>
      </c>
      <c r="C2189" s="75" t="s">
        <v>723</v>
      </c>
      <c r="D2189" s="78">
        <v>2022.0</v>
      </c>
      <c r="E2189" s="78">
        <v>8.60369054187503E14</v>
      </c>
      <c r="F2189" s="76" t="s">
        <v>326</v>
      </c>
      <c r="G2189" s="68" t="s">
        <v>642</v>
      </c>
      <c r="H2189" s="246">
        <v>46223.0</v>
      </c>
      <c r="I2189" s="78" t="s">
        <v>337</v>
      </c>
      <c r="J2189" s="78"/>
      <c r="K2189" s="81"/>
      <c r="L2189" s="80"/>
      <c r="M2189" s="81"/>
    </row>
    <row r="2190">
      <c r="A2190" s="78" t="s">
        <v>4340</v>
      </c>
      <c r="B2190" s="75" t="s">
        <v>319</v>
      </c>
      <c r="C2190" s="75" t="s">
        <v>723</v>
      </c>
      <c r="D2190" s="78">
        <v>2021.0</v>
      </c>
      <c r="E2190" s="78">
        <v>8.60369055023574E14</v>
      </c>
      <c r="F2190" s="76" t="s">
        <v>326</v>
      </c>
      <c r="G2190" s="68" t="s">
        <v>642</v>
      </c>
      <c r="H2190" s="246">
        <v>46223.0</v>
      </c>
      <c r="I2190" s="78" t="s">
        <v>337</v>
      </c>
      <c r="J2190" s="78"/>
      <c r="K2190" s="81"/>
      <c r="L2190" s="80"/>
      <c r="M2190" s="81"/>
    </row>
    <row r="2191">
      <c r="A2191" s="78" t="s">
        <v>4341</v>
      </c>
      <c r="B2191" s="75" t="s">
        <v>374</v>
      </c>
      <c r="C2191" s="75" t="s">
        <v>1588</v>
      </c>
      <c r="D2191" s="78">
        <v>2025.0</v>
      </c>
      <c r="E2191" s="78">
        <v>8.60369054747223E14</v>
      </c>
      <c r="F2191" s="76" t="s">
        <v>326</v>
      </c>
      <c r="G2191" s="68" t="s">
        <v>642</v>
      </c>
      <c r="H2191" s="246">
        <v>46223.0</v>
      </c>
      <c r="I2191" s="78" t="s">
        <v>337</v>
      </c>
      <c r="J2191" s="78"/>
      <c r="K2191" s="81"/>
      <c r="L2191" s="80"/>
      <c r="M2191" s="81"/>
    </row>
    <row r="2192">
      <c r="A2192" s="78" t="s">
        <v>4342</v>
      </c>
      <c r="B2192" s="75" t="s">
        <v>319</v>
      </c>
      <c r="C2192" s="75" t="s">
        <v>376</v>
      </c>
      <c r="D2192" s="78">
        <v>2022.0</v>
      </c>
      <c r="E2192" s="78">
        <v>8.60369054947526E14</v>
      </c>
      <c r="F2192" s="76" t="s">
        <v>326</v>
      </c>
      <c r="G2192" s="68" t="s">
        <v>642</v>
      </c>
      <c r="H2192" s="246">
        <v>46223.0</v>
      </c>
      <c r="I2192" s="78" t="s">
        <v>337</v>
      </c>
      <c r="J2192" s="78"/>
      <c r="K2192" s="81"/>
      <c r="L2192" s="80"/>
      <c r="M2192" s="81"/>
    </row>
    <row r="2193">
      <c r="A2193" s="78" t="s">
        <v>4343</v>
      </c>
      <c r="B2193" s="75" t="s">
        <v>374</v>
      </c>
      <c r="C2193" s="75" t="s">
        <v>647</v>
      </c>
      <c r="D2193" s="78">
        <v>2024.0</v>
      </c>
      <c r="E2193" s="78">
        <v>8.60369054909617E14</v>
      </c>
      <c r="F2193" s="76" t="s">
        <v>326</v>
      </c>
      <c r="G2193" s="68" t="s">
        <v>642</v>
      </c>
      <c r="H2193" s="246">
        <v>46223.0</v>
      </c>
      <c r="I2193" s="78" t="s">
        <v>337</v>
      </c>
      <c r="J2193" s="78"/>
      <c r="K2193" s="81"/>
      <c r="L2193" s="80"/>
      <c r="M2193" s="81"/>
    </row>
    <row r="2194">
      <c r="A2194" s="78" t="s">
        <v>4344</v>
      </c>
      <c r="B2194" s="75" t="s">
        <v>319</v>
      </c>
      <c r="C2194" s="75" t="s">
        <v>723</v>
      </c>
      <c r="D2194" s="78">
        <v>2024.0</v>
      </c>
      <c r="E2194" s="78">
        <v>8.60369054981509E14</v>
      </c>
      <c r="F2194" s="76" t="s">
        <v>326</v>
      </c>
      <c r="G2194" s="68" t="s">
        <v>642</v>
      </c>
      <c r="H2194" s="246">
        <v>46223.0</v>
      </c>
      <c r="I2194" s="78" t="s">
        <v>337</v>
      </c>
      <c r="J2194" s="78"/>
      <c r="K2194" s="81"/>
      <c r="L2194" s="80"/>
      <c r="M2194" s="81"/>
    </row>
    <row r="2195">
      <c r="A2195" s="78" t="s">
        <v>4345</v>
      </c>
      <c r="B2195" s="75" t="s">
        <v>319</v>
      </c>
      <c r="C2195" s="75" t="s">
        <v>376</v>
      </c>
      <c r="D2195" s="78">
        <v>2022.0</v>
      </c>
      <c r="E2195" s="78">
        <v>8.6036905418898E14</v>
      </c>
      <c r="F2195" s="76" t="s">
        <v>326</v>
      </c>
      <c r="G2195" s="68" t="s">
        <v>642</v>
      </c>
      <c r="H2195" s="246">
        <v>46223.0</v>
      </c>
      <c r="I2195" s="78" t="s">
        <v>337</v>
      </c>
      <c r="J2195" s="78"/>
      <c r="K2195" s="81"/>
      <c r="L2195" s="80"/>
      <c r="M2195" s="81"/>
    </row>
    <row r="2196">
      <c r="A2196" s="78" t="s">
        <v>4346</v>
      </c>
      <c r="B2196" s="75" t="s">
        <v>319</v>
      </c>
      <c r="C2196" s="75" t="s">
        <v>376</v>
      </c>
      <c r="D2196" s="78">
        <v>2025.0</v>
      </c>
      <c r="E2196" s="78">
        <v>8.60369054984735E14</v>
      </c>
      <c r="F2196" s="76" t="s">
        <v>326</v>
      </c>
      <c r="G2196" s="68" t="s">
        <v>642</v>
      </c>
      <c r="H2196" s="246">
        <v>46223.0</v>
      </c>
      <c r="I2196" s="78" t="s">
        <v>337</v>
      </c>
      <c r="J2196" s="78"/>
      <c r="K2196" s="81"/>
      <c r="L2196" s="80"/>
      <c r="M2196" s="81"/>
    </row>
    <row r="2197">
      <c r="A2197" s="78" t="s">
        <v>4347</v>
      </c>
      <c r="B2197" s="75" t="s">
        <v>319</v>
      </c>
      <c r="C2197" s="75" t="s">
        <v>376</v>
      </c>
      <c r="D2197" s="78">
        <v>2025.0</v>
      </c>
      <c r="E2197" s="78">
        <v>8.60369054735376E14</v>
      </c>
      <c r="F2197" s="76" t="s">
        <v>326</v>
      </c>
      <c r="G2197" s="68" t="s">
        <v>642</v>
      </c>
      <c r="H2197" s="246">
        <v>46223.0</v>
      </c>
      <c r="I2197" s="78" t="s">
        <v>337</v>
      </c>
      <c r="J2197" s="78"/>
      <c r="K2197" s="81"/>
      <c r="L2197" s="80"/>
      <c r="M2197" s="81"/>
    </row>
    <row r="2198">
      <c r="A2198" s="78" t="s">
        <v>4348</v>
      </c>
      <c r="B2198" s="75" t="s">
        <v>319</v>
      </c>
      <c r="C2198" s="75"/>
      <c r="D2198" s="78"/>
      <c r="E2198" s="78">
        <v>8.60369055008708E14</v>
      </c>
      <c r="F2198" s="76" t="s">
        <v>326</v>
      </c>
      <c r="G2198" s="68" t="s">
        <v>230</v>
      </c>
      <c r="H2198" s="246">
        <v>46224.0</v>
      </c>
      <c r="I2198" s="78" t="s">
        <v>337</v>
      </c>
      <c r="J2198" s="78"/>
      <c r="K2198" s="81"/>
      <c r="L2198" s="80"/>
      <c r="M2198" s="81"/>
    </row>
    <row r="2199">
      <c r="A2199" s="78" t="s">
        <v>4349</v>
      </c>
      <c r="B2199" s="75" t="s">
        <v>374</v>
      </c>
      <c r="C2199" s="75" t="s">
        <v>1588</v>
      </c>
      <c r="D2199" s="78">
        <v>2026.0</v>
      </c>
      <c r="E2199" s="78">
        <v>8.60369054999402E14</v>
      </c>
      <c r="F2199" s="76" t="s">
        <v>326</v>
      </c>
      <c r="G2199" s="68" t="s">
        <v>642</v>
      </c>
      <c r="H2199" s="246">
        <v>46224.0</v>
      </c>
      <c r="I2199" s="78" t="s">
        <v>337</v>
      </c>
      <c r="J2199" s="78"/>
      <c r="K2199" s="81"/>
      <c r="L2199" s="80"/>
      <c r="M2199" s="81"/>
    </row>
    <row r="2200">
      <c r="A2200" s="78" t="s">
        <v>4350</v>
      </c>
      <c r="B2200" s="75" t="s">
        <v>319</v>
      </c>
      <c r="C2200" s="75" t="s">
        <v>723</v>
      </c>
      <c r="D2200" s="78">
        <v>2021.0</v>
      </c>
      <c r="E2200" s="78">
        <v>8.60369055026403E14</v>
      </c>
      <c r="F2200" s="76" t="s">
        <v>326</v>
      </c>
      <c r="G2200" s="68" t="s">
        <v>642</v>
      </c>
      <c r="H2200" s="246">
        <v>46224.0</v>
      </c>
      <c r="I2200" s="78" t="s">
        <v>337</v>
      </c>
      <c r="J2200" s="78"/>
      <c r="K2200" s="81"/>
      <c r="L2200" s="80"/>
      <c r="M2200" s="81"/>
    </row>
    <row r="2201">
      <c r="A2201" s="78" t="s">
        <v>4351</v>
      </c>
      <c r="B2201" s="75" t="s">
        <v>319</v>
      </c>
      <c r="C2201" s="75"/>
      <c r="D2201" s="78"/>
      <c r="E2201" s="78">
        <v>8.60369054907124E14</v>
      </c>
      <c r="F2201" s="76" t="s">
        <v>326</v>
      </c>
      <c r="G2201" s="68" t="s">
        <v>230</v>
      </c>
      <c r="H2201" s="246">
        <v>46224.0</v>
      </c>
      <c r="I2201" s="78" t="s">
        <v>337</v>
      </c>
      <c r="J2201" s="78"/>
      <c r="K2201" s="81"/>
      <c r="L2201" s="80"/>
      <c r="M2201" s="81"/>
    </row>
    <row r="2202">
      <c r="A2202" s="78" t="s">
        <v>4352</v>
      </c>
      <c r="B2202" s="75" t="s">
        <v>319</v>
      </c>
      <c r="C2202" s="75"/>
      <c r="D2202" s="78"/>
      <c r="E2202" s="78">
        <v>8.60369055005845E14</v>
      </c>
      <c r="F2202" s="76" t="s">
        <v>326</v>
      </c>
      <c r="G2202" s="68" t="s">
        <v>230</v>
      </c>
      <c r="H2202" s="246">
        <v>46224.0</v>
      </c>
      <c r="I2202" s="78" t="s">
        <v>337</v>
      </c>
      <c r="J2202" s="78"/>
      <c r="K2202" s="81"/>
      <c r="L2202" s="80"/>
      <c r="M2202" s="81"/>
    </row>
    <row r="2203">
      <c r="A2203" s="78" t="s">
        <v>4353</v>
      </c>
      <c r="B2203" s="75" t="s">
        <v>319</v>
      </c>
      <c r="C2203" s="75"/>
      <c r="D2203" s="78"/>
      <c r="E2203" s="78">
        <v>8.60369052120597E14</v>
      </c>
      <c r="F2203" s="76" t="s">
        <v>326</v>
      </c>
      <c r="G2203" s="68" t="s">
        <v>230</v>
      </c>
      <c r="H2203" s="246">
        <v>46224.0</v>
      </c>
      <c r="I2203" s="78" t="s">
        <v>337</v>
      </c>
      <c r="J2203" s="78"/>
      <c r="K2203" s="81"/>
      <c r="L2203" s="80"/>
      <c r="M2203" s="81"/>
    </row>
    <row r="2204">
      <c r="A2204" s="78" t="s">
        <v>4354</v>
      </c>
      <c r="B2204" s="75" t="s">
        <v>319</v>
      </c>
      <c r="C2204" s="75"/>
      <c r="D2204" s="78"/>
      <c r="E2204" s="78">
        <v>8.60369055029381E14</v>
      </c>
      <c r="F2204" s="76" t="s">
        <v>326</v>
      </c>
      <c r="G2204" s="68" t="s">
        <v>230</v>
      </c>
      <c r="H2204" s="246">
        <v>46228.0</v>
      </c>
      <c r="I2204" s="78" t="s">
        <v>337</v>
      </c>
      <c r="J2204" s="78"/>
      <c r="K2204" s="81"/>
      <c r="L2204" s="80"/>
      <c r="M2204" s="81"/>
    </row>
    <row r="2205">
      <c r="A2205" s="78" t="s">
        <v>4355</v>
      </c>
      <c r="B2205" s="75" t="s">
        <v>319</v>
      </c>
      <c r="C2205" s="75"/>
      <c r="D2205" s="78"/>
      <c r="E2205" s="78">
        <v>8.60369054738602E14</v>
      </c>
      <c r="F2205" s="76" t="s">
        <v>326</v>
      </c>
      <c r="G2205" s="68" t="s">
        <v>230</v>
      </c>
      <c r="H2205" s="246">
        <v>46227.0</v>
      </c>
      <c r="I2205" s="78" t="s">
        <v>337</v>
      </c>
      <c r="J2205" s="78"/>
      <c r="K2205" s="81"/>
      <c r="L2205" s="80"/>
      <c r="M2205" s="81"/>
    </row>
    <row r="2206">
      <c r="A2206" s="78" t="s">
        <v>4356</v>
      </c>
      <c r="B2206" s="75" t="s">
        <v>884</v>
      </c>
      <c r="C2206" s="75" t="s">
        <v>1402</v>
      </c>
      <c r="D2206" s="78">
        <v>2019.0</v>
      </c>
      <c r="E2206" s="78">
        <v>8.60369054944739E14</v>
      </c>
      <c r="F2206" s="76" t="s">
        <v>326</v>
      </c>
      <c r="G2206" s="68" t="s">
        <v>404</v>
      </c>
      <c r="H2206" s="246">
        <v>46227.0</v>
      </c>
      <c r="I2206" s="78"/>
      <c r="J2206" s="78"/>
      <c r="K2206" s="81"/>
      <c r="L2206" s="80"/>
      <c r="M2206" s="81"/>
    </row>
    <row r="2207">
      <c r="A2207" s="78" t="s">
        <v>4357</v>
      </c>
      <c r="B2207" s="75" t="s">
        <v>319</v>
      </c>
      <c r="C2207" s="75"/>
      <c r="D2207" s="78"/>
      <c r="E2207" s="78">
        <v>8.60369054726979E14</v>
      </c>
      <c r="F2207" s="76" t="s">
        <v>326</v>
      </c>
      <c r="G2207" s="68" t="s">
        <v>230</v>
      </c>
      <c r="H2207" s="246">
        <v>46227.0</v>
      </c>
      <c r="I2207" s="78" t="s">
        <v>337</v>
      </c>
      <c r="J2207" s="78"/>
      <c r="K2207" s="81"/>
      <c r="L2207" s="80"/>
      <c r="M2207" s="81"/>
    </row>
    <row r="2208">
      <c r="A2208" s="78" t="s">
        <v>4358</v>
      </c>
      <c r="B2208" s="75" t="s">
        <v>319</v>
      </c>
      <c r="C2208" s="75"/>
      <c r="D2208" s="78"/>
      <c r="E2208" s="78">
        <v>8.60369055022006E14</v>
      </c>
      <c r="F2208" s="76" t="s">
        <v>326</v>
      </c>
      <c r="G2208" s="68" t="s">
        <v>230</v>
      </c>
      <c r="H2208" s="246">
        <v>46227.0</v>
      </c>
      <c r="I2208" s="78" t="s">
        <v>337</v>
      </c>
      <c r="J2208" s="78"/>
      <c r="K2208" s="81"/>
      <c r="L2208" s="80"/>
      <c r="M2208" s="81"/>
    </row>
    <row r="2209">
      <c r="A2209" s="78" t="s">
        <v>4359</v>
      </c>
      <c r="B2209" s="75" t="s">
        <v>319</v>
      </c>
      <c r="C2209" s="75" t="s">
        <v>723</v>
      </c>
      <c r="D2209" s="78">
        <v>2022.0</v>
      </c>
      <c r="E2209" s="78">
        <v>8.60369055014326E14</v>
      </c>
      <c r="F2209" s="76" t="s">
        <v>326</v>
      </c>
      <c r="G2209" s="68" t="s">
        <v>642</v>
      </c>
      <c r="H2209" s="246">
        <v>46226.0</v>
      </c>
      <c r="I2209" s="78" t="s">
        <v>337</v>
      </c>
      <c r="J2209" s="78"/>
      <c r="K2209" s="81"/>
      <c r="L2209" s="80"/>
      <c r="M2209" s="81"/>
    </row>
    <row r="2210">
      <c r="A2210" s="78" t="s">
        <v>4360</v>
      </c>
      <c r="B2210" s="75" t="s">
        <v>319</v>
      </c>
      <c r="C2210" s="75"/>
      <c r="D2210" s="78"/>
      <c r="E2210" s="78">
        <v>8.60369052702931E14</v>
      </c>
      <c r="F2210" s="76" t="s">
        <v>326</v>
      </c>
      <c r="G2210" s="68" t="s">
        <v>230</v>
      </c>
      <c r="H2210" s="246">
        <v>46226.0</v>
      </c>
      <c r="I2210" s="78" t="s">
        <v>337</v>
      </c>
      <c r="J2210" s="78"/>
      <c r="K2210" s="81"/>
      <c r="L2210" s="80"/>
      <c r="M2210" s="81"/>
    </row>
    <row r="2211">
      <c r="A2211" s="78" t="s">
        <v>4361</v>
      </c>
      <c r="B2211" s="75" t="s">
        <v>319</v>
      </c>
      <c r="C2211" s="75"/>
      <c r="D2211" s="78"/>
      <c r="E2211" s="78">
        <v>8.60369055084618E14</v>
      </c>
      <c r="F2211" s="76" t="s">
        <v>326</v>
      </c>
      <c r="G2211" s="68" t="s">
        <v>230</v>
      </c>
      <c r="H2211" s="246">
        <v>46226.0</v>
      </c>
      <c r="I2211" s="78" t="s">
        <v>337</v>
      </c>
      <c r="J2211" s="78"/>
      <c r="K2211" s="81"/>
      <c r="L2211" s="80"/>
      <c r="M2211" s="81"/>
    </row>
    <row r="2212">
      <c r="A2212" s="78" t="s">
        <v>4362</v>
      </c>
      <c r="B2212" s="75"/>
      <c r="C2212" s="75"/>
      <c r="D2212" s="78"/>
      <c r="E2212" s="249">
        <v>8.60369055009615E14</v>
      </c>
      <c r="F2212" s="76" t="s">
        <v>326</v>
      </c>
      <c r="G2212" s="68" t="s">
        <v>642</v>
      </c>
      <c r="H2212" s="246">
        <v>46237.0</v>
      </c>
      <c r="I2212" s="78"/>
      <c r="J2212" s="78"/>
      <c r="K2212" s="81"/>
      <c r="L2212" s="80"/>
      <c r="M2212" s="81"/>
    </row>
    <row r="2213">
      <c r="A2213" s="78" t="s">
        <v>4363</v>
      </c>
      <c r="B2213" s="75"/>
      <c r="C2213" s="75"/>
      <c r="D2213" s="78"/>
      <c r="E2213" s="249">
        <v>8.60369055021776E14</v>
      </c>
      <c r="F2213" s="76" t="s">
        <v>326</v>
      </c>
      <c r="G2213" s="68" t="s">
        <v>642</v>
      </c>
      <c r="H2213" s="246">
        <v>46237.0</v>
      </c>
      <c r="I2213" s="78"/>
      <c r="J2213" s="78"/>
      <c r="K2213" s="81"/>
      <c r="L2213" s="80"/>
      <c r="M2213" s="81"/>
    </row>
    <row r="2214">
      <c r="A2214" s="78" t="s">
        <v>4364</v>
      </c>
      <c r="B2214" s="75"/>
      <c r="C2214" s="75"/>
      <c r="D2214" s="78"/>
      <c r="E2214" s="249">
        <v>8.60369054982572E14</v>
      </c>
      <c r="F2214" s="76" t="s">
        <v>326</v>
      </c>
      <c r="G2214" s="68" t="s">
        <v>642</v>
      </c>
      <c r="H2214" s="246">
        <v>46237.0</v>
      </c>
      <c r="I2214" s="78"/>
      <c r="J2214" s="78"/>
      <c r="K2214" s="81"/>
      <c r="L2214" s="80"/>
      <c r="M2214" s="81"/>
    </row>
    <row r="2215">
      <c r="A2215" s="78" t="s">
        <v>4365</v>
      </c>
      <c r="B2215" s="75"/>
      <c r="C2215" s="75"/>
      <c r="D2215" s="78"/>
      <c r="E2215" s="249">
        <v>8.60369055025744E14</v>
      </c>
      <c r="F2215" s="76" t="s">
        <v>326</v>
      </c>
      <c r="G2215" s="68" t="s">
        <v>642</v>
      </c>
      <c r="H2215" s="246">
        <v>46237.0</v>
      </c>
      <c r="I2215" s="78"/>
      <c r="J2215" s="78"/>
      <c r="K2215" s="81"/>
      <c r="L2215" s="80"/>
      <c r="M2215" s="81"/>
    </row>
    <row r="2216">
      <c r="A2216" s="78" t="s">
        <v>4366</v>
      </c>
      <c r="B2216" s="75"/>
      <c r="C2216" s="75"/>
      <c r="D2216" s="78"/>
      <c r="E2216" s="249">
        <v>8.60369055091498E14</v>
      </c>
      <c r="F2216" s="76" t="s">
        <v>326</v>
      </c>
      <c r="G2216" s="68" t="s">
        <v>642</v>
      </c>
      <c r="H2216" s="246">
        <v>46237.0</v>
      </c>
      <c r="I2216" s="78"/>
      <c r="J2216" s="78"/>
      <c r="K2216" s="81"/>
      <c r="L2216" s="80"/>
      <c r="M2216" s="81"/>
    </row>
    <row r="2217">
      <c r="A2217" s="78" t="s">
        <v>4367</v>
      </c>
      <c r="B2217" s="75"/>
      <c r="C2217" s="75"/>
      <c r="D2217" s="78"/>
      <c r="E2217" s="249">
        <v>8.6036905497305E14</v>
      </c>
      <c r="F2217" s="76" t="s">
        <v>326</v>
      </c>
      <c r="G2217" s="68" t="s">
        <v>642</v>
      </c>
      <c r="H2217" s="246">
        <v>46234.0</v>
      </c>
      <c r="I2217" s="78"/>
      <c r="J2217" s="78"/>
      <c r="K2217" s="81"/>
      <c r="L2217" s="80"/>
      <c r="M2217" s="81"/>
    </row>
    <row r="2218">
      <c r="A2218" s="78" t="s">
        <v>4368</v>
      </c>
      <c r="B2218" s="75"/>
      <c r="C2218" s="75"/>
      <c r="D2218" s="78"/>
      <c r="E2218" s="249">
        <v>8.60369054942584E14</v>
      </c>
      <c r="F2218" s="76" t="s">
        <v>326</v>
      </c>
      <c r="G2218" s="68" t="s">
        <v>642</v>
      </c>
      <c r="H2218" s="246">
        <v>46234.0</v>
      </c>
      <c r="I2218" s="78"/>
      <c r="J2218" s="78"/>
      <c r="K2218" s="81"/>
      <c r="L2218" s="80"/>
      <c r="M2218" s="81"/>
    </row>
    <row r="2219">
      <c r="A2219" s="78" t="s">
        <v>4369</v>
      </c>
      <c r="B2219" s="75"/>
      <c r="C2219" s="75"/>
      <c r="D2219" s="78"/>
      <c r="E2219" s="249">
        <v>8.6036905217183E14</v>
      </c>
      <c r="F2219" s="76" t="s">
        <v>326</v>
      </c>
      <c r="G2219" s="68" t="s">
        <v>642</v>
      </c>
      <c r="H2219" s="246">
        <v>46234.0</v>
      </c>
      <c r="I2219" s="78"/>
      <c r="J2219" s="78"/>
      <c r="K2219" s="81"/>
      <c r="L2219" s="80"/>
      <c r="M2219" s="81"/>
    </row>
    <row r="2220">
      <c r="A2220" s="78" t="s">
        <v>4370</v>
      </c>
      <c r="B2220" s="75"/>
      <c r="C2220" s="75"/>
      <c r="D2220" s="78"/>
      <c r="E2220" s="249">
        <v>8.60369054946668E14</v>
      </c>
      <c r="F2220" s="76" t="s">
        <v>326</v>
      </c>
      <c r="G2220" s="68" t="s">
        <v>642</v>
      </c>
      <c r="H2220" s="246">
        <v>46230.0</v>
      </c>
      <c r="I2220" s="78"/>
      <c r="J2220" s="78"/>
      <c r="K2220" s="81"/>
      <c r="L2220" s="80"/>
      <c r="M2220" s="81"/>
    </row>
    <row r="2221">
      <c r="A2221" s="78" t="s">
        <v>4371</v>
      </c>
      <c r="B2221" s="75"/>
      <c r="C2221" s="75"/>
      <c r="D2221" s="78"/>
      <c r="E2221" s="249">
        <v>8.60369055011488E14</v>
      </c>
      <c r="F2221" s="76" t="s">
        <v>326</v>
      </c>
      <c r="G2221" s="68" t="s">
        <v>642</v>
      </c>
      <c r="H2221" s="246">
        <v>46230.0</v>
      </c>
      <c r="I2221" s="78"/>
      <c r="J2221" s="78"/>
      <c r="K2221" s="81"/>
      <c r="L2221" s="80"/>
      <c r="M2221" s="81"/>
    </row>
    <row r="2222">
      <c r="A2222" s="78" t="s">
        <v>4372</v>
      </c>
      <c r="B2222" s="75"/>
      <c r="C2222" s="75"/>
      <c r="D2222" s="78"/>
      <c r="E2222" s="249">
        <v>8.60369054907744E14</v>
      </c>
      <c r="F2222" s="76" t="s">
        <v>326</v>
      </c>
      <c r="G2222" s="68" t="s">
        <v>642</v>
      </c>
      <c r="H2222" s="246">
        <v>46230.0</v>
      </c>
      <c r="I2222" s="78"/>
      <c r="J2222" s="78"/>
      <c r="K2222" s="81"/>
      <c r="L2222" s="80"/>
      <c r="M2222" s="81"/>
    </row>
    <row r="2223">
      <c r="A2223" s="78" t="s">
        <v>4373</v>
      </c>
      <c r="B2223" s="75"/>
      <c r="C2223" s="75"/>
      <c r="D2223" s="78"/>
      <c r="E2223" s="249">
        <v>8.60369050815578E14</v>
      </c>
      <c r="F2223" s="76" t="s">
        <v>326</v>
      </c>
      <c r="G2223" s="68" t="s">
        <v>642</v>
      </c>
      <c r="H2223" s="246">
        <v>46230.0</v>
      </c>
      <c r="I2223" s="78"/>
      <c r="J2223" s="78"/>
      <c r="K2223" s="81"/>
      <c r="L2223" s="80"/>
      <c r="M2223" s="81"/>
    </row>
    <row r="2224">
      <c r="A2224" s="78"/>
      <c r="B2224" s="75"/>
      <c r="C2224" s="75"/>
      <c r="D2224" s="78"/>
      <c r="E2224" s="78"/>
      <c r="F2224" s="76"/>
      <c r="G2224" s="68"/>
      <c r="H2224" s="81"/>
      <c r="I2224" s="78"/>
      <c r="J2224" s="78"/>
      <c r="K2224" s="81"/>
      <c r="L2224" s="80"/>
      <c r="M2224" s="81"/>
    </row>
    <row r="2225">
      <c r="A2225" s="78"/>
      <c r="B2225" s="75"/>
      <c r="C2225" s="75"/>
      <c r="D2225" s="78"/>
      <c r="E2225" s="78"/>
      <c r="F2225" s="76"/>
      <c r="G2225" s="68"/>
      <c r="H2225" s="81"/>
      <c r="I2225" s="78"/>
      <c r="J2225" s="78"/>
      <c r="K2225" s="81"/>
      <c r="L2225" s="80"/>
      <c r="M2225" s="81"/>
    </row>
    <row r="2226">
      <c r="A2226" s="78"/>
      <c r="B2226" s="75"/>
      <c r="C2226" s="75"/>
      <c r="D2226" s="78"/>
      <c r="E2226" s="78"/>
      <c r="F2226" s="76"/>
      <c r="G2226" s="68"/>
      <c r="H2226" s="81"/>
      <c r="I2226" s="78"/>
      <c r="J2226" s="78"/>
      <c r="K2226" s="81"/>
      <c r="L2226" s="80"/>
      <c r="M2226" s="81"/>
    </row>
    <row r="2227">
      <c r="A2227" s="78"/>
      <c r="B2227" s="75"/>
      <c r="C2227" s="75"/>
      <c r="D2227" s="78"/>
      <c r="E2227" s="78"/>
      <c r="F2227" s="76"/>
      <c r="G2227" s="68"/>
      <c r="H2227" s="81"/>
      <c r="I2227" s="78"/>
      <c r="J2227" s="78"/>
      <c r="K2227" s="81"/>
      <c r="L2227" s="80"/>
      <c r="M2227" s="81"/>
    </row>
    <row r="2228">
      <c r="A2228" s="78"/>
      <c r="B2228" s="75"/>
      <c r="C2228" s="75"/>
      <c r="D2228" s="78"/>
      <c r="E2228" s="78"/>
      <c r="F2228" s="76"/>
      <c r="G2228" s="68"/>
      <c r="H2228" s="81"/>
      <c r="I2228" s="78"/>
      <c r="J2228" s="78"/>
      <c r="K2228" s="81"/>
      <c r="L2228" s="80"/>
      <c r="M2228" s="81"/>
    </row>
    <row r="2229">
      <c r="A2229" s="78"/>
      <c r="B2229" s="75"/>
      <c r="C2229" s="75"/>
      <c r="D2229" s="78"/>
      <c r="E2229" s="78"/>
      <c r="F2229" s="76"/>
      <c r="G2229" s="68"/>
      <c r="H2229" s="81"/>
      <c r="I2229" s="78"/>
      <c r="J2229" s="78"/>
      <c r="K2229" s="81"/>
      <c r="L2229" s="80"/>
      <c r="M2229" s="81"/>
    </row>
    <row r="2230">
      <c r="A2230" s="78"/>
      <c r="B2230" s="75"/>
      <c r="C2230" s="75"/>
      <c r="D2230" s="78"/>
      <c r="E2230" s="78"/>
      <c r="F2230" s="76"/>
      <c r="G2230" s="68"/>
      <c r="H2230" s="81"/>
      <c r="I2230" s="78"/>
      <c r="J2230" s="78"/>
      <c r="K2230" s="81"/>
      <c r="L2230" s="80"/>
      <c r="M2230" s="81"/>
    </row>
    <row r="2231">
      <c r="A2231" s="78"/>
      <c r="B2231" s="75"/>
      <c r="C2231" s="75"/>
      <c r="D2231" s="78"/>
      <c r="E2231" s="78"/>
      <c r="F2231" s="76"/>
      <c r="G2231" s="68"/>
      <c r="H2231" s="81"/>
      <c r="I2231" s="78"/>
      <c r="J2231" s="78"/>
      <c r="K2231" s="81"/>
      <c r="L2231" s="80"/>
      <c r="M2231" s="81"/>
    </row>
    <row r="2232">
      <c r="A2232" s="78"/>
      <c r="B2232" s="75"/>
      <c r="C2232" s="75"/>
      <c r="D2232" s="78"/>
      <c r="E2232" s="78"/>
      <c r="F2232" s="76"/>
      <c r="G2232" s="68"/>
      <c r="H2232" s="81"/>
      <c r="I2232" s="78"/>
      <c r="J2232" s="78"/>
      <c r="K2232" s="81"/>
      <c r="L2232" s="80"/>
      <c r="M2232" s="81"/>
    </row>
    <row r="2233">
      <c r="A2233" s="78"/>
      <c r="B2233" s="75"/>
      <c r="C2233" s="75"/>
      <c r="D2233" s="78"/>
      <c r="E2233" s="78"/>
      <c r="F2233" s="76"/>
      <c r="G2233" s="68"/>
      <c r="H2233" s="81"/>
      <c r="I2233" s="78"/>
      <c r="J2233" s="78"/>
      <c r="K2233" s="81"/>
      <c r="L2233" s="80"/>
      <c r="M2233" s="81"/>
    </row>
    <row r="2234">
      <c r="A2234" s="78"/>
      <c r="B2234" s="75"/>
      <c r="C2234" s="75"/>
      <c r="D2234" s="78"/>
      <c r="E2234" s="78"/>
      <c r="F2234" s="76"/>
      <c r="G2234" s="68"/>
      <c r="H2234" s="81"/>
      <c r="I2234" s="78"/>
      <c r="J2234" s="78"/>
      <c r="K2234" s="81"/>
      <c r="L2234" s="80"/>
      <c r="M2234" s="81"/>
    </row>
    <row r="2235">
      <c r="A2235" s="78"/>
      <c r="B2235" s="75"/>
      <c r="C2235" s="75"/>
      <c r="D2235" s="78"/>
      <c r="E2235" s="78"/>
      <c r="F2235" s="76"/>
      <c r="G2235" s="68"/>
      <c r="H2235" s="81"/>
      <c r="I2235" s="78"/>
      <c r="J2235" s="78"/>
      <c r="K2235" s="81"/>
      <c r="L2235" s="80"/>
      <c r="M2235" s="81"/>
    </row>
    <row r="2236">
      <c r="A2236" s="78"/>
      <c r="B2236" s="75"/>
      <c r="C2236" s="75"/>
      <c r="D2236" s="78"/>
      <c r="E2236" s="78"/>
      <c r="F2236" s="76"/>
      <c r="G2236" s="68"/>
      <c r="H2236" s="81"/>
      <c r="I2236" s="78"/>
      <c r="J2236" s="78"/>
      <c r="K2236" s="81"/>
      <c r="L2236" s="80"/>
      <c r="M2236" s="81"/>
    </row>
    <row r="2237">
      <c r="A2237" s="78"/>
      <c r="B2237" s="75"/>
      <c r="C2237" s="75"/>
      <c r="D2237" s="78"/>
      <c r="E2237" s="78"/>
      <c r="F2237" s="76"/>
      <c r="G2237" s="68"/>
      <c r="H2237" s="81"/>
      <c r="I2237" s="78"/>
      <c r="J2237" s="78"/>
      <c r="K2237" s="81"/>
      <c r="L2237" s="80"/>
      <c r="M2237" s="81"/>
    </row>
    <row r="2238">
      <c r="A2238" s="78"/>
      <c r="B2238" s="75"/>
      <c r="C2238" s="75"/>
      <c r="D2238" s="78"/>
      <c r="E2238" s="78"/>
      <c r="F2238" s="76"/>
      <c r="G2238" s="68"/>
      <c r="H2238" s="81"/>
      <c r="I2238" s="78"/>
      <c r="J2238" s="78"/>
      <c r="K2238" s="81"/>
      <c r="L2238" s="80"/>
      <c r="M2238" s="81"/>
    </row>
    <row r="2239">
      <c r="A2239" s="78"/>
      <c r="B2239" s="75"/>
      <c r="C2239" s="75"/>
      <c r="D2239" s="78"/>
      <c r="E2239" s="78"/>
      <c r="F2239" s="76"/>
      <c r="G2239" s="68"/>
      <c r="H2239" s="81"/>
      <c r="I2239" s="78"/>
      <c r="J2239" s="78"/>
      <c r="K2239" s="81"/>
      <c r="L2239" s="80"/>
      <c r="M2239" s="81"/>
    </row>
    <row r="2240">
      <c r="A2240" s="78"/>
      <c r="B2240" s="75"/>
      <c r="C2240" s="75"/>
      <c r="D2240" s="78"/>
      <c r="E2240" s="78"/>
      <c r="F2240" s="76"/>
      <c r="G2240" s="68"/>
      <c r="H2240" s="81"/>
      <c r="I2240" s="78"/>
      <c r="J2240" s="78"/>
      <c r="K2240" s="81"/>
      <c r="L2240" s="80"/>
      <c r="M2240" s="81"/>
    </row>
    <row r="2241">
      <c r="A2241" s="78"/>
      <c r="B2241" s="75"/>
      <c r="C2241" s="75"/>
      <c r="D2241" s="78"/>
      <c r="E2241" s="78"/>
      <c r="F2241" s="76"/>
      <c r="G2241" s="68"/>
      <c r="H2241" s="81"/>
      <c r="I2241" s="78"/>
      <c r="J2241" s="78"/>
      <c r="K2241" s="81"/>
      <c r="L2241" s="80"/>
      <c r="M2241" s="81"/>
    </row>
    <row r="2242">
      <c r="A2242" s="78"/>
      <c r="B2242" s="75"/>
      <c r="C2242" s="75"/>
      <c r="D2242" s="78"/>
      <c r="E2242" s="78"/>
      <c r="F2242" s="76"/>
      <c r="G2242" s="68"/>
      <c r="H2242" s="81"/>
      <c r="I2242" s="78"/>
      <c r="J2242" s="78"/>
      <c r="K2242" s="81"/>
      <c r="L2242" s="80"/>
      <c r="M2242" s="81"/>
    </row>
    <row r="2243">
      <c r="A2243" s="78"/>
      <c r="B2243" s="75"/>
      <c r="C2243" s="75"/>
      <c r="D2243" s="78"/>
      <c r="E2243" s="78"/>
      <c r="F2243" s="76"/>
      <c r="G2243" s="68"/>
      <c r="H2243" s="81"/>
      <c r="I2243" s="78"/>
      <c r="J2243" s="78"/>
      <c r="K2243" s="81"/>
      <c r="L2243" s="80"/>
      <c r="M2243" s="81"/>
    </row>
    <row r="2244">
      <c r="A2244" s="78"/>
      <c r="B2244" s="75"/>
      <c r="C2244" s="75"/>
      <c r="D2244" s="78"/>
      <c r="E2244" s="78"/>
      <c r="F2244" s="76"/>
      <c r="G2244" s="68"/>
      <c r="H2244" s="81"/>
      <c r="I2244" s="78"/>
      <c r="J2244" s="78"/>
      <c r="K2244" s="81"/>
      <c r="L2244" s="80"/>
      <c r="M2244" s="81"/>
    </row>
    <row r="2245">
      <c r="A2245" s="78"/>
      <c r="B2245" s="75"/>
      <c r="C2245" s="75"/>
      <c r="D2245" s="78"/>
      <c r="E2245" s="78"/>
      <c r="F2245" s="76"/>
      <c r="G2245" s="68"/>
      <c r="H2245" s="81"/>
      <c r="I2245" s="78"/>
      <c r="J2245" s="78"/>
      <c r="K2245" s="81"/>
      <c r="L2245" s="80"/>
      <c r="M2245" s="81"/>
    </row>
    <row r="2246">
      <c r="A2246" s="78"/>
      <c r="B2246" s="75"/>
      <c r="C2246" s="75"/>
      <c r="D2246" s="78"/>
      <c r="E2246" s="78"/>
      <c r="F2246" s="76"/>
      <c r="G2246" s="68"/>
      <c r="H2246" s="81"/>
      <c r="I2246" s="78"/>
      <c r="J2246" s="78"/>
      <c r="K2246" s="81"/>
      <c r="L2246" s="80"/>
      <c r="M2246" s="81"/>
    </row>
    <row r="2247">
      <c r="A2247" s="78"/>
      <c r="B2247" s="75"/>
      <c r="C2247" s="75"/>
      <c r="D2247" s="78"/>
      <c r="E2247" s="78"/>
      <c r="F2247" s="76"/>
      <c r="G2247" s="68"/>
      <c r="H2247" s="81"/>
      <c r="I2247" s="78"/>
      <c r="J2247" s="78"/>
      <c r="K2247" s="81"/>
      <c r="L2247" s="80"/>
      <c r="M2247" s="81"/>
    </row>
    <row r="2248">
      <c r="A2248" s="78"/>
      <c r="B2248" s="75"/>
      <c r="C2248" s="75"/>
      <c r="D2248" s="78"/>
      <c r="E2248" s="78"/>
      <c r="F2248" s="76"/>
      <c r="G2248" s="68"/>
      <c r="H2248" s="81"/>
      <c r="I2248" s="78"/>
      <c r="J2248" s="78"/>
      <c r="K2248" s="81"/>
      <c r="L2248" s="80"/>
      <c r="M2248" s="81"/>
    </row>
    <row r="2249">
      <c r="A2249" s="78"/>
      <c r="B2249" s="75"/>
      <c r="C2249" s="75"/>
      <c r="D2249" s="78"/>
      <c r="E2249" s="78"/>
      <c r="F2249" s="76"/>
      <c r="G2249" s="68"/>
      <c r="H2249" s="81"/>
      <c r="I2249" s="78"/>
      <c r="J2249" s="78"/>
      <c r="K2249" s="81"/>
      <c r="L2249" s="80"/>
      <c r="M2249" s="81"/>
    </row>
    <row r="2250">
      <c r="A2250" s="78"/>
      <c r="B2250" s="75"/>
      <c r="C2250" s="75"/>
      <c r="D2250" s="78"/>
      <c r="E2250" s="78"/>
      <c r="F2250" s="76"/>
      <c r="G2250" s="68"/>
      <c r="H2250" s="81"/>
      <c r="I2250" s="78"/>
      <c r="J2250" s="78"/>
      <c r="K2250" s="81"/>
      <c r="L2250" s="80"/>
      <c r="M2250" s="81"/>
    </row>
    <row r="2251">
      <c r="A2251" s="78"/>
      <c r="B2251" s="75"/>
      <c r="C2251" s="75"/>
      <c r="D2251" s="78"/>
      <c r="E2251" s="78"/>
      <c r="F2251" s="76"/>
      <c r="G2251" s="68"/>
      <c r="H2251" s="81"/>
      <c r="I2251" s="78"/>
      <c r="J2251" s="78"/>
      <c r="K2251" s="81"/>
      <c r="L2251" s="80"/>
      <c r="M2251" s="81"/>
    </row>
    <row r="2252">
      <c r="A2252" s="78"/>
      <c r="B2252" s="75"/>
      <c r="C2252" s="75"/>
      <c r="D2252" s="78"/>
      <c r="E2252" s="78"/>
      <c r="F2252" s="76"/>
      <c r="G2252" s="68"/>
      <c r="H2252" s="81"/>
      <c r="I2252" s="78"/>
      <c r="J2252" s="78"/>
      <c r="K2252" s="81"/>
      <c r="L2252" s="80"/>
      <c r="M2252" s="81"/>
    </row>
    <row r="2253">
      <c r="A2253" s="78"/>
      <c r="B2253" s="75"/>
      <c r="C2253" s="75"/>
      <c r="D2253" s="78"/>
      <c r="E2253" s="78"/>
      <c r="F2253" s="76"/>
      <c r="G2253" s="68"/>
      <c r="H2253" s="81"/>
      <c r="I2253" s="78"/>
      <c r="J2253" s="78"/>
      <c r="K2253" s="81"/>
      <c r="L2253" s="80"/>
      <c r="M2253" s="81"/>
    </row>
    <row r="2254">
      <c r="A2254" s="78"/>
      <c r="B2254" s="75"/>
      <c r="C2254" s="75"/>
      <c r="D2254" s="78"/>
      <c r="E2254" s="78"/>
      <c r="F2254" s="76"/>
      <c r="G2254" s="68"/>
      <c r="H2254" s="81"/>
      <c r="I2254" s="78"/>
      <c r="J2254" s="78"/>
      <c r="K2254" s="81"/>
      <c r="L2254" s="80"/>
      <c r="M2254" s="81"/>
    </row>
    <row r="2255">
      <c r="A2255" s="78"/>
      <c r="B2255" s="75"/>
      <c r="C2255" s="75"/>
      <c r="D2255" s="78"/>
      <c r="E2255" s="78"/>
      <c r="F2255" s="76"/>
      <c r="G2255" s="68"/>
      <c r="H2255" s="81"/>
      <c r="I2255" s="78"/>
      <c r="J2255" s="78"/>
      <c r="K2255" s="81"/>
      <c r="L2255" s="80"/>
      <c r="M2255" s="81"/>
    </row>
    <row r="2256">
      <c r="A2256" s="78"/>
      <c r="B2256" s="75"/>
      <c r="C2256" s="75"/>
      <c r="D2256" s="78"/>
      <c r="E2256" s="78"/>
      <c r="F2256" s="76"/>
      <c r="G2256" s="68"/>
      <c r="H2256" s="81"/>
      <c r="I2256" s="78"/>
      <c r="J2256" s="78"/>
      <c r="K2256" s="81"/>
      <c r="L2256" s="80"/>
      <c r="M2256" s="81"/>
    </row>
    <row r="2257">
      <c r="A2257" s="78"/>
      <c r="B2257" s="75"/>
      <c r="C2257" s="75"/>
      <c r="D2257" s="78"/>
      <c r="E2257" s="78"/>
      <c r="F2257" s="76"/>
      <c r="G2257" s="68"/>
      <c r="H2257" s="81"/>
      <c r="I2257" s="78"/>
      <c r="J2257" s="78"/>
      <c r="K2257" s="81"/>
      <c r="L2257" s="80"/>
      <c r="M2257" s="81"/>
    </row>
    <row r="2258">
      <c r="A2258" s="78"/>
      <c r="B2258" s="75"/>
      <c r="C2258" s="75"/>
      <c r="D2258" s="78"/>
      <c r="E2258" s="78"/>
      <c r="F2258" s="76"/>
      <c r="G2258" s="68"/>
      <c r="H2258" s="81"/>
      <c r="I2258" s="78"/>
      <c r="J2258" s="78"/>
      <c r="K2258" s="81"/>
      <c r="L2258" s="80"/>
      <c r="M2258" s="81"/>
    </row>
    <row r="2259">
      <c r="A2259" s="78"/>
      <c r="B2259" s="75"/>
      <c r="C2259" s="75"/>
      <c r="D2259" s="78"/>
      <c r="E2259" s="78"/>
      <c r="F2259" s="76"/>
      <c r="G2259" s="68"/>
      <c r="H2259" s="81"/>
      <c r="I2259" s="78"/>
      <c r="J2259" s="78"/>
      <c r="K2259" s="81"/>
      <c r="L2259" s="80"/>
      <c r="M2259" s="81"/>
    </row>
    <row r="2260">
      <c r="A2260" s="78"/>
      <c r="B2260" s="75"/>
      <c r="C2260" s="75"/>
      <c r="D2260" s="78"/>
      <c r="E2260" s="78"/>
      <c r="F2260" s="76"/>
      <c r="G2260" s="68"/>
      <c r="H2260" s="81"/>
      <c r="I2260" s="78"/>
      <c r="J2260" s="78"/>
      <c r="K2260" s="81"/>
      <c r="L2260" s="80"/>
      <c r="M2260" s="81"/>
    </row>
    <row r="2261">
      <c r="A2261" s="78"/>
      <c r="B2261" s="75"/>
      <c r="C2261" s="75"/>
      <c r="D2261" s="78"/>
      <c r="E2261" s="78"/>
      <c r="F2261" s="76"/>
      <c r="G2261" s="68"/>
      <c r="H2261" s="81"/>
      <c r="I2261" s="78"/>
      <c r="J2261" s="78"/>
      <c r="K2261" s="81"/>
      <c r="L2261" s="80"/>
      <c r="M2261" s="81"/>
    </row>
    <row r="2262">
      <c r="A2262" s="78"/>
      <c r="B2262" s="75"/>
      <c r="C2262" s="75"/>
      <c r="D2262" s="78"/>
      <c r="E2262" s="78"/>
      <c r="F2262" s="76"/>
      <c r="G2262" s="68"/>
      <c r="H2262" s="81"/>
      <c r="I2262" s="78"/>
      <c r="J2262" s="78"/>
      <c r="K2262" s="81"/>
      <c r="L2262" s="80"/>
      <c r="M2262" s="81"/>
    </row>
    <row r="2263">
      <c r="A2263" s="78"/>
      <c r="B2263" s="75"/>
      <c r="C2263" s="75"/>
      <c r="D2263" s="78"/>
      <c r="E2263" s="78"/>
      <c r="F2263" s="76"/>
      <c r="G2263" s="68"/>
      <c r="H2263" s="81"/>
      <c r="I2263" s="78"/>
      <c r="J2263" s="78"/>
      <c r="K2263" s="81"/>
      <c r="L2263" s="80"/>
      <c r="M2263" s="81"/>
    </row>
    <row r="2264">
      <c r="A2264" s="78"/>
      <c r="B2264" s="75"/>
      <c r="C2264" s="75"/>
      <c r="D2264" s="78"/>
      <c r="E2264" s="78"/>
      <c r="F2264" s="76"/>
      <c r="G2264" s="68"/>
      <c r="H2264" s="81"/>
      <c r="I2264" s="78"/>
      <c r="J2264" s="78"/>
      <c r="K2264" s="81"/>
      <c r="L2264" s="80"/>
      <c r="M2264" s="81"/>
    </row>
    <row r="2265">
      <c r="A2265" s="78"/>
      <c r="B2265" s="75"/>
      <c r="C2265" s="75"/>
      <c r="D2265" s="78"/>
      <c r="E2265" s="78"/>
      <c r="F2265" s="76"/>
      <c r="G2265" s="68"/>
      <c r="H2265" s="81"/>
      <c r="I2265" s="78"/>
      <c r="J2265" s="78"/>
      <c r="K2265" s="81"/>
      <c r="L2265" s="80"/>
      <c r="M2265" s="81"/>
    </row>
    <row r="2266">
      <c r="A2266" s="78"/>
      <c r="B2266" s="75"/>
      <c r="C2266" s="75"/>
      <c r="D2266" s="78"/>
      <c r="E2266" s="78"/>
      <c r="F2266" s="76"/>
      <c r="G2266" s="68"/>
      <c r="H2266" s="81"/>
      <c r="I2266" s="78"/>
      <c r="J2266" s="78"/>
      <c r="K2266" s="81"/>
      <c r="L2266" s="80"/>
      <c r="M2266" s="81"/>
    </row>
    <row r="2267">
      <c r="A2267" s="78"/>
      <c r="B2267" s="75"/>
      <c r="C2267" s="75"/>
      <c r="D2267" s="78"/>
      <c r="E2267" s="78"/>
      <c r="F2267" s="76"/>
      <c r="G2267" s="68"/>
      <c r="H2267" s="81"/>
      <c r="I2267" s="78"/>
      <c r="J2267" s="78"/>
      <c r="K2267" s="81"/>
      <c r="L2267" s="80"/>
      <c r="M2267" s="81"/>
    </row>
    <row r="2268">
      <c r="A2268" s="78"/>
      <c r="B2268" s="75"/>
      <c r="C2268" s="75"/>
      <c r="D2268" s="78"/>
      <c r="E2268" s="78"/>
      <c r="F2268" s="76"/>
      <c r="G2268" s="68"/>
      <c r="H2268" s="81"/>
      <c r="I2268" s="78"/>
      <c r="J2268" s="78"/>
      <c r="K2268" s="81"/>
      <c r="L2268" s="80"/>
      <c r="M2268" s="81"/>
    </row>
    <row r="2269">
      <c r="A2269" s="78"/>
      <c r="B2269" s="75"/>
      <c r="C2269" s="75"/>
      <c r="D2269" s="78"/>
      <c r="E2269" s="78"/>
      <c r="F2269" s="76"/>
      <c r="G2269" s="68"/>
      <c r="H2269" s="81"/>
      <c r="I2269" s="78"/>
      <c r="J2269" s="78"/>
      <c r="K2269" s="81"/>
      <c r="L2269" s="80"/>
      <c r="M2269" s="81"/>
    </row>
    <row r="2270">
      <c r="A2270" s="78"/>
      <c r="B2270" s="75"/>
      <c r="C2270" s="75"/>
      <c r="D2270" s="78"/>
      <c r="E2270" s="78"/>
      <c r="F2270" s="76"/>
      <c r="G2270" s="68"/>
      <c r="H2270" s="81"/>
      <c r="I2270" s="78"/>
      <c r="J2270" s="78"/>
      <c r="K2270" s="81"/>
      <c r="L2270" s="80"/>
      <c r="M2270" s="81"/>
    </row>
    <row r="2271">
      <c r="A2271" s="78"/>
      <c r="B2271" s="75"/>
      <c r="C2271" s="75"/>
      <c r="D2271" s="78"/>
      <c r="E2271" s="78"/>
      <c r="F2271" s="76"/>
      <c r="G2271" s="68"/>
      <c r="H2271" s="81"/>
      <c r="I2271" s="78"/>
      <c r="J2271" s="78"/>
      <c r="K2271" s="81"/>
      <c r="L2271" s="80"/>
      <c r="M2271" s="81"/>
    </row>
    <row r="2272">
      <c r="A2272" s="78"/>
      <c r="B2272" s="75"/>
      <c r="C2272" s="75"/>
      <c r="D2272" s="78"/>
      <c r="E2272" s="78"/>
      <c r="F2272" s="76"/>
      <c r="G2272" s="68"/>
      <c r="H2272" s="81"/>
      <c r="I2272" s="78"/>
      <c r="J2272" s="78"/>
      <c r="K2272" s="81"/>
      <c r="L2272" s="80"/>
      <c r="M2272" s="81"/>
    </row>
    <row r="2273">
      <c r="A2273" s="78"/>
      <c r="B2273" s="75"/>
      <c r="C2273" s="75"/>
      <c r="D2273" s="78"/>
      <c r="E2273" s="78"/>
      <c r="F2273" s="76"/>
      <c r="G2273" s="68"/>
      <c r="H2273" s="81"/>
      <c r="I2273" s="78"/>
      <c r="J2273" s="78"/>
      <c r="K2273" s="81"/>
      <c r="L2273" s="80"/>
      <c r="M2273" s="81"/>
    </row>
    <row r="2274">
      <c r="A2274" s="78"/>
      <c r="B2274" s="75"/>
      <c r="C2274" s="75"/>
      <c r="D2274" s="78"/>
      <c r="E2274" s="78"/>
      <c r="F2274" s="76"/>
      <c r="G2274" s="68"/>
      <c r="H2274" s="81"/>
      <c r="I2274" s="78"/>
      <c r="J2274" s="78"/>
      <c r="K2274" s="81"/>
      <c r="L2274" s="80"/>
      <c r="M2274" s="81"/>
    </row>
    <row r="2275">
      <c r="A2275" s="78"/>
      <c r="B2275" s="75"/>
      <c r="C2275" s="75"/>
      <c r="D2275" s="78"/>
      <c r="E2275" s="78"/>
      <c r="F2275" s="76"/>
      <c r="G2275" s="68"/>
      <c r="H2275" s="81"/>
      <c r="I2275" s="78"/>
      <c r="J2275" s="78"/>
      <c r="K2275" s="81"/>
      <c r="L2275" s="80"/>
      <c r="M2275" s="81"/>
    </row>
    <row r="2276">
      <c r="A2276" s="78"/>
      <c r="B2276" s="75"/>
      <c r="C2276" s="75"/>
      <c r="D2276" s="78"/>
      <c r="E2276" s="78"/>
      <c r="F2276" s="76"/>
      <c r="G2276" s="68"/>
      <c r="H2276" s="81"/>
      <c r="I2276" s="78"/>
      <c r="J2276" s="78"/>
      <c r="K2276" s="81"/>
      <c r="L2276" s="80"/>
      <c r="M2276" s="81"/>
    </row>
    <row r="2277">
      <c r="A2277" s="78"/>
      <c r="B2277" s="75"/>
      <c r="C2277" s="75"/>
      <c r="D2277" s="78"/>
      <c r="E2277" s="78"/>
      <c r="F2277" s="76"/>
      <c r="G2277" s="68"/>
      <c r="H2277" s="81"/>
      <c r="I2277" s="78"/>
      <c r="J2277" s="78"/>
      <c r="K2277" s="81"/>
      <c r="L2277" s="80"/>
      <c r="M2277" s="81"/>
    </row>
    <row r="2278">
      <c r="A2278" s="78"/>
      <c r="B2278" s="75"/>
      <c r="C2278" s="75"/>
      <c r="D2278" s="78"/>
      <c r="E2278" s="78"/>
      <c r="F2278" s="76"/>
      <c r="G2278" s="68"/>
      <c r="H2278" s="81"/>
      <c r="I2278" s="78"/>
      <c r="J2278" s="78"/>
      <c r="K2278" s="81"/>
      <c r="L2278" s="80"/>
      <c r="M2278" s="81"/>
    </row>
    <row r="2279">
      <c r="A2279" s="78"/>
      <c r="B2279" s="75"/>
      <c r="C2279" s="75"/>
      <c r="D2279" s="78"/>
      <c r="E2279" s="78"/>
      <c r="F2279" s="76"/>
      <c r="G2279" s="68"/>
      <c r="H2279" s="81"/>
      <c r="I2279" s="78"/>
      <c r="J2279" s="78"/>
      <c r="K2279" s="81"/>
      <c r="L2279" s="80"/>
      <c r="M2279" s="81"/>
    </row>
    <row r="2280">
      <c r="A2280" s="78"/>
      <c r="B2280" s="75"/>
      <c r="C2280" s="75"/>
      <c r="D2280" s="78"/>
      <c r="E2280" s="78"/>
      <c r="F2280" s="76"/>
      <c r="G2280" s="68"/>
      <c r="H2280" s="81"/>
      <c r="I2280" s="78"/>
      <c r="J2280" s="78"/>
      <c r="K2280" s="81"/>
      <c r="L2280" s="80"/>
      <c r="M2280" s="81"/>
    </row>
    <row r="2281">
      <c r="A2281" s="78"/>
      <c r="B2281" s="75"/>
      <c r="C2281" s="75"/>
      <c r="D2281" s="78"/>
      <c r="E2281" s="78"/>
      <c r="F2281" s="76"/>
      <c r="G2281" s="68"/>
      <c r="H2281" s="81"/>
      <c r="I2281" s="78"/>
      <c r="J2281" s="78"/>
      <c r="K2281" s="81"/>
      <c r="L2281" s="80"/>
      <c r="M2281" s="81"/>
    </row>
    <row r="2282">
      <c r="A2282" s="78"/>
      <c r="B2282" s="75"/>
      <c r="C2282" s="75"/>
      <c r="D2282" s="78"/>
      <c r="E2282" s="78"/>
      <c r="F2282" s="76"/>
      <c r="G2282" s="68"/>
      <c r="H2282" s="81"/>
      <c r="I2282" s="78"/>
      <c r="J2282" s="78"/>
      <c r="K2282" s="81"/>
      <c r="L2282" s="80"/>
      <c r="M2282" s="81"/>
    </row>
    <row r="2283">
      <c r="A2283" s="78"/>
      <c r="B2283" s="75"/>
      <c r="C2283" s="75"/>
      <c r="D2283" s="78"/>
      <c r="E2283" s="78"/>
      <c r="F2283" s="76"/>
      <c r="G2283" s="68"/>
      <c r="H2283" s="81"/>
      <c r="I2283" s="78"/>
      <c r="J2283" s="78"/>
      <c r="K2283" s="81"/>
      <c r="L2283" s="80"/>
      <c r="M2283" s="81"/>
    </row>
    <row r="2284">
      <c r="A2284" s="78"/>
      <c r="B2284" s="75"/>
      <c r="C2284" s="75"/>
      <c r="D2284" s="78"/>
      <c r="E2284" s="78"/>
      <c r="F2284" s="76"/>
      <c r="G2284" s="68"/>
      <c r="H2284" s="81"/>
      <c r="I2284" s="78"/>
      <c r="J2284" s="78"/>
      <c r="K2284" s="81"/>
      <c r="L2284" s="80"/>
      <c r="M2284" s="81"/>
    </row>
    <row r="2285">
      <c r="A2285" s="78"/>
      <c r="B2285" s="75"/>
      <c r="C2285" s="75"/>
      <c r="D2285" s="78"/>
      <c r="E2285" s="78"/>
      <c r="F2285" s="76"/>
      <c r="G2285" s="68"/>
      <c r="H2285" s="81"/>
      <c r="I2285" s="78"/>
      <c r="J2285" s="78"/>
      <c r="K2285" s="81"/>
      <c r="L2285" s="80"/>
      <c r="M2285" s="81"/>
    </row>
    <row r="2286">
      <c r="A2286" s="78"/>
      <c r="B2286" s="75"/>
      <c r="C2286" s="75"/>
      <c r="D2286" s="78"/>
      <c r="E2286" s="78"/>
      <c r="F2286" s="76"/>
      <c r="G2286" s="68"/>
      <c r="H2286" s="81"/>
      <c r="I2286" s="78"/>
      <c r="J2286" s="78"/>
      <c r="K2286" s="81"/>
      <c r="L2286" s="80"/>
      <c r="M2286" s="81"/>
    </row>
    <row r="2287">
      <c r="A2287" s="78"/>
      <c r="B2287" s="75"/>
      <c r="C2287" s="75"/>
      <c r="D2287" s="78"/>
      <c r="E2287" s="78"/>
      <c r="F2287" s="76"/>
      <c r="G2287" s="68"/>
      <c r="H2287" s="81"/>
      <c r="I2287" s="78"/>
      <c r="J2287" s="78"/>
      <c r="K2287" s="81"/>
      <c r="L2287" s="80"/>
      <c r="M2287" s="81"/>
    </row>
    <row r="2288">
      <c r="A2288" s="78"/>
      <c r="B2288" s="75"/>
      <c r="C2288" s="75"/>
      <c r="D2288" s="78"/>
      <c r="E2288" s="78"/>
      <c r="F2288" s="76"/>
      <c r="G2288" s="68"/>
      <c r="H2288" s="81"/>
      <c r="I2288" s="78"/>
      <c r="J2288" s="78"/>
      <c r="K2288" s="81"/>
      <c r="L2288" s="80"/>
      <c r="M2288" s="81"/>
    </row>
    <row r="2289">
      <c r="A2289" s="78"/>
      <c r="B2289" s="75"/>
      <c r="C2289" s="75"/>
      <c r="D2289" s="78"/>
      <c r="E2289" s="78"/>
      <c r="F2289" s="76"/>
      <c r="G2289" s="68"/>
      <c r="H2289" s="81"/>
      <c r="I2289" s="78"/>
      <c r="J2289" s="78"/>
      <c r="K2289" s="81"/>
      <c r="L2289" s="80"/>
      <c r="M2289" s="81"/>
    </row>
    <row r="2290">
      <c r="A2290" s="78"/>
      <c r="B2290" s="75"/>
      <c r="C2290" s="75"/>
      <c r="D2290" s="78"/>
      <c r="E2290" s="78"/>
      <c r="F2290" s="76"/>
      <c r="G2290" s="68"/>
      <c r="H2290" s="81"/>
      <c r="I2290" s="78"/>
      <c r="J2290" s="78"/>
      <c r="K2290" s="81"/>
      <c r="L2290" s="80"/>
      <c r="M2290" s="81"/>
    </row>
    <row r="2291">
      <c r="A2291" s="78"/>
      <c r="B2291" s="75"/>
      <c r="C2291" s="75"/>
      <c r="D2291" s="78"/>
      <c r="E2291" s="78"/>
      <c r="F2291" s="76"/>
      <c r="G2291" s="68"/>
      <c r="H2291" s="81"/>
      <c r="I2291" s="78"/>
      <c r="J2291" s="78"/>
      <c r="K2291" s="81"/>
      <c r="L2291" s="80"/>
      <c r="M2291" s="81"/>
    </row>
    <row r="2292">
      <c r="A2292" s="78"/>
      <c r="B2292" s="75"/>
      <c r="C2292" s="75"/>
      <c r="D2292" s="78"/>
      <c r="E2292" s="78"/>
      <c r="F2292" s="76"/>
      <c r="G2292" s="68"/>
      <c r="H2292" s="81"/>
      <c r="I2292" s="78"/>
      <c r="J2292" s="78"/>
      <c r="K2292" s="81"/>
      <c r="L2292" s="80"/>
      <c r="M2292" s="81"/>
    </row>
    <row r="2293">
      <c r="A2293" s="78"/>
      <c r="B2293" s="75"/>
      <c r="C2293" s="75"/>
      <c r="D2293" s="78"/>
      <c r="E2293" s="78"/>
      <c r="F2293" s="76"/>
      <c r="G2293" s="68"/>
      <c r="H2293" s="81"/>
      <c r="I2293" s="78"/>
      <c r="J2293" s="78"/>
      <c r="K2293" s="81"/>
      <c r="L2293" s="80"/>
      <c r="M2293" s="81"/>
    </row>
    <row r="2294">
      <c r="A2294" s="78"/>
      <c r="B2294" s="75"/>
      <c r="C2294" s="75"/>
      <c r="D2294" s="78"/>
      <c r="E2294" s="78"/>
      <c r="F2294" s="76"/>
      <c r="G2294" s="68"/>
      <c r="H2294" s="81"/>
      <c r="I2294" s="78"/>
      <c r="J2294" s="78"/>
      <c r="K2294" s="81"/>
      <c r="L2294" s="80"/>
      <c r="M2294" s="81"/>
    </row>
    <row r="2295">
      <c r="A2295" s="78"/>
      <c r="B2295" s="75"/>
      <c r="C2295" s="75"/>
      <c r="D2295" s="78"/>
      <c r="E2295" s="78"/>
      <c r="F2295" s="76"/>
      <c r="G2295" s="68"/>
      <c r="H2295" s="81"/>
      <c r="I2295" s="78"/>
      <c r="J2295" s="78"/>
      <c r="K2295" s="81"/>
      <c r="L2295" s="80"/>
      <c r="M2295" s="81"/>
    </row>
    <row r="2296">
      <c r="A2296" s="78"/>
      <c r="B2296" s="75"/>
      <c r="C2296" s="75"/>
      <c r="D2296" s="78"/>
      <c r="E2296" s="78"/>
      <c r="F2296" s="76"/>
      <c r="G2296" s="68"/>
      <c r="H2296" s="81"/>
      <c r="I2296" s="78"/>
      <c r="J2296" s="78"/>
      <c r="K2296" s="81"/>
      <c r="L2296" s="80"/>
      <c r="M2296" s="81"/>
    </row>
    <row r="2297">
      <c r="A2297" s="78"/>
      <c r="B2297" s="75"/>
      <c r="C2297" s="75"/>
      <c r="D2297" s="78"/>
      <c r="E2297" s="78"/>
      <c r="F2297" s="76"/>
      <c r="G2297" s="68"/>
      <c r="H2297" s="81"/>
      <c r="I2297" s="78"/>
      <c r="J2297" s="78"/>
      <c r="K2297" s="81"/>
      <c r="L2297" s="80"/>
      <c r="M2297" s="81"/>
    </row>
    <row r="2298">
      <c r="A2298" s="78"/>
      <c r="B2298" s="75"/>
      <c r="C2298" s="75"/>
      <c r="D2298" s="78"/>
      <c r="E2298" s="78"/>
      <c r="F2298" s="76"/>
      <c r="G2298" s="68"/>
      <c r="H2298" s="81"/>
      <c r="I2298" s="78"/>
      <c r="J2298" s="78"/>
      <c r="K2298" s="81"/>
      <c r="L2298" s="80"/>
      <c r="M2298" s="81"/>
    </row>
    <row r="2299">
      <c r="A2299" s="78"/>
      <c r="B2299" s="75"/>
      <c r="C2299" s="75"/>
      <c r="D2299" s="78"/>
      <c r="E2299" s="78"/>
      <c r="F2299" s="76"/>
      <c r="G2299" s="68"/>
      <c r="H2299" s="81"/>
      <c r="I2299" s="78"/>
      <c r="J2299" s="78"/>
      <c r="K2299" s="81"/>
      <c r="L2299" s="80"/>
      <c r="M2299" s="81"/>
    </row>
    <row r="2300">
      <c r="A2300" s="78"/>
      <c r="B2300" s="75"/>
      <c r="C2300" s="75"/>
      <c r="D2300" s="78"/>
      <c r="E2300" s="78"/>
      <c r="F2300" s="76"/>
      <c r="G2300" s="68"/>
      <c r="H2300" s="81"/>
      <c r="I2300" s="78"/>
      <c r="J2300" s="78"/>
      <c r="K2300" s="81"/>
      <c r="L2300" s="80"/>
      <c r="M2300" s="81"/>
    </row>
    <row r="2301">
      <c r="A2301" s="78"/>
      <c r="B2301" s="75"/>
      <c r="C2301" s="75"/>
      <c r="D2301" s="78"/>
      <c r="E2301" s="78"/>
      <c r="F2301" s="76"/>
      <c r="G2301" s="68"/>
      <c r="H2301" s="81"/>
      <c r="I2301" s="78"/>
      <c r="J2301" s="78"/>
      <c r="K2301" s="81"/>
      <c r="L2301" s="80"/>
      <c r="M2301" s="81"/>
    </row>
    <row r="2302">
      <c r="A2302" s="78"/>
      <c r="B2302" s="75"/>
      <c r="C2302" s="75"/>
      <c r="D2302" s="78"/>
      <c r="E2302" s="78"/>
      <c r="F2302" s="76"/>
      <c r="G2302" s="68"/>
      <c r="H2302" s="81"/>
      <c r="I2302" s="78"/>
      <c r="J2302" s="78"/>
      <c r="K2302" s="81"/>
      <c r="L2302" s="80"/>
      <c r="M2302" s="81"/>
    </row>
    <row r="2303">
      <c r="A2303" s="78"/>
      <c r="B2303" s="75"/>
      <c r="C2303" s="75"/>
      <c r="D2303" s="78"/>
      <c r="E2303" s="78"/>
      <c r="F2303" s="76"/>
      <c r="G2303" s="68"/>
      <c r="H2303" s="81"/>
      <c r="I2303" s="78"/>
      <c r="J2303" s="78"/>
      <c r="K2303" s="81"/>
      <c r="L2303" s="80"/>
      <c r="M2303" s="81"/>
    </row>
    <row r="2304">
      <c r="A2304" s="78"/>
      <c r="B2304" s="75"/>
      <c r="C2304" s="75"/>
      <c r="D2304" s="78"/>
      <c r="E2304" s="78"/>
      <c r="F2304" s="76"/>
      <c r="G2304" s="68"/>
      <c r="H2304" s="81"/>
      <c r="I2304" s="78"/>
      <c r="J2304" s="78"/>
      <c r="K2304" s="81"/>
      <c r="L2304" s="80"/>
      <c r="M2304" s="81"/>
    </row>
    <row r="2305">
      <c r="A2305" s="78"/>
      <c r="B2305" s="75"/>
      <c r="C2305" s="75"/>
      <c r="D2305" s="78"/>
      <c r="E2305" s="78"/>
      <c r="F2305" s="76"/>
      <c r="G2305" s="68"/>
      <c r="H2305" s="81"/>
      <c r="I2305" s="78"/>
      <c r="J2305" s="78"/>
      <c r="K2305" s="81"/>
      <c r="L2305" s="80"/>
      <c r="M2305" s="81"/>
    </row>
    <row r="2306">
      <c r="A2306" s="78"/>
      <c r="B2306" s="75"/>
      <c r="C2306" s="75"/>
      <c r="D2306" s="78"/>
      <c r="E2306" s="78"/>
      <c r="F2306" s="76"/>
      <c r="G2306" s="68"/>
      <c r="H2306" s="81"/>
      <c r="I2306" s="78"/>
      <c r="J2306" s="78"/>
      <c r="K2306" s="81"/>
      <c r="L2306" s="80"/>
      <c r="M2306" s="81"/>
    </row>
    <row r="2307">
      <c r="A2307" s="78"/>
      <c r="B2307" s="75"/>
      <c r="C2307" s="75"/>
      <c r="D2307" s="78"/>
      <c r="E2307" s="78"/>
      <c r="F2307" s="76"/>
      <c r="G2307" s="68"/>
      <c r="H2307" s="81"/>
      <c r="I2307" s="78"/>
      <c r="J2307" s="78"/>
      <c r="K2307" s="81"/>
      <c r="L2307" s="80"/>
      <c r="M2307" s="81"/>
    </row>
    <row r="2308">
      <c r="A2308" s="78"/>
      <c r="B2308" s="75"/>
      <c r="C2308" s="75"/>
      <c r="D2308" s="78"/>
      <c r="E2308" s="78"/>
      <c r="F2308" s="76"/>
      <c r="G2308" s="68"/>
      <c r="H2308" s="81"/>
      <c r="I2308" s="78"/>
      <c r="J2308" s="78"/>
      <c r="K2308" s="81"/>
      <c r="L2308" s="80"/>
      <c r="M2308" s="81"/>
    </row>
    <row r="2309">
      <c r="A2309" s="78"/>
      <c r="B2309" s="75"/>
      <c r="C2309" s="75"/>
      <c r="D2309" s="78"/>
      <c r="E2309" s="78"/>
      <c r="F2309" s="76"/>
      <c r="G2309" s="68"/>
      <c r="H2309" s="81"/>
      <c r="I2309" s="78"/>
      <c r="J2309" s="78"/>
      <c r="K2309" s="81"/>
      <c r="L2309" s="80"/>
      <c r="M2309" s="81"/>
    </row>
    <row r="2310">
      <c r="A2310" s="78"/>
      <c r="B2310" s="75"/>
      <c r="C2310" s="75"/>
      <c r="D2310" s="78"/>
      <c r="E2310" s="78"/>
      <c r="F2310" s="76"/>
      <c r="G2310" s="68"/>
      <c r="H2310" s="81"/>
      <c r="I2310" s="78"/>
      <c r="J2310" s="78"/>
      <c r="K2310" s="81"/>
      <c r="L2310" s="80"/>
      <c r="M2310" s="81"/>
    </row>
    <row r="2311">
      <c r="A2311" s="78"/>
      <c r="B2311" s="75"/>
      <c r="C2311" s="75"/>
      <c r="D2311" s="78"/>
      <c r="E2311" s="78"/>
      <c r="F2311" s="76"/>
      <c r="G2311" s="68"/>
      <c r="H2311" s="81"/>
      <c r="I2311" s="78"/>
      <c r="J2311" s="78"/>
      <c r="K2311" s="81"/>
      <c r="L2311" s="80"/>
      <c r="M2311" s="81"/>
    </row>
    <row r="2312">
      <c r="A2312" s="78"/>
      <c r="B2312" s="75"/>
      <c r="C2312" s="75"/>
      <c r="D2312" s="78"/>
      <c r="E2312" s="78"/>
      <c r="F2312" s="76"/>
      <c r="G2312" s="68"/>
      <c r="H2312" s="81"/>
      <c r="I2312" s="78"/>
      <c r="J2312" s="78"/>
      <c r="K2312" s="81"/>
      <c r="L2312" s="80"/>
      <c r="M2312" s="81"/>
    </row>
    <row r="2313">
      <c r="A2313" s="78"/>
      <c r="B2313" s="75"/>
      <c r="C2313" s="75"/>
      <c r="D2313" s="78"/>
      <c r="E2313" s="78"/>
      <c r="F2313" s="76"/>
      <c r="G2313" s="68"/>
      <c r="H2313" s="81"/>
      <c r="I2313" s="78"/>
      <c r="J2313" s="78"/>
      <c r="K2313" s="81"/>
      <c r="L2313" s="80"/>
      <c r="M2313" s="81"/>
    </row>
    <row r="2314">
      <c r="A2314" s="78"/>
      <c r="B2314" s="75"/>
      <c r="C2314" s="75"/>
      <c r="D2314" s="78"/>
      <c r="E2314" s="78"/>
      <c r="F2314" s="76"/>
      <c r="G2314" s="68"/>
      <c r="H2314" s="81"/>
      <c r="I2314" s="78"/>
      <c r="J2314" s="78"/>
      <c r="K2314" s="81"/>
      <c r="L2314" s="80"/>
      <c r="M2314" s="81"/>
    </row>
    <row r="2315">
      <c r="A2315" s="78"/>
      <c r="B2315" s="75"/>
      <c r="C2315" s="75"/>
      <c r="D2315" s="78"/>
      <c r="E2315" s="78"/>
      <c r="F2315" s="76"/>
      <c r="G2315" s="68"/>
      <c r="H2315" s="81"/>
      <c r="I2315" s="78"/>
      <c r="J2315" s="78"/>
      <c r="K2315" s="81"/>
      <c r="L2315" s="80"/>
      <c r="M2315" s="81"/>
    </row>
    <row r="2316">
      <c r="A2316" s="78"/>
      <c r="B2316" s="75"/>
      <c r="C2316" s="75"/>
      <c r="D2316" s="78"/>
      <c r="E2316" s="78"/>
      <c r="F2316" s="76"/>
      <c r="G2316" s="68"/>
      <c r="H2316" s="81"/>
      <c r="I2316" s="78"/>
      <c r="J2316" s="78"/>
      <c r="K2316" s="81"/>
      <c r="L2316" s="80"/>
      <c r="M2316" s="81"/>
    </row>
    <row r="2317">
      <c r="A2317" s="78"/>
      <c r="B2317" s="75"/>
      <c r="C2317" s="75"/>
      <c r="D2317" s="78"/>
      <c r="E2317" s="78"/>
      <c r="F2317" s="76"/>
      <c r="G2317" s="68"/>
      <c r="H2317" s="81"/>
      <c r="I2317" s="78"/>
      <c r="J2317" s="78"/>
      <c r="K2317" s="81"/>
      <c r="L2317" s="80"/>
      <c r="M2317" s="81"/>
    </row>
    <row r="2318">
      <c r="A2318" s="78"/>
      <c r="B2318" s="75"/>
      <c r="C2318" s="75"/>
      <c r="D2318" s="78"/>
      <c r="E2318" s="78"/>
      <c r="F2318" s="76"/>
      <c r="G2318" s="68"/>
      <c r="H2318" s="81"/>
      <c r="I2318" s="78"/>
      <c r="J2318" s="78"/>
      <c r="K2318" s="81"/>
      <c r="L2318" s="80"/>
      <c r="M2318" s="81"/>
    </row>
    <row r="2319">
      <c r="A2319" s="78"/>
      <c r="B2319" s="75"/>
      <c r="C2319" s="75"/>
      <c r="D2319" s="78"/>
      <c r="E2319" s="78"/>
      <c r="F2319" s="76"/>
      <c r="G2319" s="68"/>
      <c r="H2319" s="81"/>
      <c r="I2319" s="78"/>
      <c r="J2319" s="78"/>
      <c r="K2319" s="81"/>
      <c r="L2319" s="80"/>
      <c r="M2319" s="81"/>
    </row>
    <row r="2320">
      <c r="A2320" s="78"/>
      <c r="B2320" s="75"/>
      <c r="C2320" s="75"/>
      <c r="D2320" s="78"/>
      <c r="E2320" s="78"/>
      <c r="F2320" s="76"/>
      <c r="G2320" s="68"/>
      <c r="H2320" s="81"/>
      <c r="I2320" s="78"/>
      <c r="J2320" s="78"/>
      <c r="K2320" s="81"/>
      <c r="L2320" s="80"/>
      <c r="M2320" s="81"/>
    </row>
    <row r="2321">
      <c r="A2321" s="78"/>
      <c r="B2321" s="75"/>
      <c r="C2321" s="75"/>
      <c r="D2321" s="78"/>
      <c r="E2321" s="78"/>
      <c r="F2321" s="76"/>
      <c r="G2321" s="68"/>
      <c r="H2321" s="81"/>
      <c r="I2321" s="78"/>
      <c r="J2321" s="78"/>
      <c r="K2321" s="81"/>
      <c r="L2321" s="80"/>
      <c r="M2321" s="81"/>
    </row>
    <row r="2322">
      <c r="A2322" s="78"/>
      <c r="B2322" s="75"/>
      <c r="C2322" s="75"/>
      <c r="D2322" s="78"/>
      <c r="E2322" s="78"/>
      <c r="F2322" s="76"/>
      <c r="G2322" s="68"/>
      <c r="H2322" s="81"/>
      <c r="I2322" s="78"/>
      <c r="J2322" s="78"/>
      <c r="K2322" s="81"/>
      <c r="L2322" s="80"/>
      <c r="M2322" s="81"/>
    </row>
    <row r="2323">
      <c r="A2323" s="78"/>
      <c r="B2323" s="75"/>
      <c r="C2323" s="75"/>
      <c r="D2323" s="78"/>
      <c r="E2323" s="78"/>
      <c r="F2323" s="76"/>
      <c r="G2323" s="68"/>
      <c r="H2323" s="81"/>
      <c r="I2323" s="78"/>
      <c r="J2323" s="78"/>
      <c r="K2323" s="81"/>
      <c r="L2323" s="80"/>
      <c r="M2323" s="81"/>
    </row>
    <row r="2324">
      <c r="A2324" s="78"/>
      <c r="B2324" s="75"/>
      <c r="C2324" s="75"/>
      <c r="D2324" s="78"/>
      <c r="E2324" s="78"/>
      <c r="F2324" s="76"/>
      <c r="G2324" s="68"/>
      <c r="H2324" s="81"/>
      <c r="I2324" s="78"/>
      <c r="J2324" s="78"/>
      <c r="K2324" s="81"/>
      <c r="L2324" s="80"/>
      <c r="M2324" s="81"/>
    </row>
    <row r="2325">
      <c r="A2325" s="78"/>
      <c r="B2325" s="75"/>
      <c r="C2325" s="75"/>
      <c r="D2325" s="78"/>
      <c r="E2325" s="78"/>
      <c r="F2325" s="76"/>
      <c r="G2325" s="68"/>
      <c r="H2325" s="81"/>
      <c r="I2325" s="78"/>
      <c r="J2325" s="78"/>
      <c r="K2325" s="81"/>
      <c r="L2325" s="80"/>
      <c r="M2325" s="81"/>
    </row>
    <row r="2326">
      <c r="A2326" s="78"/>
      <c r="B2326" s="75"/>
      <c r="C2326" s="75"/>
      <c r="D2326" s="78"/>
      <c r="E2326" s="78"/>
      <c r="F2326" s="76"/>
      <c r="G2326" s="68"/>
      <c r="H2326" s="81"/>
      <c r="I2326" s="78"/>
      <c r="J2326" s="78"/>
      <c r="K2326" s="81"/>
      <c r="L2326" s="80"/>
      <c r="M2326" s="81"/>
    </row>
    <row r="2327">
      <c r="A2327" s="78"/>
      <c r="B2327" s="75"/>
      <c r="C2327" s="75"/>
      <c r="D2327" s="78"/>
      <c r="E2327" s="78"/>
      <c r="F2327" s="76"/>
      <c r="G2327" s="68"/>
      <c r="H2327" s="81"/>
      <c r="I2327" s="78"/>
      <c r="J2327" s="78"/>
      <c r="K2327" s="81"/>
      <c r="L2327" s="80"/>
      <c r="M2327" s="81"/>
    </row>
    <row r="2328">
      <c r="A2328" s="78"/>
      <c r="B2328" s="75"/>
      <c r="C2328" s="75"/>
      <c r="D2328" s="78"/>
      <c r="E2328" s="78"/>
      <c r="F2328" s="76"/>
      <c r="G2328" s="68"/>
      <c r="H2328" s="81"/>
      <c r="I2328" s="78"/>
      <c r="J2328" s="78"/>
      <c r="K2328" s="81"/>
      <c r="L2328" s="80"/>
      <c r="M2328" s="81"/>
    </row>
    <row r="2329">
      <c r="A2329" s="78"/>
      <c r="B2329" s="75"/>
      <c r="C2329" s="75"/>
      <c r="D2329" s="78"/>
      <c r="E2329" s="78"/>
      <c r="F2329" s="76"/>
      <c r="G2329" s="68"/>
      <c r="H2329" s="81"/>
      <c r="I2329" s="78"/>
      <c r="J2329" s="78"/>
      <c r="K2329" s="81"/>
      <c r="L2329" s="80"/>
      <c r="M2329" s="81"/>
    </row>
    <row r="2330">
      <c r="A2330" s="78"/>
      <c r="B2330" s="75"/>
      <c r="C2330" s="75"/>
      <c r="D2330" s="78"/>
      <c r="E2330" s="78"/>
      <c r="F2330" s="76"/>
      <c r="G2330" s="68"/>
      <c r="H2330" s="81"/>
      <c r="I2330" s="78"/>
      <c r="J2330" s="78"/>
      <c r="K2330" s="81"/>
      <c r="L2330" s="80"/>
      <c r="M2330" s="81"/>
    </row>
    <row r="2331">
      <c r="A2331" s="78"/>
      <c r="B2331" s="75"/>
      <c r="C2331" s="75"/>
      <c r="D2331" s="78"/>
      <c r="E2331" s="78"/>
      <c r="F2331" s="76"/>
      <c r="G2331" s="68"/>
      <c r="H2331" s="81"/>
      <c r="I2331" s="78"/>
      <c r="J2331" s="78"/>
      <c r="K2331" s="81"/>
      <c r="L2331" s="80"/>
      <c r="M2331" s="81"/>
    </row>
    <row r="2332">
      <c r="A2332" s="78"/>
      <c r="B2332" s="75"/>
      <c r="C2332" s="75"/>
      <c r="D2332" s="78"/>
      <c r="E2332" s="78"/>
      <c r="F2332" s="76"/>
      <c r="G2332" s="68"/>
      <c r="H2332" s="81"/>
      <c r="I2332" s="78"/>
      <c r="J2332" s="78"/>
      <c r="K2332" s="81"/>
      <c r="L2332" s="80"/>
      <c r="M2332" s="81"/>
    </row>
    <row r="2333">
      <c r="A2333" s="78"/>
      <c r="B2333" s="75"/>
      <c r="C2333" s="75"/>
      <c r="D2333" s="78"/>
      <c r="E2333" s="78"/>
      <c r="F2333" s="76"/>
      <c r="G2333" s="68"/>
      <c r="H2333" s="81"/>
      <c r="I2333" s="78"/>
      <c r="J2333" s="78"/>
      <c r="K2333" s="81"/>
      <c r="L2333" s="80"/>
      <c r="M2333" s="81"/>
    </row>
    <row r="2334">
      <c r="A2334" s="78"/>
      <c r="B2334" s="75"/>
      <c r="C2334" s="75"/>
      <c r="D2334" s="78"/>
      <c r="E2334" s="78"/>
      <c r="F2334" s="76"/>
      <c r="G2334" s="68"/>
      <c r="H2334" s="81"/>
      <c r="I2334" s="78"/>
      <c r="J2334" s="78"/>
      <c r="K2334" s="81"/>
      <c r="L2334" s="80"/>
      <c r="M2334" s="81"/>
    </row>
    <row r="2335">
      <c r="A2335" s="78"/>
      <c r="B2335" s="75"/>
      <c r="C2335" s="75"/>
      <c r="D2335" s="78"/>
      <c r="E2335" s="78"/>
      <c r="F2335" s="76"/>
      <c r="G2335" s="68"/>
      <c r="H2335" s="81"/>
      <c r="I2335" s="78"/>
      <c r="J2335" s="78"/>
      <c r="K2335" s="81"/>
      <c r="L2335" s="80"/>
      <c r="M2335" s="81"/>
    </row>
    <row r="2336">
      <c r="A2336" s="78"/>
      <c r="B2336" s="75"/>
      <c r="C2336" s="75"/>
      <c r="D2336" s="78"/>
      <c r="E2336" s="78"/>
      <c r="F2336" s="76"/>
      <c r="G2336" s="68"/>
      <c r="H2336" s="81"/>
      <c r="I2336" s="78"/>
      <c r="J2336" s="78"/>
      <c r="K2336" s="81"/>
      <c r="L2336" s="80"/>
      <c r="M2336" s="81"/>
    </row>
    <row r="2337">
      <c r="A2337" s="78"/>
      <c r="B2337" s="75"/>
      <c r="C2337" s="75"/>
      <c r="D2337" s="78"/>
      <c r="E2337" s="78"/>
      <c r="F2337" s="76"/>
      <c r="G2337" s="68"/>
      <c r="H2337" s="81"/>
      <c r="I2337" s="78"/>
      <c r="J2337" s="78"/>
      <c r="K2337" s="81"/>
      <c r="L2337" s="80"/>
      <c r="M2337" s="81"/>
    </row>
    <row r="2338">
      <c r="A2338" s="78"/>
      <c r="B2338" s="75"/>
      <c r="C2338" s="75"/>
      <c r="D2338" s="78"/>
      <c r="E2338" s="78"/>
      <c r="F2338" s="76"/>
      <c r="G2338" s="68"/>
      <c r="H2338" s="81"/>
      <c r="I2338" s="78"/>
      <c r="J2338" s="78"/>
      <c r="K2338" s="81"/>
      <c r="L2338" s="80"/>
      <c r="M2338" s="81"/>
    </row>
    <row r="2339">
      <c r="A2339" s="78"/>
      <c r="B2339" s="75"/>
      <c r="C2339" s="75"/>
      <c r="D2339" s="78"/>
      <c r="E2339" s="78"/>
      <c r="F2339" s="76"/>
      <c r="G2339" s="68"/>
      <c r="H2339" s="81"/>
      <c r="I2339" s="78"/>
      <c r="J2339" s="78"/>
      <c r="K2339" s="81"/>
      <c r="L2339" s="80"/>
      <c r="M2339" s="81"/>
    </row>
    <row r="2340">
      <c r="A2340" s="78"/>
      <c r="B2340" s="75"/>
      <c r="C2340" s="75"/>
      <c r="D2340" s="78"/>
      <c r="E2340" s="78"/>
      <c r="F2340" s="76"/>
      <c r="G2340" s="68"/>
      <c r="H2340" s="81"/>
      <c r="I2340" s="78"/>
      <c r="J2340" s="78"/>
      <c r="K2340" s="81"/>
      <c r="L2340" s="80"/>
      <c r="M2340" s="81"/>
    </row>
    <row r="2341">
      <c r="A2341" s="78"/>
      <c r="B2341" s="75"/>
      <c r="C2341" s="75"/>
      <c r="D2341" s="78"/>
      <c r="E2341" s="78"/>
      <c r="F2341" s="76"/>
      <c r="G2341" s="68"/>
      <c r="H2341" s="81"/>
      <c r="I2341" s="78"/>
      <c r="J2341" s="78"/>
      <c r="K2341" s="81"/>
      <c r="L2341" s="80"/>
      <c r="M2341" s="81"/>
    </row>
    <row r="2342">
      <c r="A2342" s="78"/>
      <c r="B2342" s="75"/>
      <c r="C2342" s="75"/>
      <c r="D2342" s="78"/>
      <c r="E2342" s="78"/>
      <c r="F2342" s="76"/>
      <c r="G2342" s="68"/>
      <c r="H2342" s="81"/>
      <c r="I2342" s="78"/>
      <c r="J2342" s="78"/>
      <c r="K2342" s="81"/>
      <c r="L2342" s="80"/>
      <c r="M2342" s="81"/>
    </row>
    <row r="2343">
      <c r="A2343" s="78"/>
      <c r="B2343" s="75"/>
      <c r="C2343" s="75"/>
      <c r="D2343" s="78"/>
      <c r="E2343" s="78"/>
      <c r="F2343" s="76"/>
      <c r="G2343" s="68"/>
      <c r="H2343" s="81"/>
      <c r="I2343" s="78"/>
      <c r="J2343" s="78"/>
      <c r="K2343" s="81"/>
      <c r="L2343" s="80"/>
      <c r="M2343" s="81"/>
    </row>
    <row r="2344">
      <c r="A2344" s="78"/>
      <c r="B2344" s="75"/>
      <c r="C2344" s="75"/>
      <c r="D2344" s="78"/>
      <c r="E2344" s="78"/>
      <c r="F2344" s="76"/>
      <c r="G2344" s="68"/>
      <c r="H2344" s="81"/>
      <c r="I2344" s="78"/>
      <c r="J2344" s="78"/>
      <c r="K2344" s="81"/>
      <c r="L2344" s="80"/>
      <c r="M2344" s="81"/>
    </row>
    <row r="2345">
      <c r="A2345" s="78"/>
      <c r="B2345" s="75"/>
      <c r="C2345" s="75"/>
      <c r="D2345" s="78"/>
      <c r="E2345" s="78"/>
      <c r="F2345" s="76"/>
      <c r="G2345" s="68"/>
      <c r="H2345" s="81"/>
      <c r="I2345" s="78"/>
      <c r="J2345" s="78"/>
      <c r="K2345" s="81"/>
      <c r="L2345" s="80"/>
      <c r="M2345" s="81"/>
    </row>
    <row r="2346">
      <c r="A2346" s="78"/>
      <c r="B2346" s="75"/>
      <c r="C2346" s="75"/>
      <c r="D2346" s="78"/>
      <c r="E2346" s="78"/>
      <c r="F2346" s="76"/>
      <c r="G2346" s="68"/>
      <c r="H2346" s="81"/>
      <c r="I2346" s="78"/>
      <c r="J2346" s="78"/>
      <c r="K2346" s="81"/>
      <c r="L2346" s="80"/>
      <c r="M2346" s="81"/>
    </row>
    <row r="2347">
      <c r="A2347" s="78"/>
      <c r="B2347" s="75"/>
      <c r="C2347" s="75"/>
      <c r="D2347" s="78"/>
      <c r="E2347" s="78"/>
      <c r="F2347" s="76"/>
      <c r="G2347" s="68"/>
      <c r="H2347" s="81"/>
      <c r="I2347" s="78"/>
      <c r="J2347" s="78"/>
      <c r="K2347" s="81"/>
      <c r="L2347" s="80"/>
      <c r="M2347" s="81"/>
    </row>
    <row r="2348">
      <c r="A2348" s="78"/>
      <c r="B2348" s="75"/>
      <c r="C2348" s="75"/>
      <c r="D2348" s="78"/>
      <c r="E2348" s="78"/>
      <c r="F2348" s="76"/>
      <c r="G2348" s="68"/>
      <c r="H2348" s="81"/>
      <c r="I2348" s="78"/>
      <c r="J2348" s="78"/>
      <c r="K2348" s="81"/>
      <c r="L2348" s="80"/>
      <c r="M2348" s="81"/>
    </row>
    <row r="2349">
      <c r="A2349" s="78"/>
      <c r="B2349" s="75"/>
      <c r="C2349" s="75"/>
      <c r="D2349" s="78"/>
      <c r="E2349" s="78"/>
      <c r="F2349" s="76"/>
      <c r="G2349" s="68"/>
      <c r="H2349" s="81"/>
      <c r="I2349" s="78"/>
      <c r="J2349" s="78"/>
      <c r="K2349" s="81"/>
      <c r="L2349" s="80"/>
      <c r="M2349" s="81"/>
    </row>
    <row r="2350">
      <c r="A2350" s="78"/>
      <c r="B2350" s="75"/>
      <c r="C2350" s="75"/>
      <c r="D2350" s="78"/>
      <c r="E2350" s="78"/>
      <c r="F2350" s="76"/>
      <c r="G2350" s="68"/>
      <c r="H2350" s="81"/>
      <c r="I2350" s="78"/>
      <c r="J2350" s="78"/>
      <c r="K2350" s="81"/>
      <c r="L2350" s="80"/>
      <c r="M2350" s="81"/>
    </row>
    <row r="2351">
      <c r="A2351" s="78"/>
      <c r="B2351" s="75"/>
      <c r="C2351" s="75"/>
      <c r="D2351" s="78"/>
      <c r="E2351" s="78"/>
      <c r="F2351" s="76"/>
      <c r="G2351" s="68"/>
      <c r="H2351" s="81"/>
      <c r="I2351" s="78"/>
      <c r="J2351" s="78"/>
      <c r="K2351" s="81"/>
      <c r="L2351" s="80"/>
      <c r="M2351" s="81"/>
    </row>
    <row r="2352">
      <c r="A2352" s="78"/>
      <c r="B2352" s="75"/>
      <c r="C2352" s="75"/>
      <c r="D2352" s="78"/>
      <c r="E2352" s="78"/>
      <c r="F2352" s="76"/>
      <c r="G2352" s="68"/>
      <c r="H2352" s="81"/>
      <c r="I2352" s="78"/>
      <c r="J2352" s="78"/>
      <c r="K2352" s="81"/>
      <c r="L2352" s="80"/>
      <c r="M2352" s="81"/>
    </row>
    <row r="2353">
      <c r="A2353" s="78"/>
      <c r="B2353" s="75"/>
      <c r="C2353" s="75"/>
      <c r="D2353" s="78"/>
      <c r="E2353" s="78"/>
      <c r="F2353" s="76"/>
      <c r="G2353" s="68"/>
      <c r="H2353" s="81"/>
      <c r="I2353" s="78"/>
      <c r="J2353" s="78"/>
      <c r="K2353" s="81"/>
      <c r="L2353" s="80"/>
      <c r="M2353" s="81"/>
    </row>
    <row r="2354">
      <c r="A2354" s="78"/>
      <c r="B2354" s="75"/>
      <c r="C2354" s="75"/>
      <c r="D2354" s="78"/>
      <c r="E2354" s="78"/>
      <c r="F2354" s="76"/>
      <c r="G2354" s="68"/>
      <c r="H2354" s="81"/>
      <c r="I2354" s="78"/>
      <c r="J2354" s="78"/>
      <c r="K2354" s="81"/>
      <c r="L2354" s="80"/>
      <c r="M2354" s="81"/>
    </row>
    <row r="2355">
      <c r="A2355" s="78"/>
      <c r="B2355" s="75"/>
      <c r="C2355" s="75"/>
      <c r="D2355" s="78"/>
      <c r="E2355" s="78"/>
      <c r="F2355" s="76"/>
      <c r="G2355" s="68"/>
      <c r="H2355" s="81"/>
      <c r="I2355" s="78"/>
      <c r="J2355" s="78"/>
      <c r="K2355" s="81"/>
      <c r="L2355" s="80"/>
      <c r="M2355" s="81"/>
    </row>
    <row r="2356">
      <c r="A2356" s="78"/>
      <c r="B2356" s="75"/>
      <c r="C2356" s="75"/>
      <c r="D2356" s="78"/>
      <c r="E2356" s="78"/>
      <c r="F2356" s="76"/>
      <c r="G2356" s="68"/>
      <c r="H2356" s="81"/>
      <c r="I2356" s="78"/>
      <c r="J2356" s="78"/>
      <c r="K2356" s="81"/>
      <c r="L2356" s="80"/>
      <c r="M2356" s="81"/>
    </row>
    <row r="2357">
      <c r="A2357" s="78"/>
      <c r="B2357" s="75"/>
      <c r="C2357" s="75"/>
      <c r="D2357" s="78"/>
      <c r="E2357" s="78"/>
      <c r="F2357" s="76"/>
      <c r="G2357" s="68"/>
      <c r="H2357" s="81"/>
      <c r="I2357" s="78"/>
      <c r="J2357" s="78"/>
      <c r="K2357" s="81"/>
      <c r="L2357" s="80"/>
      <c r="M2357" s="81"/>
    </row>
    <row r="2358">
      <c r="A2358" s="78"/>
      <c r="B2358" s="75"/>
      <c r="C2358" s="75"/>
      <c r="D2358" s="78"/>
      <c r="E2358" s="78"/>
      <c r="F2358" s="76"/>
      <c r="G2358" s="68"/>
      <c r="H2358" s="81"/>
      <c r="I2358" s="78"/>
      <c r="J2358" s="78"/>
      <c r="K2358" s="81"/>
      <c r="L2358" s="80"/>
      <c r="M2358" s="81"/>
    </row>
    <row r="2359">
      <c r="A2359" s="78"/>
      <c r="B2359" s="75"/>
      <c r="C2359" s="75"/>
      <c r="D2359" s="78"/>
      <c r="E2359" s="78"/>
      <c r="F2359" s="76"/>
      <c r="G2359" s="68"/>
      <c r="H2359" s="81"/>
      <c r="I2359" s="78"/>
      <c r="J2359" s="78"/>
      <c r="K2359" s="81"/>
      <c r="L2359" s="80"/>
      <c r="M2359" s="81"/>
    </row>
    <row r="2360">
      <c r="A2360" s="78"/>
      <c r="B2360" s="75"/>
      <c r="C2360" s="75"/>
      <c r="D2360" s="78"/>
      <c r="E2360" s="78"/>
      <c r="F2360" s="76"/>
      <c r="G2360" s="68"/>
      <c r="H2360" s="81"/>
      <c r="I2360" s="78"/>
      <c r="J2360" s="78"/>
      <c r="K2360" s="81"/>
      <c r="L2360" s="80"/>
      <c r="M2360" s="81"/>
    </row>
    <row r="2361">
      <c r="A2361" s="78"/>
      <c r="B2361" s="75"/>
      <c r="C2361" s="75"/>
      <c r="D2361" s="78"/>
      <c r="E2361" s="78"/>
      <c r="F2361" s="76"/>
      <c r="G2361" s="68"/>
      <c r="H2361" s="81"/>
      <c r="I2361" s="78"/>
      <c r="J2361" s="78"/>
      <c r="K2361" s="81"/>
      <c r="L2361" s="80"/>
      <c r="M2361" s="81"/>
    </row>
    <row r="2362">
      <c r="A2362" s="78"/>
      <c r="B2362" s="75"/>
      <c r="C2362" s="75"/>
      <c r="D2362" s="78"/>
      <c r="E2362" s="78"/>
      <c r="F2362" s="76"/>
      <c r="G2362" s="68"/>
      <c r="H2362" s="81"/>
      <c r="I2362" s="78"/>
      <c r="J2362" s="78"/>
      <c r="K2362" s="81"/>
      <c r="L2362" s="80"/>
      <c r="M2362" s="81"/>
    </row>
    <row r="2363">
      <c r="A2363" s="78"/>
      <c r="B2363" s="75"/>
      <c r="C2363" s="75"/>
      <c r="D2363" s="78"/>
      <c r="E2363" s="78"/>
      <c r="F2363" s="76"/>
      <c r="G2363" s="68"/>
      <c r="H2363" s="81"/>
      <c r="I2363" s="78"/>
      <c r="J2363" s="78"/>
      <c r="K2363" s="81"/>
      <c r="L2363" s="80"/>
      <c r="M2363" s="81"/>
    </row>
    <row r="2364">
      <c r="A2364" s="78"/>
      <c r="B2364" s="75"/>
      <c r="C2364" s="75"/>
      <c r="D2364" s="78"/>
      <c r="E2364" s="78"/>
      <c r="F2364" s="76"/>
      <c r="G2364" s="68"/>
      <c r="H2364" s="81"/>
      <c r="I2364" s="78"/>
      <c r="J2364" s="78"/>
      <c r="K2364" s="81"/>
      <c r="L2364" s="80"/>
      <c r="M2364" s="81"/>
    </row>
    <row r="2365">
      <c r="A2365" s="78"/>
      <c r="B2365" s="75"/>
      <c r="C2365" s="75"/>
      <c r="D2365" s="78"/>
      <c r="E2365" s="78"/>
      <c r="F2365" s="76"/>
      <c r="G2365" s="68"/>
      <c r="H2365" s="81"/>
      <c r="I2365" s="78"/>
      <c r="J2365" s="78"/>
      <c r="K2365" s="81"/>
      <c r="L2365" s="80"/>
      <c r="M2365" s="81"/>
    </row>
    <row r="2366">
      <c r="A2366" s="78"/>
      <c r="B2366" s="75"/>
      <c r="C2366" s="75"/>
      <c r="D2366" s="78"/>
      <c r="E2366" s="78"/>
      <c r="F2366" s="76"/>
      <c r="G2366" s="68"/>
      <c r="H2366" s="81"/>
      <c r="I2366" s="78"/>
      <c r="J2366" s="78"/>
      <c r="K2366" s="81"/>
      <c r="L2366" s="80"/>
      <c r="M2366" s="81"/>
    </row>
    <row r="2367">
      <c r="A2367" s="78"/>
      <c r="B2367" s="75"/>
      <c r="C2367" s="75"/>
      <c r="D2367" s="78"/>
      <c r="E2367" s="78"/>
      <c r="F2367" s="76"/>
      <c r="G2367" s="68"/>
      <c r="H2367" s="81"/>
      <c r="I2367" s="78"/>
      <c r="J2367" s="78"/>
      <c r="K2367" s="81"/>
      <c r="L2367" s="80"/>
      <c r="M2367" s="81"/>
    </row>
    <row r="2368">
      <c r="A2368" s="78"/>
      <c r="B2368" s="75"/>
      <c r="C2368" s="75"/>
      <c r="D2368" s="78"/>
      <c r="E2368" s="78"/>
      <c r="F2368" s="76"/>
      <c r="G2368" s="68"/>
      <c r="H2368" s="81"/>
      <c r="I2368" s="78"/>
      <c r="J2368" s="78"/>
      <c r="K2368" s="81"/>
      <c r="L2368" s="80"/>
      <c r="M2368" s="81"/>
    </row>
    <row r="2369">
      <c r="A2369" s="78"/>
      <c r="B2369" s="75"/>
      <c r="C2369" s="75"/>
      <c r="D2369" s="78"/>
      <c r="E2369" s="78"/>
      <c r="F2369" s="76"/>
      <c r="G2369" s="68"/>
      <c r="H2369" s="81"/>
      <c r="I2369" s="78"/>
      <c r="J2369" s="78"/>
      <c r="K2369" s="81"/>
      <c r="L2369" s="80"/>
      <c r="M2369" s="81"/>
    </row>
    <row r="2370">
      <c r="A2370" s="78"/>
      <c r="B2370" s="75"/>
      <c r="C2370" s="75"/>
      <c r="D2370" s="78"/>
      <c r="E2370" s="78"/>
      <c r="F2370" s="76"/>
      <c r="G2370" s="68"/>
      <c r="H2370" s="81"/>
      <c r="I2370" s="78"/>
      <c r="J2370" s="78"/>
      <c r="K2370" s="81"/>
      <c r="L2370" s="80"/>
      <c r="M2370" s="81"/>
    </row>
    <row r="2371">
      <c r="A2371" s="78"/>
      <c r="B2371" s="75"/>
      <c r="C2371" s="75"/>
      <c r="D2371" s="78"/>
      <c r="E2371" s="78"/>
      <c r="F2371" s="76"/>
      <c r="G2371" s="68"/>
      <c r="H2371" s="81"/>
      <c r="I2371" s="78"/>
      <c r="J2371" s="78"/>
      <c r="K2371" s="81"/>
      <c r="L2371" s="80"/>
      <c r="M2371" s="81"/>
    </row>
    <row r="2372">
      <c r="A2372" s="78"/>
      <c r="B2372" s="75"/>
      <c r="C2372" s="75"/>
      <c r="D2372" s="78"/>
      <c r="E2372" s="78"/>
      <c r="F2372" s="76"/>
      <c r="G2372" s="68"/>
      <c r="H2372" s="81"/>
      <c r="I2372" s="78"/>
      <c r="J2372" s="78"/>
      <c r="K2372" s="81"/>
      <c r="L2372" s="80"/>
      <c r="M2372" s="81"/>
    </row>
    <row r="2373">
      <c r="A2373" s="78"/>
      <c r="B2373" s="75"/>
      <c r="C2373" s="75"/>
      <c r="D2373" s="78"/>
      <c r="E2373" s="78"/>
      <c r="F2373" s="76"/>
      <c r="G2373" s="68"/>
      <c r="H2373" s="81"/>
      <c r="I2373" s="78"/>
      <c r="J2373" s="78"/>
      <c r="K2373" s="81"/>
      <c r="L2373" s="80"/>
      <c r="M2373" s="81"/>
    </row>
    <row r="2374">
      <c r="A2374" s="78"/>
      <c r="B2374" s="75"/>
      <c r="C2374" s="75"/>
      <c r="D2374" s="78"/>
      <c r="E2374" s="78"/>
      <c r="F2374" s="76"/>
      <c r="G2374" s="68"/>
      <c r="H2374" s="81"/>
      <c r="I2374" s="78"/>
      <c r="J2374" s="78"/>
      <c r="K2374" s="81"/>
      <c r="L2374" s="80"/>
      <c r="M2374" s="81"/>
    </row>
    <row r="2375">
      <c r="A2375" s="78"/>
      <c r="B2375" s="75"/>
      <c r="C2375" s="75"/>
      <c r="D2375" s="78"/>
      <c r="E2375" s="78"/>
      <c r="F2375" s="76"/>
      <c r="G2375" s="68"/>
      <c r="H2375" s="81"/>
      <c r="I2375" s="78"/>
      <c r="J2375" s="78"/>
      <c r="K2375" s="81"/>
      <c r="L2375" s="80"/>
      <c r="M2375" s="81"/>
    </row>
    <row r="2376">
      <c r="A2376" s="78"/>
      <c r="B2376" s="75"/>
      <c r="C2376" s="75"/>
      <c r="D2376" s="78"/>
      <c r="E2376" s="78"/>
      <c r="F2376" s="76"/>
      <c r="G2376" s="68"/>
      <c r="H2376" s="81"/>
      <c r="I2376" s="78"/>
      <c r="J2376" s="78"/>
      <c r="K2376" s="81"/>
      <c r="L2376" s="80"/>
      <c r="M2376" s="81"/>
    </row>
    <row r="2377">
      <c r="A2377" s="78"/>
      <c r="B2377" s="75"/>
      <c r="C2377" s="75"/>
      <c r="D2377" s="78"/>
      <c r="E2377" s="78"/>
      <c r="F2377" s="76"/>
      <c r="G2377" s="68"/>
      <c r="H2377" s="81"/>
      <c r="I2377" s="78"/>
      <c r="J2377" s="78"/>
      <c r="K2377" s="81"/>
      <c r="L2377" s="80"/>
      <c r="M2377" s="81"/>
    </row>
    <row r="2378">
      <c r="A2378" s="78"/>
      <c r="B2378" s="75"/>
      <c r="C2378" s="75"/>
      <c r="D2378" s="78"/>
      <c r="E2378" s="78"/>
      <c r="F2378" s="76"/>
      <c r="G2378" s="68"/>
      <c r="H2378" s="81"/>
      <c r="I2378" s="78"/>
      <c r="J2378" s="78"/>
      <c r="K2378" s="81"/>
      <c r="L2378" s="80"/>
      <c r="M2378" s="81"/>
    </row>
    <row r="2379">
      <c r="A2379" s="78"/>
      <c r="B2379" s="75"/>
      <c r="C2379" s="75"/>
      <c r="D2379" s="78"/>
      <c r="E2379" s="78"/>
      <c r="F2379" s="76"/>
      <c r="G2379" s="68"/>
      <c r="H2379" s="81"/>
      <c r="I2379" s="78"/>
      <c r="J2379" s="78"/>
      <c r="K2379" s="81"/>
      <c r="L2379" s="80"/>
      <c r="M2379" s="81"/>
    </row>
    <row r="2380">
      <c r="A2380" s="78"/>
      <c r="B2380" s="75"/>
      <c r="C2380" s="75"/>
      <c r="D2380" s="78"/>
      <c r="E2380" s="78"/>
      <c r="F2380" s="76"/>
      <c r="G2380" s="68"/>
      <c r="H2380" s="81"/>
      <c r="I2380" s="78"/>
      <c r="J2380" s="78"/>
      <c r="K2380" s="81"/>
      <c r="L2380" s="80"/>
      <c r="M2380" s="81"/>
    </row>
    <row r="2381">
      <c r="A2381" s="78"/>
      <c r="B2381" s="75"/>
      <c r="C2381" s="75"/>
      <c r="D2381" s="78"/>
      <c r="E2381" s="78"/>
      <c r="F2381" s="76"/>
      <c r="G2381" s="68"/>
      <c r="H2381" s="81"/>
      <c r="I2381" s="78"/>
      <c r="J2381" s="78"/>
      <c r="K2381" s="81"/>
      <c r="L2381" s="80"/>
      <c r="M2381" s="81"/>
    </row>
    <row r="2382">
      <c r="A2382" s="78"/>
      <c r="B2382" s="75"/>
      <c r="C2382" s="75"/>
      <c r="D2382" s="78"/>
      <c r="E2382" s="78"/>
      <c r="F2382" s="76"/>
      <c r="G2382" s="68"/>
      <c r="H2382" s="81"/>
      <c r="I2382" s="78"/>
      <c r="J2382" s="78"/>
      <c r="K2382" s="81"/>
      <c r="L2382" s="80"/>
      <c r="M2382" s="81"/>
    </row>
    <row r="2383">
      <c r="A2383" s="78"/>
      <c r="B2383" s="75"/>
      <c r="C2383" s="75"/>
      <c r="D2383" s="78"/>
      <c r="E2383" s="78"/>
      <c r="F2383" s="76"/>
      <c r="G2383" s="68"/>
      <c r="H2383" s="81"/>
      <c r="I2383" s="78"/>
      <c r="J2383" s="78"/>
      <c r="K2383" s="81"/>
      <c r="L2383" s="80"/>
      <c r="M2383" s="81"/>
    </row>
    <row r="2384">
      <c r="A2384" s="78"/>
      <c r="B2384" s="75"/>
      <c r="C2384" s="75"/>
      <c r="D2384" s="78"/>
      <c r="E2384" s="78"/>
      <c r="F2384" s="76"/>
      <c r="G2384" s="68"/>
      <c r="H2384" s="81"/>
      <c r="I2384" s="78"/>
      <c r="J2384" s="78"/>
      <c r="K2384" s="81"/>
      <c r="L2384" s="80"/>
      <c r="M2384" s="81"/>
    </row>
    <row r="2385">
      <c r="A2385" s="78"/>
      <c r="B2385" s="75"/>
      <c r="C2385" s="75"/>
      <c r="D2385" s="78"/>
      <c r="E2385" s="78"/>
      <c r="F2385" s="76"/>
      <c r="G2385" s="68"/>
      <c r="H2385" s="81"/>
      <c r="I2385" s="78"/>
      <c r="J2385" s="78"/>
      <c r="K2385" s="81"/>
      <c r="L2385" s="80"/>
      <c r="M2385" s="81"/>
    </row>
    <row r="2386">
      <c r="A2386" s="78"/>
      <c r="B2386" s="75"/>
      <c r="C2386" s="75"/>
      <c r="D2386" s="78"/>
      <c r="E2386" s="78"/>
      <c r="F2386" s="76"/>
      <c r="G2386" s="68"/>
      <c r="H2386" s="81"/>
      <c r="I2386" s="78"/>
      <c r="J2386" s="78"/>
      <c r="K2386" s="81"/>
      <c r="L2386" s="80"/>
      <c r="M2386" s="81"/>
    </row>
    <row r="2387">
      <c r="A2387" s="78"/>
      <c r="B2387" s="75"/>
      <c r="C2387" s="75"/>
      <c r="D2387" s="78"/>
      <c r="E2387" s="78"/>
      <c r="F2387" s="76"/>
      <c r="G2387" s="68"/>
      <c r="H2387" s="81"/>
      <c r="I2387" s="78"/>
      <c r="J2387" s="78"/>
      <c r="K2387" s="81"/>
      <c r="L2387" s="80"/>
      <c r="M2387" s="81"/>
    </row>
    <row r="2388">
      <c r="A2388" s="78"/>
      <c r="B2388" s="75"/>
      <c r="C2388" s="75"/>
      <c r="D2388" s="78"/>
      <c r="E2388" s="78"/>
      <c r="F2388" s="76"/>
      <c r="G2388" s="68"/>
      <c r="H2388" s="81"/>
      <c r="I2388" s="78"/>
      <c r="J2388" s="78"/>
      <c r="K2388" s="81"/>
      <c r="L2388" s="80"/>
      <c r="M2388" s="81"/>
    </row>
    <row r="2389">
      <c r="A2389" s="78"/>
      <c r="B2389" s="75"/>
      <c r="C2389" s="75"/>
      <c r="D2389" s="78"/>
      <c r="E2389" s="78"/>
      <c r="F2389" s="76"/>
      <c r="G2389" s="68"/>
      <c r="H2389" s="81"/>
      <c r="I2389" s="78"/>
      <c r="J2389" s="78"/>
      <c r="K2389" s="81"/>
      <c r="L2389" s="80"/>
      <c r="M2389" s="81"/>
    </row>
    <row r="2390">
      <c r="A2390" s="78"/>
      <c r="B2390" s="75"/>
      <c r="C2390" s="75"/>
      <c r="D2390" s="78"/>
      <c r="E2390" s="78"/>
      <c r="F2390" s="76"/>
      <c r="G2390" s="68"/>
      <c r="H2390" s="81"/>
      <c r="I2390" s="78"/>
      <c r="J2390" s="78"/>
      <c r="K2390" s="81"/>
      <c r="L2390" s="80"/>
      <c r="M2390" s="81"/>
    </row>
    <row r="2391">
      <c r="A2391" s="78"/>
      <c r="B2391" s="75"/>
      <c r="C2391" s="75"/>
      <c r="D2391" s="78"/>
      <c r="E2391" s="78"/>
      <c r="F2391" s="76"/>
      <c r="G2391" s="68"/>
      <c r="H2391" s="81"/>
      <c r="I2391" s="78"/>
      <c r="J2391" s="78"/>
      <c r="K2391" s="81"/>
      <c r="L2391" s="80"/>
      <c r="M2391" s="81"/>
    </row>
    <row r="2392">
      <c r="A2392" s="78"/>
      <c r="B2392" s="75"/>
      <c r="C2392" s="75"/>
      <c r="D2392" s="78"/>
      <c r="E2392" s="78"/>
      <c r="F2392" s="76"/>
      <c r="G2392" s="68"/>
      <c r="H2392" s="81"/>
      <c r="I2392" s="78"/>
      <c r="J2392" s="78"/>
      <c r="K2392" s="81"/>
      <c r="L2392" s="80"/>
      <c r="M2392" s="81"/>
    </row>
    <row r="2393">
      <c r="A2393" s="78"/>
      <c r="B2393" s="75"/>
      <c r="C2393" s="75"/>
      <c r="D2393" s="78"/>
      <c r="E2393" s="78"/>
      <c r="F2393" s="76"/>
      <c r="G2393" s="68"/>
      <c r="H2393" s="81"/>
      <c r="I2393" s="78"/>
      <c r="J2393" s="78"/>
      <c r="K2393" s="81"/>
      <c r="L2393" s="80"/>
      <c r="M2393" s="81"/>
    </row>
    <row r="2394">
      <c r="A2394" s="78"/>
      <c r="B2394" s="75"/>
      <c r="C2394" s="75"/>
      <c r="D2394" s="78"/>
      <c r="E2394" s="78"/>
      <c r="F2394" s="76"/>
      <c r="G2394" s="68"/>
      <c r="H2394" s="81"/>
      <c r="I2394" s="78"/>
      <c r="J2394" s="78"/>
      <c r="K2394" s="81"/>
      <c r="L2394" s="80"/>
      <c r="M2394" s="81"/>
    </row>
    <row r="2395">
      <c r="A2395" s="78"/>
      <c r="B2395" s="75"/>
      <c r="C2395" s="75"/>
      <c r="D2395" s="78"/>
      <c r="E2395" s="78"/>
      <c r="F2395" s="76"/>
      <c r="G2395" s="68"/>
      <c r="H2395" s="81"/>
      <c r="I2395" s="78"/>
      <c r="J2395" s="78"/>
      <c r="K2395" s="81"/>
      <c r="L2395" s="80"/>
      <c r="M2395" s="81"/>
    </row>
    <row r="2396">
      <c r="A2396" s="78"/>
      <c r="B2396" s="75"/>
      <c r="C2396" s="75"/>
      <c r="D2396" s="78"/>
      <c r="E2396" s="78"/>
      <c r="F2396" s="76"/>
      <c r="G2396" s="68"/>
      <c r="H2396" s="81"/>
      <c r="I2396" s="78"/>
      <c r="J2396" s="78"/>
      <c r="K2396" s="81"/>
      <c r="L2396" s="80"/>
      <c r="M2396" s="81"/>
    </row>
    <row r="2397">
      <c r="A2397" s="78"/>
      <c r="B2397" s="75"/>
      <c r="C2397" s="75"/>
      <c r="D2397" s="78"/>
      <c r="E2397" s="78"/>
      <c r="F2397" s="76"/>
      <c r="G2397" s="68"/>
      <c r="H2397" s="81"/>
      <c r="I2397" s="78"/>
      <c r="J2397" s="78"/>
      <c r="K2397" s="81"/>
      <c r="L2397" s="80"/>
      <c r="M2397" s="81"/>
    </row>
    <row r="2398">
      <c r="A2398" s="78"/>
      <c r="B2398" s="75"/>
      <c r="C2398" s="75"/>
      <c r="D2398" s="78"/>
      <c r="E2398" s="78"/>
      <c r="F2398" s="76"/>
      <c r="G2398" s="68"/>
      <c r="H2398" s="81"/>
      <c r="I2398" s="78"/>
      <c r="J2398" s="78"/>
      <c r="K2398" s="81"/>
      <c r="L2398" s="80"/>
      <c r="M2398" s="81"/>
    </row>
    <row r="2399">
      <c r="A2399" s="78"/>
      <c r="B2399" s="75"/>
      <c r="C2399" s="75"/>
      <c r="D2399" s="78"/>
      <c r="E2399" s="78"/>
      <c r="F2399" s="76"/>
      <c r="G2399" s="68"/>
      <c r="H2399" s="81"/>
      <c r="I2399" s="78"/>
      <c r="J2399" s="78"/>
      <c r="K2399" s="81"/>
      <c r="L2399" s="80"/>
      <c r="M2399" s="81"/>
    </row>
    <row r="2400">
      <c r="A2400" s="78"/>
      <c r="B2400" s="75"/>
      <c r="C2400" s="75"/>
      <c r="D2400" s="78"/>
      <c r="E2400" s="78"/>
      <c r="F2400" s="76"/>
      <c r="G2400" s="68"/>
      <c r="H2400" s="81"/>
      <c r="I2400" s="78"/>
      <c r="J2400" s="78"/>
      <c r="K2400" s="81"/>
      <c r="L2400" s="80"/>
      <c r="M2400" s="81"/>
    </row>
    <row r="2401">
      <c r="A2401" s="78"/>
      <c r="B2401" s="75"/>
      <c r="C2401" s="75"/>
      <c r="D2401" s="78"/>
      <c r="E2401" s="78"/>
      <c r="F2401" s="76"/>
      <c r="G2401" s="68"/>
      <c r="H2401" s="81"/>
      <c r="I2401" s="78"/>
      <c r="J2401" s="78"/>
      <c r="K2401" s="81"/>
      <c r="L2401" s="80"/>
      <c r="M2401" s="81"/>
    </row>
    <row r="2402">
      <c r="A2402" s="78"/>
      <c r="B2402" s="75"/>
      <c r="C2402" s="75"/>
      <c r="D2402" s="78"/>
      <c r="E2402" s="78"/>
      <c r="F2402" s="76"/>
      <c r="G2402" s="68"/>
      <c r="H2402" s="81"/>
      <c r="I2402" s="78"/>
      <c r="J2402" s="78"/>
      <c r="K2402" s="81"/>
      <c r="L2402" s="80"/>
      <c r="M2402" s="81"/>
    </row>
    <row r="2403">
      <c r="A2403" s="78"/>
      <c r="B2403" s="75"/>
      <c r="C2403" s="75"/>
      <c r="D2403" s="78"/>
      <c r="E2403" s="78"/>
      <c r="F2403" s="76"/>
      <c r="G2403" s="68"/>
      <c r="H2403" s="81"/>
      <c r="I2403" s="78"/>
      <c r="J2403" s="78"/>
      <c r="K2403" s="81"/>
      <c r="L2403" s="80"/>
      <c r="M2403" s="81"/>
    </row>
    <row r="2404">
      <c r="A2404" s="78"/>
      <c r="B2404" s="75"/>
      <c r="C2404" s="75"/>
      <c r="D2404" s="78"/>
      <c r="E2404" s="78"/>
      <c r="F2404" s="76"/>
      <c r="G2404" s="68"/>
      <c r="H2404" s="81"/>
      <c r="I2404" s="78"/>
      <c r="J2404" s="78"/>
      <c r="K2404" s="81"/>
      <c r="L2404" s="80"/>
      <c r="M2404" s="81"/>
    </row>
    <row r="2405">
      <c r="A2405" s="78"/>
      <c r="B2405" s="75"/>
      <c r="C2405" s="75"/>
      <c r="D2405" s="78"/>
      <c r="E2405" s="78"/>
      <c r="F2405" s="76"/>
      <c r="G2405" s="68"/>
      <c r="H2405" s="81"/>
      <c r="I2405" s="78"/>
      <c r="J2405" s="78"/>
      <c r="K2405" s="81"/>
      <c r="L2405" s="80"/>
      <c r="M2405" s="81"/>
    </row>
    <row r="2406">
      <c r="A2406" s="78"/>
      <c r="B2406" s="75"/>
      <c r="C2406" s="75"/>
      <c r="D2406" s="78"/>
      <c r="E2406" s="78"/>
      <c r="F2406" s="76"/>
      <c r="G2406" s="68"/>
      <c r="H2406" s="81"/>
      <c r="I2406" s="78"/>
      <c r="J2406" s="78"/>
      <c r="K2406" s="81"/>
      <c r="L2406" s="80"/>
      <c r="M2406" s="81"/>
    </row>
    <row r="2407">
      <c r="A2407" s="78"/>
      <c r="B2407" s="75"/>
      <c r="C2407" s="75"/>
      <c r="D2407" s="78"/>
      <c r="E2407" s="78"/>
      <c r="F2407" s="76"/>
      <c r="G2407" s="68"/>
      <c r="H2407" s="81"/>
      <c r="I2407" s="78"/>
      <c r="J2407" s="78"/>
      <c r="K2407" s="81"/>
      <c r="L2407" s="80"/>
      <c r="M2407" s="81"/>
    </row>
    <row r="2408">
      <c r="A2408" s="78"/>
      <c r="B2408" s="75"/>
      <c r="C2408" s="75"/>
      <c r="D2408" s="78"/>
      <c r="E2408" s="78"/>
      <c r="F2408" s="76"/>
      <c r="G2408" s="68"/>
      <c r="H2408" s="81"/>
      <c r="I2408" s="78"/>
      <c r="J2408" s="78"/>
      <c r="K2408" s="81"/>
      <c r="L2408" s="80"/>
      <c r="M2408" s="81"/>
    </row>
    <row r="2409">
      <c r="A2409" s="78"/>
      <c r="B2409" s="75"/>
      <c r="C2409" s="75"/>
      <c r="D2409" s="78"/>
      <c r="E2409" s="78"/>
      <c r="F2409" s="76"/>
      <c r="G2409" s="68"/>
      <c r="H2409" s="81"/>
      <c r="I2409" s="78"/>
      <c r="J2409" s="78"/>
      <c r="K2409" s="81"/>
      <c r="L2409" s="80"/>
      <c r="M2409" s="81"/>
    </row>
    <row r="2410">
      <c r="A2410" s="78"/>
      <c r="B2410" s="75"/>
      <c r="C2410" s="75"/>
      <c r="D2410" s="78"/>
      <c r="E2410" s="78"/>
      <c r="F2410" s="76"/>
      <c r="G2410" s="68"/>
      <c r="H2410" s="81"/>
      <c r="I2410" s="78"/>
      <c r="J2410" s="78"/>
      <c r="K2410" s="81"/>
      <c r="L2410" s="80"/>
      <c r="M2410" s="81"/>
    </row>
    <row r="2411">
      <c r="A2411" s="78"/>
      <c r="B2411" s="75"/>
      <c r="C2411" s="75"/>
      <c r="D2411" s="78"/>
      <c r="E2411" s="78"/>
      <c r="F2411" s="76"/>
      <c r="G2411" s="68"/>
      <c r="H2411" s="81"/>
      <c r="I2411" s="78"/>
      <c r="J2411" s="78"/>
      <c r="K2411" s="81"/>
      <c r="L2411" s="80"/>
      <c r="M2411" s="81"/>
    </row>
    <row r="2412">
      <c r="A2412" s="78"/>
      <c r="B2412" s="75"/>
      <c r="C2412" s="75"/>
      <c r="D2412" s="78"/>
      <c r="E2412" s="78"/>
      <c r="F2412" s="76"/>
      <c r="G2412" s="68"/>
      <c r="H2412" s="81"/>
      <c r="I2412" s="78"/>
      <c r="J2412" s="78"/>
      <c r="K2412" s="81"/>
      <c r="L2412" s="80"/>
      <c r="M2412" s="81"/>
    </row>
    <row r="2413">
      <c r="A2413" s="78"/>
      <c r="B2413" s="75"/>
      <c r="C2413" s="75"/>
      <c r="D2413" s="78"/>
      <c r="E2413" s="78"/>
      <c r="F2413" s="76"/>
      <c r="G2413" s="68"/>
      <c r="H2413" s="81"/>
      <c r="I2413" s="78"/>
      <c r="J2413" s="78"/>
      <c r="K2413" s="81"/>
      <c r="L2413" s="80"/>
      <c r="M2413" s="81"/>
    </row>
    <row r="2414">
      <c r="A2414" s="78"/>
      <c r="B2414" s="75"/>
      <c r="C2414" s="75"/>
      <c r="D2414" s="78"/>
      <c r="E2414" s="78"/>
      <c r="F2414" s="76"/>
      <c r="G2414" s="68"/>
      <c r="H2414" s="81"/>
      <c r="I2414" s="78"/>
      <c r="J2414" s="78"/>
      <c r="K2414" s="81"/>
      <c r="L2414" s="80"/>
      <c r="M2414" s="81"/>
    </row>
    <row r="2415">
      <c r="A2415" s="78"/>
      <c r="B2415" s="75"/>
      <c r="C2415" s="75"/>
      <c r="D2415" s="78"/>
      <c r="E2415" s="78"/>
      <c r="F2415" s="76"/>
      <c r="G2415" s="68"/>
      <c r="H2415" s="81"/>
      <c r="I2415" s="78"/>
      <c r="J2415" s="78"/>
      <c r="K2415" s="81"/>
      <c r="L2415" s="80"/>
      <c r="M2415" s="81"/>
    </row>
    <row r="2416">
      <c r="A2416" s="78"/>
      <c r="B2416" s="75"/>
      <c r="C2416" s="75"/>
      <c r="D2416" s="78"/>
      <c r="E2416" s="78"/>
      <c r="F2416" s="76"/>
      <c r="G2416" s="68"/>
      <c r="H2416" s="81"/>
      <c r="I2416" s="78"/>
      <c r="J2416" s="78"/>
      <c r="K2416" s="81"/>
      <c r="L2416" s="80"/>
      <c r="M2416" s="81"/>
    </row>
    <row r="2417">
      <c r="A2417" s="78"/>
      <c r="B2417" s="75"/>
      <c r="C2417" s="75"/>
      <c r="D2417" s="78"/>
      <c r="E2417" s="78"/>
      <c r="F2417" s="76"/>
      <c r="G2417" s="68"/>
      <c r="H2417" s="81"/>
      <c r="I2417" s="78"/>
      <c r="J2417" s="78"/>
      <c r="K2417" s="81"/>
      <c r="L2417" s="80"/>
      <c r="M2417" s="81"/>
    </row>
    <row r="2418">
      <c r="A2418" s="78"/>
      <c r="B2418" s="75"/>
      <c r="C2418" s="75"/>
      <c r="D2418" s="78"/>
      <c r="E2418" s="78"/>
      <c r="F2418" s="76"/>
      <c r="G2418" s="68"/>
      <c r="H2418" s="81"/>
      <c r="I2418" s="78"/>
      <c r="J2418" s="78"/>
      <c r="K2418" s="81"/>
      <c r="L2418" s="80"/>
      <c r="M2418" s="81"/>
    </row>
    <row r="2419">
      <c r="A2419" s="78"/>
      <c r="B2419" s="75"/>
      <c r="C2419" s="75"/>
      <c r="D2419" s="78"/>
      <c r="E2419" s="78"/>
      <c r="F2419" s="76"/>
      <c r="G2419" s="68"/>
      <c r="H2419" s="81"/>
      <c r="I2419" s="78"/>
      <c r="J2419" s="78"/>
      <c r="K2419" s="81"/>
      <c r="L2419" s="80"/>
      <c r="M2419" s="81"/>
    </row>
    <row r="2420">
      <c r="A2420" s="78"/>
      <c r="B2420" s="75"/>
      <c r="C2420" s="75"/>
      <c r="D2420" s="78"/>
      <c r="E2420" s="78"/>
      <c r="F2420" s="76"/>
      <c r="G2420" s="68"/>
      <c r="H2420" s="81"/>
      <c r="I2420" s="78"/>
      <c r="J2420" s="78"/>
      <c r="K2420" s="81"/>
      <c r="L2420" s="80"/>
      <c r="M2420" s="81"/>
    </row>
    <row r="2421">
      <c r="A2421" s="78"/>
      <c r="B2421" s="75"/>
      <c r="C2421" s="75"/>
      <c r="D2421" s="78"/>
      <c r="E2421" s="78"/>
      <c r="F2421" s="76"/>
      <c r="G2421" s="68"/>
      <c r="H2421" s="81"/>
      <c r="I2421" s="78"/>
      <c r="J2421" s="78"/>
      <c r="K2421" s="81"/>
      <c r="L2421" s="80"/>
      <c r="M2421" s="81"/>
    </row>
    <row r="2422">
      <c r="A2422" s="78"/>
      <c r="B2422" s="75"/>
      <c r="C2422" s="75"/>
      <c r="D2422" s="78"/>
      <c r="E2422" s="78"/>
      <c r="F2422" s="76"/>
      <c r="G2422" s="68"/>
      <c r="H2422" s="81"/>
      <c r="I2422" s="78"/>
      <c r="J2422" s="78"/>
      <c r="K2422" s="81"/>
      <c r="L2422" s="80"/>
      <c r="M2422" s="81"/>
    </row>
    <row r="2423">
      <c r="A2423" s="78"/>
      <c r="B2423" s="75"/>
      <c r="C2423" s="75"/>
      <c r="D2423" s="78"/>
      <c r="E2423" s="78"/>
      <c r="F2423" s="76"/>
      <c r="G2423" s="68"/>
      <c r="H2423" s="81"/>
      <c r="I2423" s="78"/>
      <c r="J2423" s="78"/>
      <c r="K2423" s="81"/>
      <c r="L2423" s="80"/>
      <c r="M2423" s="81"/>
    </row>
    <row r="2424">
      <c r="A2424" s="78"/>
      <c r="B2424" s="75"/>
      <c r="C2424" s="75"/>
      <c r="D2424" s="78"/>
      <c r="E2424" s="78"/>
      <c r="F2424" s="76"/>
      <c r="G2424" s="68"/>
      <c r="H2424" s="81"/>
      <c r="I2424" s="78"/>
      <c r="J2424" s="78"/>
      <c r="K2424" s="81"/>
      <c r="L2424" s="80"/>
      <c r="M2424" s="81"/>
    </row>
    <row r="2425">
      <c r="A2425" s="78"/>
      <c r="B2425" s="75"/>
      <c r="C2425" s="75"/>
      <c r="D2425" s="78"/>
      <c r="E2425" s="78"/>
      <c r="F2425" s="76"/>
      <c r="G2425" s="68"/>
      <c r="H2425" s="81"/>
      <c r="I2425" s="78"/>
      <c r="J2425" s="78"/>
      <c r="K2425" s="81"/>
      <c r="L2425" s="80"/>
      <c r="M2425" s="81"/>
    </row>
    <row r="2426">
      <c r="A2426" s="78"/>
      <c r="B2426" s="75"/>
      <c r="C2426" s="75"/>
      <c r="D2426" s="78"/>
      <c r="E2426" s="78"/>
      <c r="F2426" s="76"/>
      <c r="G2426" s="68"/>
      <c r="H2426" s="81"/>
      <c r="I2426" s="78"/>
      <c r="J2426" s="78"/>
      <c r="K2426" s="81"/>
      <c r="L2426" s="80"/>
      <c r="M2426" s="81"/>
    </row>
    <row r="2427">
      <c r="A2427" s="78"/>
      <c r="B2427" s="75"/>
      <c r="C2427" s="75"/>
      <c r="D2427" s="78"/>
      <c r="E2427" s="78"/>
      <c r="F2427" s="76"/>
      <c r="G2427" s="68"/>
      <c r="H2427" s="81"/>
      <c r="I2427" s="78"/>
      <c r="J2427" s="78"/>
      <c r="K2427" s="81"/>
      <c r="L2427" s="80"/>
      <c r="M2427" s="81"/>
    </row>
    <row r="2428">
      <c r="A2428" s="78"/>
      <c r="B2428" s="75"/>
      <c r="C2428" s="75"/>
      <c r="D2428" s="78"/>
      <c r="E2428" s="78"/>
      <c r="F2428" s="76"/>
      <c r="G2428" s="68"/>
      <c r="H2428" s="81"/>
      <c r="I2428" s="78"/>
      <c r="J2428" s="78"/>
      <c r="K2428" s="81"/>
      <c r="L2428" s="80"/>
      <c r="M2428" s="81"/>
    </row>
    <row r="2429">
      <c r="A2429" s="78"/>
      <c r="B2429" s="75"/>
      <c r="C2429" s="75"/>
      <c r="D2429" s="78"/>
      <c r="E2429" s="78"/>
      <c r="F2429" s="76"/>
      <c r="G2429" s="68"/>
      <c r="H2429" s="81"/>
      <c r="I2429" s="78"/>
      <c r="J2429" s="78"/>
      <c r="K2429" s="81"/>
      <c r="L2429" s="80"/>
      <c r="M2429" s="81"/>
    </row>
    <row r="2430">
      <c r="A2430" s="78"/>
      <c r="B2430" s="75"/>
      <c r="C2430" s="75"/>
      <c r="D2430" s="78"/>
      <c r="E2430" s="78"/>
      <c r="F2430" s="76"/>
      <c r="G2430" s="68"/>
      <c r="H2430" s="81"/>
      <c r="I2430" s="78"/>
      <c r="J2430" s="78"/>
      <c r="K2430" s="81"/>
      <c r="L2430" s="80"/>
      <c r="M2430" s="81"/>
    </row>
    <row r="2431">
      <c r="A2431" s="78"/>
      <c r="B2431" s="75"/>
      <c r="C2431" s="75"/>
      <c r="D2431" s="78"/>
      <c r="E2431" s="78"/>
      <c r="F2431" s="76"/>
      <c r="G2431" s="68"/>
      <c r="H2431" s="81"/>
      <c r="I2431" s="78"/>
      <c r="J2431" s="78"/>
      <c r="K2431" s="81"/>
      <c r="L2431" s="80"/>
      <c r="M2431" s="81"/>
    </row>
    <row r="2432">
      <c r="A2432" s="78"/>
      <c r="B2432" s="75"/>
      <c r="C2432" s="75"/>
      <c r="D2432" s="78"/>
      <c r="E2432" s="78"/>
      <c r="F2432" s="76"/>
      <c r="G2432" s="68"/>
      <c r="H2432" s="81"/>
      <c r="I2432" s="78"/>
      <c r="J2432" s="78"/>
      <c r="K2432" s="81"/>
      <c r="L2432" s="80"/>
      <c r="M2432" s="81"/>
    </row>
    <row r="2433">
      <c r="A2433" s="78"/>
      <c r="B2433" s="75"/>
      <c r="C2433" s="75"/>
      <c r="D2433" s="78"/>
      <c r="E2433" s="78"/>
      <c r="F2433" s="76"/>
      <c r="G2433" s="68"/>
      <c r="H2433" s="81"/>
      <c r="I2433" s="78"/>
      <c r="J2433" s="78"/>
      <c r="K2433" s="81"/>
      <c r="L2433" s="80"/>
      <c r="M2433" s="81"/>
    </row>
    <row r="2434">
      <c r="A2434" s="78"/>
      <c r="B2434" s="75"/>
      <c r="C2434" s="75"/>
      <c r="D2434" s="78"/>
      <c r="E2434" s="78"/>
      <c r="F2434" s="76"/>
      <c r="G2434" s="68"/>
      <c r="H2434" s="81"/>
      <c r="I2434" s="78"/>
      <c r="J2434" s="78"/>
      <c r="K2434" s="81"/>
      <c r="L2434" s="80"/>
      <c r="M2434" s="81"/>
    </row>
    <row r="2435">
      <c r="A2435" s="78"/>
      <c r="B2435" s="75"/>
      <c r="C2435" s="75"/>
      <c r="D2435" s="78"/>
      <c r="E2435" s="78"/>
      <c r="F2435" s="76"/>
      <c r="G2435" s="68"/>
      <c r="H2435" s="81"/>
      <c r="I2435" s="78"/>
      <c r="J2435" s="78"/>
      <c r="K2435" s="81"/>
      <c r="L2435" s="80"/>
      <c r="M2435" s="81"/>
    </row>
    <row r="2436">
      <c r="A2436" s="78"/>
      <c r="B2436" s="75"/>
      <c r="C2436" s="75"/>
      <c r="D2436" s="78"/>
      <c r="E2436" s="78"/>
      <c r="F2436" s="76"/>
      <c r="G2436" s="68"/>
      <c r="H2436" s="81"/>
      <c r="I2436" s="78"/>
      <c r="J2436" s="78"/>
      <c r="K2436" s="81"/>
      <c r="L2436" s="80"/>
      <c r="M2436" s="81"/>
    </row>
    <row r="2437">
      <c r="A2437" s="78"/>
      <c r="B2437" s="75"/>
      <c r="C2437" s="75"/>
      <c r="D2437" s="78"/>
      <c r="E2437" s="78"/>
      <c r="F2437" s="76"/>
      <c r="G2437" s="68"/>
      <c r="H2437" s="81"/>
      <c r="I2437" s="78"/>
      <c r="J2437" s="78"/>
      <c r="K2437" s="81"/>
      <c r="L2437" s="80"/>
      <c r="M2437" s="81"/>
    </row>
    <row r="2438">
      <c r="A2438" s="78"/>
      <c r="B2438" s="75"/>
      <c r="C2438" s="75"/>
      <c r="D2438" s="78"/>
      <c r="E2438" s="78"/>
      <c r="F2438" s="76"/>
      <c r="G2438" s="68"/>
      <c r="H2438" s="81"/>
      <c r="I2438" s="78"/>
      <c r="J2438" s="78"/>
      <c r="K2438" s="81"/>
      <c r="L2438" s="80"/>
      <c r="M2438" s="81"/>
    </row>
    <row r="2439">
      <c r="A2439" s="78"/>
      <c r="B2439" s="75"/>
      <c r="C2439" s="75"/>
      <c r="D2439" s="78"/>
      <c r="E2439" s="78"/>
      <c r="F2439" s="76"/>
      <c r="G2439" s="68"/>
      <c r="H2439" s="81"/>
      <c r="I2439" s="78"/>
      <c r="J2439" s="78"/>
      <c r="K2439" s="81"/>
      <c r="L2439" s="80"/>
      <c r="M2439" s="81"/>
    </row>
    <row r="2440">
      <c r="A2440" s="78"/>
      <c r="B2440" s="75"/>
      <c r="C2440" s="75"/>
      <c r="D2440" s="78"/>
      <c r="E2440" s="78"/>
      <c r="F2440" s="76"/>
      <c r="G2440" s="68"/>
      <c r="H2440" s="81"/>
      <c r="I2440" s="78"/>
      <c r="J2440" s="78"/>
      <c r="K2440" s="81"/>
      <c r="L2440" s="80"/>
      <c r="M2440" s="81"/>
    </row>
    <row r="2441">
      <c r="A2441" s="78"/>
      <c r="B2441" s="75"/>
      <c r="C2441" s="75"/>
      <c r="D2441" s="78"/>
      <c r="E2441" s="78"/>
      <c r="F2441" s="76"/>
      <c r="G2441" s="68"/>
      <c r="H2441" s="81"/>
      <c r="I2441" s="78"/>
      <c r="J2441" s="78"/>
      <c r="K2441" s="81"/>
      <c r="L2441" s="80"/>
      <c r="M2441" s="81"/>
    </row>
    <row r="2442">
      <c r="A2442" s="78"/>
      <c r="B2442" s="75"/>
      <c r="C2442" s="75"/>
      <c r="D2442" s="78"/>
      <c r="E2442" s="78"/>
      <c r="F2442" s="76"/>
      <c r="G2442" s="68"/>
      <c r="H2442" s="81"/>
      <c r="I2442" s="78"/>
      <c r="J2442" s="78"/>
      <c r="K2442" s="81"/>
      <c r="L2442" s="80"/>
      <c r="M2442" s="81"/>
    </row>
    <row r="2443">
      <c r="A2443" s="78"/>
      <c r="B2443" s="75"/>
      <c r="C2443" s="75"/>
      <c r="D2443" s="78"/>
      <c r="E2443" s="78"/>
      <c r="F2443" s="76"/>
      <c r="G2443" s="68"/>
      <c r="H2443" s="81"/>
      <c r="I2443" s="78"/>
      <c r="J2443" s="78"/>
      <c r="K2443" s="81"/>
      <c r="L2443" s="80"/>
      <c r="M2443" s="81"/>
    </row>
    <row r="2444">
      <c r="A2444" s="78"/>
      <c r="B2444" s="75"/>
      <c r="C2444" s="75"/>
      <c r="D2444" s="78"/>
      <c r="E2444" s="78"/>
      <c r="F2444" s="76"/>
      <c r="G2444" s="68"/>
      <c r="H2444" s="81"/>
      <c r="I2444" s="78"/>
      <c r="J2444" s="78"/>
      <c r="K2444" s="81"/>
      <c r="L2444" s="80"/>
      <c r="M2444" s="81"/>
    </row>
    <row r="2445">
      <c r="A2445" s="78"/>
      <c r="B2445" s="75"/>
      <c r="C2445" s="75"/>
      <c r="D2445" s="78"/>
      <c r="E2445" s="78"/>
      <c r="F2445" s="76"/>
      <c r="G2445" s="68"/>
      <c r="H2445" s="81"/>
      <c r="I2445" s="78"/>
      <c r="J2445" s="78"/>
      <c r="K2445" s="81"/>
      <c r="L2445" s="80"/>
      <c r="M2445" s="81"/>
    </row>
    <row r="2446">
      <c r="A2446" s="78"/>
      <c r="B2446" s="75"/>
      <c r="C2446" s="75"/>
      <c r="D2446" s="78"/>
      <c r="E2446" s="78"/>
      <c r="F2446" s="76"/>
      <c r="G2446" s="68"/>
      <c r="H2446" s="81"/>
      <c r="I2446" s="78"/>
      <c r="J2446" s="78"/>
      <c r="K2446" s="81"/>
      <c r="L2446" s="80"/>
      <c r="M2446" s="81"/>
    </row>
    <row r="2447">
      <c r="A2447" s="78"/>
      <c r="B2447" s="75"/>
      <c r="C2447" s="75"/>
      <c r="D2447" s="78"/>
      <c r="E2447" s="78"/>
      <c r="F2447" s="76"/>
      <c r="G2447" s="68"/>
      <c r="H2447" s="81"/>
      <c r="I2447" s="78"/>
      <c r="J2447" s="78"/>
      <c r="K2447" s="81"/>
      <c r="L2447" s="80"/>
      <c r="M2447" s="81"/>
    </row>
    <row r="2448">
      <c r="A2448" s="78"/>
      <c r="B2448" s="75"/>
      <c r="C2448" s="75"/>
      <c r="D2448" s="78"/>
      <c r="E2448" s="78"/>
      <c r="F2448" s="76"/>
      <c r="G2448" s="68"/>
      <c r="H2448" s="81"/>
      <c r="I2448" s="78"/>
      <c r="J2448" s="78"/>
      <c r="K2448" s="81"/>
      <c r="L2448" s="80"/>
      <c r="M2448" s="81"/>
    </row>
    <row r="2449">
      <c r="A2449" s="78"/>
      <c r="B2449" s="75"/>
      <c r="C2449" s="75"/>
      <c r="D2449" s="78"/>
      <c r="E2449" s="78"/>
      <c r="F2449" s="76"/>
      <c r="G2449" s="68"/>
      <c r="H2449" s="81"/>
      <c r="I2449" s="78"/>
      <c r="J2449" s="78"/>
      <c r="K2449" s="81"/>
      <c r="L2449" s="80"/>
      <c r="M2449" s="81"/>
    </row>
    <row r="2450">
      <c r="A2450" s="78"/>
      <c r="B2450" s="75"/>
      <c r="C2450" s="75"/>
      <c r="D2450" s="78"/>
      <c r="E2450" s="78"/>
      <c r="F2450" s="76"/>
      <c r="G2450" s="68"/>
      <c r="H2450" s="81"/>
      <c r="I2450" s="78"/>
      <c r="J2450" s="78"/>
      <c r="K2450" s="81"/>
      <c r="L2450" s="80"/>
      <c r="M2450" s="81"/>
    </row>
    <row r="2451">
      <c r="A2451" s="78"/>
      <c r="B2451" s="75"/>
      <c r="C2451" s="75"/>
      <c r="D2451" s="78"/>
      <c r="E2451" s="78"/>
      <c r="F2451" s="76"/>
      <c r="G2451" s="68"/>
      <c r="H2451" s="81"/>
      <c r="I2451" s="78"/>
      <c r="J2451" s="78"/>
      <c r="K2451" s="81"/>
      <c r="L2451" s="80"/>
      <c r="M2451" s="81"/>
    </row>
    <row r="2452">
      <c r="A2452" s="78"/>
      <c r="B2452" s="75"/>
      <c r="C2452" s="75"/>
      <c r="D2452" s="78"/>
      <c r="E2452" s="78"/>
      <c r="F2452" s="76"/>
      <c r="G2452" s="68"/>
      <c r="H2452" s="81"/>
      <c r="I2452" s="78"/>
      <c r="J2452" s="78"/>
      <c r="K2452" s="81"/>
      <c r="L2452" s="80"/>
      <c r="M2452" s="81"/>
    </row>
    <row r="2453">
      <c r="A2453" s="78"/>
      <c r="B2453" s="75"/>
      <c r="C2453" s="75"/>
      <c r="D2453" s="78"/>
      <c r="E2453" s="78"/>
      <c r="F2453" s="76"/>
      <c r="G2453" s="68"/>
      <c r="H2453" s="81"/>
      <c r="I2453" s="78"/>
      <c r="J2453" s="78"/>
      <c r="K2453" s="81"/>
      <c r="L2453" s="80"/>
      <c r="M2453" s="81"/>
    </row>
    <row r="2454">
      <c r="A2454" s="78"/>
      <c r="B2454" s="75"/>
      <c r="C2454" s="75"/>
      <c r="D2454" s="78"/>
      <c r="E2454" s="78"/>
      <c r="F2454" s="76"/>
      <c r="G2454" s="68"/>
      <c r="H2454" s="81"/>
      <c r="I2454" s="78"/>
      <c r="J2454" s="78"/>
      <c r="K2454" s="81"/>
      <c r="L2454" s="80"/>
      <c r="M2454" s="81"/>
    </row>
    <row r="2455">
      <c r="A2455" s="78"/>
      <c r="B2455" s="75"/>
      <c r="C2455" s="75"/>
      <c r="D2455" s="78"/>
      <c r="E2455" s="78"/>
      <c r="F2455" s="76"/>
      <c r="G2455" s="68"/>
      <c r="H2455" s="81"/>
      <c r="I2455" s="78"/>
      <c r="J2455" s="78"/>
      <c r="K2455" s="81"/>
      <c r="L2455" s="80"/>
      <c r="M2455" s="81"/>
    </row>
    <row r="2456">
      <c r="A2456" s="78"/>
      <c r="B2456" s="75"/>
      <c r="C2456" s="75"/>
      <c r="D2456" s="78"/>
      <c r="E2456" s="78"/>
      <c r="F2456" s="76"/>
      <c r="G2456" s="68"/>
      <c r="H2456" s="81"/>
      <c r="I2456" s="78"/>
      <c r="J2456" s="78"/>
      <c r="K2456" s="81"/>
      <c r="L2456" s="80"/>
      <c r="M2456" s="81"/>
    </row>
    <row r="2457">
      <c r="A2457" s="78"/>
      <c r="B2457" s="75"/>
      <c r="C2457" s="75"/>
      <c r="D2457" s="78"/>
      <c r="E2457" s="78"/>
      <c r="F2457" s="76"/>
      <c r="G2457" s="68"/>
      <c r="H2457" s="81"/>
      <c r="I2457" s="78"/>
      <c r="J2457" s="78"/>
      <c r="K2457" s="81"/>
      <c r="L2457" s="80"/>
      <c r="M2457" s="81"/>
    </row>
    <row r="2458">
      <c r="A2458" s="78"/>
      <c r="B2458" s="75"/>
      <c r="C2458" s="75"/>
      <c r="D2458" s="78"/>
      <c r="E2458" s="78"/>
      <c r="F2458" s="76"/>
      <c r="G2458" s="68"/>
      <c r="H2458" s="81"/>
      <c r="I2458" s="78"/>
      <c r="J2458" s="78"/>
      <c r="K2458" s="81"/>
      <c r="L2458" s="80"/>
      <c r="M2458" s="81"/>
    </row>
    <row r="2459">
      <c r="A2459" s="78"/>
      <c r="B2459" s="75"/>
      <c r="C2459" s="75"/>
      <c r="D2459" s="78"/>
      <c r="E2459" s="78"/>
      <c r="F2459" s="76"/>
      <c r="G2459" s="68"/>
      <c r="H2459" s="81"/>
      <c r="I2459" s="78"/>
      <c r="J2459" s="78"/>
      <c r="K2459" s="81"/>
      <c r="L2459" s="80"/>
      <c r="M2459" s="81"/>
    </row>
    <row r="2460">
      <c r="A2460" s="78"/>
      <c r="B2460" s="75"/>
      <c r="C2460" s="75"/>
      <c r="D2460" s="78"/>
      <c r="E2460" s="78"/>
      <c r="F2460" s="76"/>
      <c r="G2460" s="68"/>
      <c r="H2460" s="81"/>
      <c r="I2460" s="78"/>
      <c r="J2460" s="78"/>
      <c r="K2460" s="81"/>
      <c r="L2460" s="80"/>
      <c r="M2460" s="81"/>
    </row>
    <row r="2461">
      <c r="A2461" s="78"/>
      <c r="B2461" s="75"/>
      <c r="C2461" s="75"/>
      <c r="D2461" s="78"/>
      <c r="E2461" s="78"/>
      <c r="F2461" s="76"/>
      <c r="G2461" s="68"/>
      <c r="H2461" s="81"/>
      <c r="I2461" s="78"/>
      <c r="J2461" s="78"/>
      <c r="K2461" s="81"/>
      <c r="L2461" s="80"/>
      <c r="M2461" s="81"/>
    </row>
    <row r="2462">
      <c r="A2462" s="78"/>
      <c r="B2462" s="75"/>
      <c r="C2462" s="75"/>
      <c r="D2462" s="78"/>
      <c r="E2462" s="78"/>
      <c r="F2462" s="76"/>
      <c r="G2462" s="68"/>
      <c r="H2462" s="81"/>
      <c r="I2462" s="78"/>
      <c r="J2462" s="78"/>
      <c r="K2462" s="81"/>
      <c r="L2462" s="80"/>
      <c r="M2462" s="81"/>
    </row>
    <row r="2463">
      <c r="A2463" s="78"/>
      <c r="B2463" s="75"/>
      <c r="C2463" s="75"/>
      <c r="D2463" s="78"/>
      <c r="E2463" s="78"/>
      <c r="F2463" s="76"/>
      <c r="G2463" s="68"/>
      <c r="H2463" s="81"/>
      <c r="I2463" s="78"/>
      <c r="J2463" s="78"/>
      <c r="K2463" s="81"/>
      <c r="L2463" s="80"/>
      <c r="M2463" s="81"/>
    </row>
    <row r="2464">
      <c r="A2464" s="78"/>
      <c r="B2464" s="75"/>
      <c r="C2464" s="75"/>
      <c r="D2464" s="78"/>
      <c r="E2464" s="78"/>
      <c r="F2464" s="76"/>
      <c r="G2464" s="68"/>
      <c r="H2464" s="81"/>
      <c r="I2464" s="78"/>
      <c r="J2464" s="250"/>
      <c r="K2464" s="81"/>
      <c r="L2464" s="80"/>
      <c r="M2464" s="81"/>
    </row>
  </sheetData>
  <customSheetViews>
    <customSheetView guid="{8D2FD79C-326F-48CC-A01E-98CA59423771}" filter="1" showAutoFilter="1">
      <autoFilter ref="$A$1:$M$1639"/>
    </customSheetView>
    <customSheetView guid="{52A472C3-B53C-4D98-B8DE-BB1368170433}" filter="1" showAutoFilter="1">
      <autoFilter ref="$A$1:$M$1639"/>
    </customSheetView>
    <customSheetView guid="{5A38A56B-26F9-4374-A21C-9CE431399FE2}" filter="1" showAutoFilter="1">
      <autoFilter ref="$A$1:$M$1617"/>
    </customSheetView>
    <customSheetView guid="{8A2988DE-95E3-4072-9556-455BCBE37C73}" filter="1" showAutoFilter="1">
      <autoFilter ref="$A$1:$N$2223">
        <sortState ref="A1:N2223">
          <sortCondition ref="H1:H2223"/>
        </sortState>
      </autoFilter>
    </customSheetView>
    <customSheetView guid="{C1148C2A-1896-49F2-9F52-F1E8F4D5F71B}" filter="1" showAutoFilter="1">
      <autoFilter ref="$A$1:$M$1639"/>
    </customSheetView>
    <customSheetView guid="{C3E74710-A46B-436D-9E1D-74205382425D}" filter="1" showAutoFilter="1">
      <autoFilter ref="$A$1:$M$1639"/>
    </customSheetView>
  </customSheetViews>
  <conditionalFormatting sqref="E2:E2464 A305 A710 A848">
    <cfRule type="expression" dxfId="12" priority="1">
      <formula>COUNTIF(E:E,E2)&gt;1</formula>
    </cfRule>
  </conditionalFormatting>
  <dataValidations>
    <dataValidation type="list" allowBlank="1" showErrorMessage="1" sqref="B2:B2464">
      <formula1>"CATERPILLAR,DAF,IVECO,FORD,JAC,KOMATSU,MAN,MERCEDES BENZ,NANJING,SANY,SCANIA,VOLKSWAGEN,VOLVO"</formula1>
    </dataValidation>
    <dataValidation type="list" allowBlank="1" showErrorMessage="1" sqref="I2:I2464">
      <formula1>"ATIVO,ATIVO SEM VEÍCULO,INATIVO"</formula1>
    </dataValidation>
    <dataValidation type="list" allowBlank="1" showErrorMessage="1" sqref="F2:F531 F533:F664 F670:F1836 F1838 F1841:F1855 F1858 F1873 F1880 F1886 F1888 F1891 F1895 F1897 F1899:F1901 F1903:F1980 F1982:F2011 F2013:F2464">
      <formula1>"ESEYE,ARQIA"</formula1>
    </dataValidation>
    <dataValidation type="list" allowBlank="1" showErrorMessage="1" sqref="G2:G1875 G1877:G2464">
      <formula1>Clientes!$A$2:$A$101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2.0"/>
    <col customWidth="1" min="3" max="3" width="16.43"/>
    <col customWidth="1" min="4" max="4" width="18.0"/>
    <col customWidth="1" min="5" max="5" width="55.0"/>
    <col customWidth="1" min="6" max="6" width="40.0"/>
    <col customWidth="1" min="7" max="7" width="15.0"/>
    <col customWidth="1" min="8" max="8" width="1.86"/>
  </cols>
  <sheetData>
    <row r="1" ht="33.75" customHeight="1">
      <c r="A1" s="10" t="s">
        <v>748</v>
      </c>
      <c r="B1" s="10" t="s">
        <v>7</v>
      </c>
      <c r="C1" s="10" t="s">
        <v>750</v>
      </c>
      <c r="D1" s="10" t="s">
        <v>751</v>
      </c>
      <c r="E1" s="10" t="s">
        <v>305</v>
      </c>
      <c r="F1" s="10" t="s">
        <v>752</v>
      </c>
      <c r="G1" s="10" t="s">
        <v>753</v>
      </c>
    </row>
    <row r="2" ht="27.75" customHeight="1">
      <c r="A2" s="36">
        <v>45981.0</v>
      </c>
      <c r="B2" s="106" t="s">
        <v>230</v>
      </c>
      <c r="C2" s="27" t="s">
        <v>81</v>
      </c>
      <c r="D2" s="27" t="s">
        <v>47</v>
      </c>
      <c r="E2" s="27" t="s">
        <v>766</v>
      </c>
      <c r="F2" s="38"/>
      <c r="G2" s="38"/>
    </row>
    <row r="3" ht="27.75" customHeight="1">
      <c r="A3" s="36">
        <v>46029.0</v>
      </c>
      <c r="B3" s="106" t="s">
        <v>271</v>
      </c>
      <c r="C3" s="27" t="s">
        <v>81</v>
      </c>
      <c r="D3" s="27" t="s">
        <v>180</v>
      </c>
      <c r="E3" s="27" t="s">
        <v>778</v>
      </c>
      <c r="F3" s="38"/>
      <c r="G3" s="38"/>
    </row>
    <row r="4" ht="27.75" customHeight="1">
      <c r="A4" s="36">
        <v>46031.0</v>
      </c>
      <c r="B4" s="106" t="s">
        <v>498</v>
      </c>
      <c r="C4" s="27" t="s">
        <v>779</v>
      </c>
      <c r="D4" s="27" t="s">
        <v>180</v>
      </c>
      <c r="E4" s="27" t="s">
        <v>780</v>
      </c>
      <c r="F4" s="38"/>
      <c r="G4" s="38"/>
    </row>
    <row r="5" ht="27.75" customHeight="1">
      <c r="A5" s="36">
        <v>46031.0</v>
      </c>
      <c r="B5" s="106" t="s">
        <v>230</v>
      </c>
      <c r="C5" s="27" t="s">
        <v>779</v>
      </c>
      <c r="D5" s="27" t="s">
        <v>180</v>
      </c>
      <c r="E5" s="27" t="s">
        <v>783</v>
      </c>
      <c r="F5" s="38"/>
      <c r="G5" s="38"/>
    </row>
    <row r="6" ht="27.75" customHeight="1">
      <c r="A6" s="36">
        <v>46036.0</v>
      </c>
      <c r="B6" s="106" t="s">
        <v>642</v>
      </c>
      <c r="C6" s="27" t="s">
        <v>779</v>
      </c>
      <c r="D6" s="27" t="s">
        <v>180</v>
      </c>
      <c r="E6" s="27" t="s">
        <v>780</v>
      </c>
      <c r="F6" s="38"/>
      <c r="G6" s="38"/>
    </row>
    <row r="7" ht="27.75" customHeight="1">
      <c r="A7" s="36">
        <v>46036.0</v>
      </c>
      <c r="B7" s="106" t="s">
        <v>404</v>
      </c>
      <c r="C7" s="27" t="s">
        <v>779</v>
      </c>
      <c r="D7" s="27" t="s">
        <v>180</v>
      </c>
      <c r="E7" s="27" t="s">
        <v>783</v>
      </c>
      <c r="F7" s="38"/>
      <c r="G7" s="38"/>
    </row>
    <row r="8" ht="27.75" customHeight="1">
      <c r="A8" s="36">
        <v>46037.0</v>
      </c>
      <c r="B8" s="106" t="s">
        <v>728</v>
      </c>
      <c r="C8" s="27" t="s">
        <v>779</v>
      </c>
      <c r="D8" s="27" t="s">
        <v>180</v>
      </c>
      <c r="E8" s="27" t="s">
        <v>788</v>
      </c>
      <c r="F8" s="38"/>
      <c r="G8" s="38"/>
    </row>
    <row r="9" ht="27.75" customHeight="1">
      <c r="A9" s="36">
        <v>46038.0</v>
      </c>
      <c r="B9" s="106" t="s">
        <v>642</v>
      </c>
      <c r="C9" s="27" t="s">
        <v>81</v>
      </c>
      <c r="D9" s="27" t="s">
        <v>47</v>
      </c>
      <c r="E9" s="27" t="s">
        <v>789</v>
      </c>
      <c r="F9" s="38"/>
      <c r="G9" s="38"/>
    </row>
    <row r="10" ht="27.75" customHeight="1">
      <c r="A10" s="36">
        <v>46045.0</v>
      </c>
      <c r="B10" s="106" t="s">
        <v>362</v>
      </c>
      <c r="C10" s="27" t="s">
        <v>81</v>
      </c>
      <c r="D10" s="27" t="s">
        <v>47</v>
      </c>
      <c r="E10" s="27" t="s">
        <v>791</v>
      </c>
      <c r="F10" s="38"/>
      <c r="G10" s="38"/>
    </row>
    <row r="11" ht="27.75" customHeight="1">
      <c r="A11" s="36">
        <v>46051.0</v>
      </c>
      <c r="B11" s="106" t="s">
        <v>362</v>
      </c>
      <c r="C11" s="27" t="s">
        <v>81</v>
      </c>
      <c r="D11" s="27" t="s">
        <v>47</v>
      </c>
      <c r="E11" s="27" t="s">
        <v>794</v>
      </c>
      <c r="F11" s="38"/>
      <c r="G11" s="38"/>
    </row>
    <row r="12" ht="27.75" customHeight="1">
      <c r="A12" s="36">
        <v>46056.0</v>
      </c>
      <c r="B12" s="106" t="s">
        <v>279</v>
      </c>
      <c r="C12" s="27" t="s">
        <v>81</v>
      </c>
      <c r="D12" s="27" t="s">
        <v>797</v>
      </c>
      <c r="E12" s="27" t="s">
        <v>799</v>
      </c>
      <c r="F12" s="38"/>
      <c r="G12" s="38"/>
    </row>
    <row r="13" ht="27.75" customHeight="1">
      <c r="A13" s="36">
        <v>46057.0</v>
      </c>
      <c r="B13" s="106" t="s">
        <v>642</v>
      </c>
      <c r="C13" s="27" t="s">
        <v>81</v>
      </c>
      <c r="D13" s="27" t="s">
        <v>47</v>
      </c>
      <c r="E13" s="27" t="s">
        <v>799</v>
      </c>
      <c r="F13" s="38"/>
      <c r="G13" s="38"/>
    </row>
    <row r="14" ht="27.75" customHeight="1">
      <c r="A14" s="36">
        <v>46058.0</v>
      </c>
      <c r="B14" s="106" t="s">
        <v>642</v>
      </c>
      <c r="C14" s="27" t="s">
        <v>81</v>
      </c>
      <c r="D14" s="27" t="s">
        <v>47</v>
      </c>
      <c r="E14" s="27" t="s">
        <v>799</v>
      </c>
      <c r="F14" s="38"/>
      <c r="G14" s="38"/>
    </row>
    <row r="15" ht="27.75" customHeight="1">
      <c r="A15" s="36">
        <v>46059.0</v>
      </c>
      <c r="B15" s="106" t="s">
        <v>378</v>
      </c>
      <c r="C15" s="27" t="s">
        <v>81</v>
      </c>
      <c r="D15" s="27" t="s">
        <v>47</v>
      </c>
      <c r="E15" s="27" t="s">
        <v>799</v>
      </c>
      <c r="F15" s="38"/>
      <c r="G15" s="38"/>
    </row>
    <row r="16" ht="27.75" customHeight="1">
      <c r="A16" s="36">
        <v>46062.0</v>
      </c>
      <c r="B16" s="106" t="s">
        <v>328</v>
      </c>
      <c r="C16" s="27" t="s">
        <v>81</v>
      </c>
      <c r="D16" s="27" t="s">
        <v>47</v>
      </c>
      <c r="E16" s="27" t="s">
        <v>799</v>
      </c>
      <c r="F16" s="38"/>
      <c r="G16" s="38"/>
    </row>
    <row r="17" ht="27.75" customHeight="1">
      <c r="A17" s="36">
        <v>46062.0</v>
      </c>
      <c r="B17" s="106" t="s">
        <v>425</v>
      </c>
      <c r="C17" s="27" t="s">
        <v>81</v>
      </c>
      <c r="D17" s="27" t="s">
        <v>47</v>
      </c>
      <c r="E17" s="27" t="s">
        <v>799</v>
      </c>
      <c r="F17" s="38"/>
      <c r="G17" s="38"/>
    </row>
    <row r="18" ht="27.75" customHeight="1">
      <c r="A18" s="36">
        <v>46063.0</v>
      </c>
      <c r="B18" s="106" t="s">
        <v>425</v>
      </c>
      <c r="C18" s="27" t="s">
        <v>81</v>
      </c>
      <c r="D18" s="27" t="s">
        <v>47</v>
      </c>
      <c r="E18" s="27" t="s">
        <v>799</v>
      </c>
      <c r="F18" s="38"/>
      <c r="G18" s="38"/>
    </row>
    <row r="19" ht="27.75" customHeight="1">
      <c r="A19" s="36">
        <v>46064.0</v>
      </c>
      <c r="B19" s="106" t="s">
        <v>425</v>
      </c>
      <c r="C19" s="27" t="s">
        <v>81</v>
      </c>
      <c r="D19" s="27" t="s">
        <v>47</v>
      </c>
      <c r="E19" s="27" t="s">
        <v>799</v>
      </c>
      <c r="F19" s="38"/>
      <c r="G19" s="38"/>
    </row>
    <row r="20" ht="27.75" customHeight="1">
      <c r="A20" s="36">
        <v>46064.0</v>
      </c>
      <c r="B20" s="106" t="s">
        <v>642</v>
      </c>
      <c r="C20" s="27" t="s">
        <v>81</v>
      </c>
      <c r="D20" s="27" t="s">
        <v>47</v>
      </c>
      <c r="E20" s="27" t="s">
        <v>799</v>
      </c>
      <c r="F20" s="38"/>
      <c r="G20" s="38"/>
    </row>
    <row r="21" ht="27.75" customHeight="1">
      <c r="A21" s="36">
        <v>46065.0</v>
      </c>
      <c r="B21" s="106" t="s">
        <v>328</v>
      </c>
      <c r="C21" s="27" t="s">
        <v>81</v>
      </c>
      <c r="D21" s="27" t="s">
        <v>47</v>
      </c>
      <c r="E21" s="27" t="s">
        <v>799</v>
      </c>
      <c r="F21" s="38"/>
      <c r="G21" s="38"/>
    </row>
    <row r="22" ht="27.75" customHeight="1">
      <c r="A22" s="36">
        <v>46066.0</v>
      </c>
      <c r="B22" s="106" t="s">
        <v>642</v>
      </c>
      <c r="C22" s="27" t="s">
        <v>81</v>
      </c>
      <c r="D22" s="27" t="s">
        <v>47</v>
      </c>
      <c r="E22" s="27" t="s">
        <v>799</v>
      </c>
      <c r="F22" s="38"/>
      <c r="G22" s="38"/>
    </row>
    <row r="23" ht="27.75" customHeight="1">
      <c r="A23" s="36">
        <v>46078.0</v>
      </c>
      <c r="B23" s="106" t="s">
        <v>271</v>
      </c>
      <c r="C23" s="27" t="s">
        <v>81</v>
      </c>
      <c r="D23" s="27" t="s">
        <v>47</v>
      </c>
      <c r="E23" s="27" t="s">
        <v>816</v>
      </c>
      <c r="F23" s="38"/>
      <c r="G23" s="38"/>
    </row>
    <row r="24" ht="27.75" customHeight="1">
      <c r="A24" s="36">
        <v>46079.0</v>
      </c>
      <c r="B24" s="106" t="s">
        <v>271</v>
      </c>
      <c r="C24" s="27" t="s">
        <v>81</v>
      </c>
      <c r="D24" s="27" t="s">
        <v>47</v>
      </c>
      <c r="E24" s="27" t="s">
        <v>816</v>
      </c>
      <c r="F24" s="38"/>
      <c r="G24" s="38"/>
    </row>
    <row r="25" ht="27.75" customHeight="1">
      <c r="A25" s="36">
        <v>46080.0</v>
      </c>
      <c r="B25" s="106" t="s">
        <v>271</v>
      </c>
      <c r="C25" s="27" t="s">
        <v>81</v>
      </c>
      <c r="D25" s="27" t="s">
        <v>47</v>
      </c>
      <c r="E25" s="27" t="s">
        <v>816</v>
      </c>
      <c r="F25" s="38"/>
      <c r="G25" s="38"/>
    </row>
    <row r="26" ht="27.75" customHeight="1">
      <c r="A26" s="36">
        <v>46084.0</v>
      </c>
      <c r="B26" s="106" t="s">
        <v>819</v>
      </c>
      <c r="C26" s="27" t="s">
        <v>81</v>
      </c>
      <c r="D26" s="27" t="s">
        <v>47</v>
      </c>
      <c r="E26" s="27" t="s">
        <v>799</v>
      </c>
      <c r="F26" s="38"/>
      <c r="G26" s="38"/>
    </row>
    <row r="27" ht="27.75" customHeight="1">
      <c r="A27" s="36">
        <v>46085.0</v>
      </c>
      <c r="B27" s="106" t="s">
        <v>819</v>
      </c>
      <c r="C27" s="27" t="s">
        <v>81</v>
      </c>
      <c r="D27" s="27" t="s">
        <v>47</v>
      </c>
      <c r="E27" s="27" t="s">
        <v>799</v>
      </c>
      <c r="F27" s="38"/>
      <c r="G27" s="38"/>
    </row>
    <row r="28" ht="27.75" customHeight="1">
      <c r="A28" s="36">
        <v>46086.0</v>
      </c>
      <c r="B28" s="106" t="s">
        <v>819</v>
      </c>
      <c r="C28" s="27" t="s">
        <v>81</v>
      </c>
      <c r="D28" s="27" t="s">
        <v>47</v>
      </c>
      <c r="E28" s="27" t="s">
        <v>799</v>
      </c>
      <c r="F28" s="38"/>
      <c r="G28" s="38"/>
    </row>
    <row r="29" ht="27.75" customHeight="1">
      <c r="A29" s="36">
        <v>46087.0</v>
      </c>
      <c r="B29" s="106" t="s">
        <v>621</v>
      </c>
      <c r="C29" s="27" t="s">
        <v>81</v>
      </c>
      <c r="D29" s="27" t="s">
        <v>797</v>
      </c>
      <c r="E29" s="27" t="s">
        <v>829</v>
      </c>
      <c r="F29" s="38"/>
      <c r="G29" s="38"/>
    </row>
    <row r="30" ht="27.75" customHeight="1">
      <c r="A30" s="36">
        <v>46090.0</v>
      </c>
      <c r="B30" s="106" t="s">
        <v>425</v>
      </c>
      <c r="C30" s="27" t="s">
        <v>81</v>
      </c>
      <c r="D30" s="27" t="s">
        <v>47</v>
      </c>
      <c r="E30" s="27" t="s">
        <v>799</v>
      </c>
      <c r="F30" s="38"/>
      <c r="G30" s="38"/>
    </row>
    <row r="31" ht="27.75" customHeight="1">
      <c r="A31" s="36">
        <v>46091.0</v>
      </c>
      <c r="B31" s="106" t="s">
        <v>642</v>
      </c>
      <c r="C31" s="27" t="s">
        <v>81</v>
      </c>
      <c r="D31" s="27" t="s">
        <v>47</v>
      </c>
      <c r="E31" s="27" t="s">
        <v>799</v>
      </c>
      <c r="F31" s="38"/>
      <c r="G31" s="38"/>
    </row>
    <row r="32" ht="27.75" customHeight="1">
      <c r="A32" s="36">
        <v>46091.0</v>
      </c>
      <c r="B32" s="106" t="s">
        <v>425</v>
      </c>
      <c r="C32" s="27" t="s">
        <v>81</v>
      </c>
      <c r="D32" s="27" t="s">
        <v>47</v>
      </c>
      <c r="E32" s="27" t="s">
        <v>799</v>
      </c>
      <c r="F32" s="38"/>
      <c r="G32" s="38"/>
    </row>
    <row r="33" ht="27.75" customHeight="1">
      <c r="A33" s="36">
        <v>46092.0</v>
      </c>
      <c r="B33" s="106" t="s">
        <v>425</v>
      </c>
      <c r="C33" s="27" t="s">
        <v>81</v>
      </c>
      <c r="D33" s="27" t="s">
        <v>47</v>
      </c>
      <c r="E33" s="27" t="s">
        <v>799</v>
      </c>
      <c r="F33" s="38"/>
      <c r="G33" s="38"/>
    </row>
    <row r="34" ht="27.75" customHeight="1">
      <c r="A34" s="36">
        <v>46093.0</v>
      </c>
      <c r="B34" s="106" t="s">
        <v>819</v>
      </c>
      <c r="C34" s="27" t="s">
        <v>81</v>
      </c>
      <c r="D34" s="27" t="s">
        <v>47</v>
      </c>
      <c r="E34" s="27" t="s">
        <v>799</v>
      </c>
      <c r="F34" s="38"/>
      <c r="G34" s="38"/>
    </row>
    <row r="35" ht="27.75" customHeight="1">
      <c r="A35" s="36">
        <v>46093.0</v>
      </c>
      <c r="B35" s="106" t="s">
        <v>328</v>
      </c>
      <c r="C35" s="27" t="s">
        <v>81</v>
      </c>
      <c r="D35" s="27" t="s">
        <v>47</v>
      </c>
      <c r="E35" s="27" t="s">
        <v>799</v>
      </c>
      <c r="F35" s="38"/>
      <c r="G35" s="38"/>
    </row>
    <row r="36" ht="27.75" customHeight="1">
      <c r="A36" s="36">
        <v>46094.0</v>
      </c>
      <c r="B36" s="106" t="s">
        <v>819</v>
      </c>
      <c r="C36" s="27" t="s">
        <v>81</v>
      </c>
      <c r="D36" s="27" t="s">
        <v>47</v>
      </c>
      <c r="E36" s="27" t="s">
        <v>799</v>
      </c>
      <c r="F36" s="38"/>
      <c r="G36" s="38"/>
    </row>
    <row r="37" ht="27.75" customHeight="1">
      <c r="A37" s="36">
        <v>46097.0</v>
      </c>
      <c r="B37" s="106" t="s">
        <v>621</v>
      </c>
      <c r="C37" s="27" t="s">
        <v>81</v>
      </c>
      <c r="D37" s="27" t="s">
        <v>47</v>
      </c>
      <c r="E37" s="27" t="s">
        <v>799</v>
      </c>
      <c r="F37" s="38"/>
      <c r="G37" s="38"/>
    </row>
    <row r="38" ht="27.75" customHeight="1">
      <c r="A38" s="36">
        <v>46098.0</v>
      </c>
      <c r="B38" s="106" t="s">
        <v>621</v>
      </c>
      <c r="C38" s="27" t="s">
        <v>81</v>
      </c>
      <c r="D38" s="27" t="s">
        <v>47</v>
      </c>
      <c r="E38" s="27" t="s">
        <v>799</v>
      </c>
      <c r="F38" s="38"/>
      <c r="G38" s="38"/>
    </row>
    <row r="39" ht="27.75" customHeight="1">
      <c r="A39" s="36">
        <v>46098.0</v>
      </c>
      <c r="B39" s="106" t="s">
        <v>328</v>
      </c>
      <c r="C39" s="27" t="s">
        <v>81</v>
      </c>
      <c r="D39" s="27" t="s">
        <v>47</v>
      </c>
      <c r="E39" s="27" t="s">
        <v>845</v>
      </c>
      <c r="F39" s="38"/>
      <c r="G39" s="38"/>
    </row>
    <row r="40" ht="27.75" customHeight="1">
      <c r="A40" s="36">
        <v>46104.0</v>
      </c>
      <c r="B40" s="106" t="s">
        <v>328</v>
      </c>
      <c r="C40" s="27" t="s">
        <v>81</v>
      </c>
      <c r="D40" s="27" t="s">
        <v>47</v>
      </c>
      <c r="E40" s="27" t="s">
        <v>845</v>
      </c>
      <c r="F40" s="38"/>
      <c r="G40" s="38"/>
    </row>
    <row r="41" ht="27.75" customHeight="1">
      <c r="A41" s="36">
        <v>46105.0</v>
      </c>
      <c r="B41" s="106" t="s">
        <v>328</v>
      </c>
      <c r="C41" s="27" t="s">
        <v>81</v>
      </c>
      <c r="D41" s="27" t="s">
        <v>47</v>
      </c>
      <c r="E41" s="27" t="s">
        <v>845</v>
      </c>
      <c r="F41" s="38"/>
      <c r="G41" s="38"/>
    </row>
    <row r="42" ht="27.75" customHeight="1">
      <c r="A42" s="36">
        <v>46106.0</v>
      </c>
      <c r="B42" s="106" t="s">
        <v>819</v>
      </c>
      <c r="C42" s="27" t="s">
        <v>81</v>
      </c>
      <c r="D42" s="27" t="s">
        <v>47</v>
      </c>
      <c r="E42" s="27" t="s">
        <v>799</v>
      </c>
      <c r="F42" s="38"/>
      <c r="G42" s="38"/>
    </row>
    <row r="43" ht="27.75" customHeight="1">
      <c r="A43" s="36">
        <v>46107.0</v>
      </c>
      <c r="B43" s="106" t="s">
        <v>328</v>
      </c>
      <c r="C43" s="27" t="s">
        <v>81</v>
      </c>
      <c r="D43" s="27" t="s">
        <v>47</v>
      </c>
      <c r="E43" s="27" t="s">
        <v>845</v>
      </c>
      <c r="F43" s="38"/>
      <c r="G43" s="38"/>
    </row>
    <row r="44" ht="27.75" customHeight="1">
      <c r="A44" s="36">
        <v>46108.0</v>
      </c>
      <c r="B44" s="106" t="s">
        <v>328</v>
      </c>
      <c r="C44" s="27" t="s">
        <v>81</v>
      </c>
      <c r="D44" s="27" t="s">
        <v>47</v>
      </c>
      <c r="E44" s="27" t="s">
        <v>845</v>
      </c>
      <c r="F44" s="38"/>
      <c r="G44" s="38"/>
    </row>
    <row r="45" ht="27.75" customHeight="1">
      <c r="A45" s="36">
        <v>46111.0</v>
      </c>
      <c r="B45" s="106" t="s">
        <v>328</v>
      </c>
      <c r="C45" s="27" t="s">
        <v>81</v>
      </c>
      <c r="D45" s="27" t="s">
        <v>47</v>
      </c>
      <c r="E45" s="27" t="s">
        <v>845</v>
      </c>
      <c r="F45" s="38"/>
      <c r="G45" s="38"/>
    </row>
    <row r="46" ht="27.75" customHeight="1">
      <c r="A46" s="36">
        <v>46114.0</v>
      </c>
      <c r="B46" s="106" t="s">
        <v>279</v>
      </c>
      <c r="C46" s="27" t="s">
        <v>779</v>
      </c>
      <c r="D46" s="27" t="s">
        <v>188</v>
      </c>
      <c r="E46" s="27" t="s">
        <v>853</v>
      </c>
      <c r="F46" s="38"/>
      <c r="G46" s="38"/>
    </row>
    <row r="47" ht="27.75" customHeight="1">
      <c r="A47" s="36">
        <v>46114.0</v>
      </c>
      <c r="B47" s="106" t="s">
        <v>328</v>
      </c>
      <c r="C47" s="27" t="s">
        <v>81</v>
      </c>
      <c r="D47" s="27" t="s">
        <v>47</v>
      </c>
      <c r="E47" s="27" t="s">
        <v>799</v>
      </c>
      <c r="F47" s="38"/>
      <c r="G47" s="38"/>
    </row>
    <row r="48" ht="27.75" customHeight="1">
      <c r="A48" s="36">
        <v>46122.0</v>
      </c>
      <c r="B48" s="106" t="s">
        <v>538</v>
      </c>
      <c r="C48" s="27" t="s">
        <v>81</v>
      </c>
      <c r="D48" s="27" t="s">
        <v>797</v>
      </c>
      <c r="E48" s="27" t="s">
        <v>829</v>
      </c>
      <c r="F48" s="38"/>
      <c r="G48" s="38"/>
    </row>
    <row r="49" ht="27.75" customHeight="1">
      <c r="A49" s="36">
        <v>46134.0</v>
      </c>
      <c r="B49" s="106" t="s">
        <v>328</v>
      </c>
      <c r="C49" s="27" t="s">
        <v>81</v>
      </c>
      <c r="D49" s="27" t="s">
        <v>47</v>
      </c>
      <c r="E49" s="27" t="s">
        <v>799</v>
      </c>
      <c r="F49" s="38"/>
      <c r="G49" s="38"/>
    </row>
    <row r="50" ht="27.75" customHeight="1">
      <c r="A50" s="36">
        <v>46136.0</v>
      </c>
      <c r="B50" s="106" t="s">
        <v>328</v>
      </c>
      <c r="C50" s="27" t="s">
        <v>81</v>
      </c>
      <c r="D50" s="27" t="s">
        <v>47</v>
      </c>
      <c r="E50" s="27" t="s">
        <v>799</v>
      </c>
      <c r="F50" s="38"/>
      <c r="G50" s="38"/>
    </row>
    <row r="51" ht="27.75" customHeight="1">
      <c r="A51" s="36">
        <v>46148.0</v>
      </c>
      <c r="B51" s="106" t="s">
        <v>715</v>
      </c>
      <c r="C51" s="27" t="s">
        <v>81</v>
      </c>
      <c r="D51" s="27" t="s">
        <v>47</v>
      </c>
      <c r="E51" s="27" t="s">
        <v>799</v>
      </c>
      <c r="F51" s="38"/>
      <c r="G51" s="38"/>
    </row>
    <row r="52" ht="27.75" customHeight="1">
      <c r="A52" s="36">
        <v>46149.0</v>
      </c>
      <c r="B52" s="106" t="s">
        <v>498</v>
      </c>
      <c r="C52" s="27" t="s">
        <v>81</v>
      </c>
      <c r="D52" s="27" t="s">
        <v>178</v>
      </c>
      <c r="E52" s="27" t="s">
        <v>862</v>
      </c>
      <c r="F52" s="38"/>
      <c r="G52" s="38"/>
    </row>
    <row r="53" ht="27.75" customHeight="1">
      <c r="A53" s="36">
        <v>46149.0</v>
      </c>
      <c r="B53" s="106" t="s">
        <v>715</v>
      </c>
      <c r="C53" s="27" t="s">
        <v>81</v>
      </c>
      <c r="D53" s="27" t="s">
        <v>47</v>
      </c>
      <c r="E53" s="27" t="s">
        <v>799</v>
      </c>
      <c r="F53" s="38"/>
      <c r="G53" s="38"/>
    </row>
    <row r="54" ht="27.75" customHeight="1">
      <c r="A54" s="36">
        <v>46149.0</v>
      </c>
      <c r="B54" s="106" t="s">
        <v>50</v>
      </c>
      <c r="C54" s="27" t="s">
        <v>81</v>
      </c>
      <c r="D54" s="27" t="s">
        <v>178</v>
      </c>
      <c r="E54" s="27" t="s">
        <v>864</v>
      </c>
      <c r="F54" s="38"/>
      <c r="G54" s="38"/>
    </row>
    <row r="55" ht="27.75" customHeight="1">
      <c r="A55" s="36">
        <v>46150.0</v>
      </c>
      <c r="B55" s="106" t="s">
        <v>715</v>
      </c>
      <c r="C55" s="27" t="s">
        <v>81</v>
      </c>
      <c r="D55" s="27" t="s">
        <v>47</v>
      </c>
      <c r="E55" s="27" t="s">
        <v>799</v>
      </c>
      <c r="F55" s="38"/>
      <c r="G55" s="38"/>
    </row>
    <row r="56" ht="27.75" customHeight="1">
      <c r="A56" s="36">
        <v>46155.0</v>
      </c>
      <c r="B56" s="106" t="s">
        <v>715</v>
      </c>
      <c r="C56" s="27" t="s">
        <v>81</v>
      </c>
      <c r="D56" s="27" t="s">
        <v>47</v>
      </c>
      <c r="E56" s="27" t="s">
        <v>799</v>
      </c>
      <c r="F56" s="38"/>
      <c r="G56" s="38"/>
    </row>
    <row r="57" ht="27.75" customHeight="1">
      <c r="A57" s="36">
        <v>46156.0</v>
      </c>
      <c r="B57" s="106" t="s">
        <v>715</v>
      </c>
      <c r="C57" s="27" t="s">
        <v>81</v>
      </c>
      <c r="D57" s="27" t="s">
        <v>47</v>
      </c>
      <c r="E57" s="27" t="s">
        <v>799</v>
      </c>
      <c r="F57" s="38"/>
      <c r="G57" s="38"/>
    </row>
    <row r="58" ht="27.75" customHeight="1">
      <c r="A58" s="36">
        <v>46157.0</v>
      </c>
      <c r="B58" s="106" t="s">
        <v>538</v>
      </c>
      <c r="C58" s="27" t="s">
        <v>81</v>
      </c>
      <c r="D58" s="27" t="s">
        <v>797</v>
      </c>
      <c r="E58" s="27" t="s">
        <v>799</v>
      </c>
      <c r="F58" s="38"/>
      <c r="G58" s="38"/>
    </row>
    <row r="59" ht="27.75" customHeight="1">
      <c r="A59" s="36">
        <v>46157.0</v>
      </c>
      <c r="B59" s="106" t="s">
        <v>836</v>
      </c>
      <c r="C59" s="27" t="s">
        <v>81</v>
      </c>
      <c r="D59" s="27" t="s">
        <v>180</v>
      </c>
      <c r="E59" s="27" t="s">
        <v>869</v>
      </c>
      <c r="F59" s="38"/>
      <c r="G59" s="38"/>
    </row>
    <row r="60" ht="27.75" customHeight="1">
      <c r="A60" s="36">
        <v>46160.0</v>
      </c>
      <c r="B60" s="106" t="s">
        <v>271</v>
      </c>
      <c r="C60" s="27" t="s">
        <v>571</v>
      </c>
      <c r="D60" s="27" t="s">
        <v>180</v>
      </c>
      <c r="E60" s="27" t="s">
        <v>872</v>
      </c>
      <c r="F60" s="38"/>
      <c r="G60" s="38"/>
    </row>
    <row r="61" ht="27.75" customHeight="1">
      <c r="A61" s="36">
        <v>46161.0</v>
      </c>
      <c r="B61" s="106" t="s">
        <v>664</v>
      </c>
      <c r="C61" s="27" t="s">
        <v>81</v>
      </c>
      <c r="D61" s="27" t="s">
        <v>47</v>
      </c>
      <c r="E61" s="27" t="s">
        <v>799</v>
      </c>
      <c r="F61" s="38"/>
      <c r="G61" s="38"/>
    </row>
    <row r="62" ht="27.75" customHeight="1">
      <c r="A62" s="36">
        <v>46162.0</v>
      </c>
      <c r="B62" s="106" t="s">
        <v>754</v>
      </c>
      <c r="C62" s="27" t="s">
        <v>571</v>
      </c>
      <c r="D62" s="27" t="s">
        <v>178</v>
      </c>
      <c r="E62" s="27" t="s">
        <v>874</v>
      </c>
      <c r="F62" s="38"/>
      <c r="G62" s="38"/>
    </row>
    <row r="63" ht="27.75" customHeight="1">
      <c r="A63" s="36">
        <v>46162.0</v>
      </c>
      <c r="B63" s="106" t="s">
        <v>664</v>
      </c>
      <c r="C63" s="27" t="s">
        <v>81</v>
      </c>
      <c r="D63" s="27" t="s">
        <v>47</v>
      </c>
      <c r="E63" s="27" t="s">
        <v>799</v>
      </c>
      <c r="F63" s="38"/>
      <c r="G63" s="38"/>
    </row>
    <row r="64" ht="27.75" customHeight="1">
      <c r="A64" s="36">
        <v>46163.0</v>
      </c>
      <c r="B64" s="106" t="s">
        <v>664</v>
      </c>
      <c r="C64" s="27" t="s">
        <v>81</v>
      </c>
      <c r="D64" s="27" t="s">
        <v>47</v>
      </c>
      <c r="E64" s="27" t="s">
        <v>799</v>
      </c>
      <c r="F64" s="38"/>
      <c r="G64" s="38"/>
    </row>
    <row r="65" ht="27.75" customHeight="1">
      <c r="A65" s="36">
        <v>46163.0</v>
      </c>
      <c r="B65" s="106" t="s">
        <v>519</v>
      </c>
      <c r="C65" s="27" t="s">
        <v>571</v>
      </c>
      <c r="D65" s="27" t="s">
        <v>178</v>
      </c>
      <c r="E65" s="27" t="s">
        <v>874</v>
      </c>
      <c r="F65" s="38"/>
      <c r="G65" s="38"/>
    </row>
    <row r="66" ht="27.75" customHeight="1">
      <c r="A66" s="36">
        <v>46167.0</v>
      </c>
      <c r="B66" s="106" t="s">
        <v>271</v>
      </c>
      <c r="C66" s="27" t="s">
        <v>571</v>
      </c>
      <c r="D66" s="27" t="s">
        <v>180</v>
      </c>
      <c r="E66" s="27" t="s">
        <v>878</v>
      </c>
      <c r="F66" s="38"/>
      <c r="G66" s="38"/>
    </row>
    <row r="67" ht="27.75" customHeight="1">
      <c r="A67" s="36">
        <v>46168.0</v>
      </c>
      <c r="B67" s="106" t="s">
        <v>404</v>
      </c>
      <c r="C67" s="27" t="s">
        <v>81</v>
      </c>
      <c r="D67" s="27" t="s">
        <v>180</v>
      </c>
      <c r="E67" s="27" t="s">
        <v>880</v>
      </c>
      <c r="F67" s="38"/>
      <c r="G67" s="38"/>
    </row>
    <row r="68" ht="27.75" customHeight="1">
      <c r="A68" s="36">
        <v>46168.0</v>
      </c>
      <c r="B68" s="106" t="s">
        <v>425</v>
      </c>
      <c r="C68" s="27" t="s">
        <v>81</v>
      </c>
      <c r="D68" s="27" t="s">
        <v>180</v>
      </c>
      <c r="E68" s="27" t="s">
        <v>880</v>
      </c>
      <c r="F68" s="38"/>
      <c r="G68" s="38"/>
    </row>
    <row r="69" ht="27.75" customHeight="1">
      <c r="A69" s="36">
        <v>46169.0</v>
      </c>
      <c r="B69" s="106" t="s">
        <v>538</v>
      </c>
      <c r="C69" s="27" t="s">
        <v>81</v>
      </c>
      <c r="D69" s="27" t="s">
        <v>47</v>
      </c>
      <c r="E69" s="27" t="s">
        <v>799</v>
      </c>
      <c r="F69" s="38"/>
      <c r="G69" s="38"/>
    </row>
    <row r="70" ht="27.75" customHeight="1">
      <c r="A70" s="36">
        <v>46170.0</v>
      </c>
      <c r="B70" s="106" t="s">
        <v>538</v>
      </c>
      <c r="C70" s="27" t="s">
        <v>81</v>
      </c>
      <c r="D70" s="27" t="s">
        <v>47</v>
      </c>
      <c r="E70" s="27" t="s">
        <v>799</v>
      </c>
      <c r="F70" s="38"/>
      <c r="G70" s="38"/>
    </row>
    <row r="71" ht="27.75" customHeight="1">
      <c r="A71" s="36">
        <v>46171.0</v>
      </c>
      <c r="B71" s="106" t="s">
        <v>425</v>
      </c>
      <c r="C71" s="27" t="s">
        <v>571</v>
      </c>
      <c r="D71" s="27" t="s">
        <v>180</v>
      </c>
      <c r="E71" s="27" t="s">
        <v>887</v>
      </c>
      <c r="F71" s="38"/>
      <c r="G71" s="38"/>
    </row>
    <row r="72" ht="27.75" customHeight="1">
      <c r="A72" s="36">
        <v>46172.0</v>
      </c>
      <c r="B72" s="106" t="s">
        <v>836</v>
      </c>
      <c r="C72" s="27" t="s">
        <v>586</v>
      </c>
      <c r="D72" s="27" t="s">
        <v>188</v>
      </c>
      <c r="E72" s="27" t="s">
        <v>888</v>
      </c>
      <c r="F72" s="38"/>
      <c r="G72" s="38"/>
    </row>
    <row r="73" ht="27.75" customHeight="1">
      <c r="A73" s="36">
        <v>46174.0</v>
      </c>
      <c r="B73" s="106" t="s">
        <v>387</v>
      </c>
      <c r="C73" s="27" t="s">
        <v>571</v>
      </c>
      <c r="D73" s="27" t="s">
        <v>188</v>
      </c>
      <c r="E73" s="27" t="s">
        <v>890</v>
      </c>
      <c r="F73" s="38"/>
      <c r="G73" s="38"/>
    </row>
    <row r="74" ht="27.75" customHeight="1">
      <c r="A74" s="36">
        <v>46184.0</v>
      </c>
      <c r="B74" s="106" t="s">
        <v>519</v>
      </c>
      <c r="C74" s="27" t="s">
        <v>81</v>
      </c>
      <c r="D74" s="27" t="s">
        <v>180</v>
      </c>
      <c r="E74" s="27" t="s">
        <v>892</v>
      </c>
      <c r="F74" s="38"/>
      <c r="G74" s="38"/>
    </row>
    <row r="75" ht="27.75" customHeight="1">
      <c r="A75" s="36">
        <v>46184.0</v>
      </c>
      <c r="B75" s="106" t="s">
        <v>754</v>
      </c>
      <c r="C75" s="27" t="s">
        <v>81</v>
      </c>
      <c r="D75" s="27" t="s">
        <v>180</v>
      </c>
      <c r="E75" s="27" t="s">
        <v>892</v>
      </c>
      <c r="F75" s="38"/>
      <c r="G75" s="38"/>
    </row>
    <row r="76" ht="27.75" customHeight="1">
      <c r="A76" s="36">
        <v>46188.0</v>
      </c>
      <c r="B76" s="106" t="s">
        <v>230</v>
      </c>
      <c r="C76" s="27" t="s">
        <v>247</v>
      </c>
      <c r="D76" s="27" t="s">
        <v>178</v>
      </c>
      <c r="E76" s="27" t="s">
        <v>895</v>
      </c>
      <c r="F76" s="38"/>
      <c r="G76" s="38"/>
    </row>
    <row r="77" ht="27.75" customHeight="1">
      <c r="A77" s="36">
        <v>46188.0</v>
      </c>
      <c r="B77" s="106" t="s">
        <v>425</v>
      </c>
      <c r="C77" s="27" t="s">
        <v>571</v>
      </c>
      <c r="D77" s="27" t="s">
        <v>180</v>
      </c>
      <c r="E77" s="27" t="s">
        <v>887</v>
      </c>
      <c r="F77" s="38"/>
      <c r="G77" s="38"/>
    </row>
    <row r="78" ht="27.75" customHeight="1">
      <c r="A78" s="36">
        <v>46189.0</v>
      </c>
      <c r="B78" s="106" t="s">
        <v>519</v>
      </c>
      <c r="C78" s="27" t="s">
        <v>81</v>
      </c>
      <c r="D78" s="27" t="s">
        <v>47</v>
      </c>
      <c r="E78" s="27" t="s">
        <v>799</v>
      </c>
      <c r="F78" s="38"/>
      <c r="G78" s="38"/>
    </row>
    <row r="79" ht="27.75" customHeight="1">
      <c r="A79" s="36">
        <v>46190.0</v>
      </c>
      <c r="B79" s="106" t="s">
        <v>715</v>
      </c>
      <c r="C79" s="27" t="s">
        <v>81</v>
      </c>
      <c r="D79" s="27" t="s">
        <v>47</v>
      </c>
      <c r="E79" s="27" t="s">
        <v>799</v>
      </c>
      <c r="F79" s="38"/>
      <c r="G79" s="38"/>
    </row>
    <row r="80" ht="27.75" customHeight="1">
      <c r="A80" s="36">
        <v>46195.0</v>
      </c>
      <c r="B80" s="106" t="s">
        <v>245</v>
      </c>
      <c r="C80" s="27" t="s">
        <v>571</v>
      </c>
      <c r="D80" s="27" t="s">
        <v>180</v>
      </c>
      <c r="E80" s="27" t="s">
        <v>901</v>
      </c>
      <c r="F80" s="38"/>
      <c r="G80" s="38"/>
    </row>
    <row r="81" ht="27.75" customHeight="1">
      <c r="A81" s="36">
        <v>46196.0</v>
      </c>
      <c r="B81" s="106" t="s">
        <v>519</v>
      </c>
      <c r="C81" s="27" t="s">
        <v>81</v>
      </c>
      <c r="D81" s="27" t="s">
        <v>47</v>
      </c>
      <c r="E81" s="27" t="s">
        <v>799</v>
      </c>
      <c r="F81" s="38"/>
      <c r="G81" s="38"/>
    </row>
    <row r="82" ht="27.75" customHeight="1">
      <c r="A82" s="36">
        <v>46203.0</v>
      </c>
      <c r="B82" s="106" t="s">
        <v>519</v>
      </c>
      <c r="C82" s="27" t="s">
        <v>81</v>
      </c>
      <c r="D82" s="27" t="s">
        <v>47</v>
      </c>
      <c r="E82" s="27" t="s">
        <v>799</v>
      </c>
      <c r="F82" s="38"/>
      <c r="G82" s="38"/>
    </row>
    <row r="83" ht="27.75" customHeight="1">
      <c r="A83" s="36">
        <v>46206.0</v>
      </c>
      <c r="B83" s="106" t="s">
        <v>245</v>
      </c>
      <c r="C83" s="27" t="s">
        <v>571</v>
      </c>
      <c r="D83" s="27" t="s">
        <v>180</v>
      </c>
      <c r="E83" s="27" t="s">
        <v>901</v>
      </c>
      <c r="F83" s="27"/>
      <c r="G83" s="38"/>
    </row>
    <row r="84" ht="27.75" customHeight="1">
      <c r="A84" s="36">
        <v>46210.0</v>
      </c>
      <c r="B84" s="106" t="s">
        <v>653</v>
      </c>
      <c r="C84" s="27" t="s">
        <v>571</v>
      </c>
      <c r="D84" s="27" t="s">
        <v>180</v>
      </c>
      <c r="E84" s="27" t="s">
        <v>892</v>
      </c>
      <c r="F84" s="27" t="s">
        <v>906</v>
      </c>
      <c r="G84" s="38"/>
    </row>
    <row r="85" ht="27.75" customHeight="1">
      <c r="A85" s="36">
        <v>46211.0</v>
      </c>
      <c r="B85" s="106" t="s">
        <v>519</v>
      </c>
      <c r="C85" s="27" t="s">
        <v>81</v>
      </c>
      <c r="D85" s="27" t="s">
        <v>47</v>
      </c>
      <c r="E85" s="27" t="s">
        <v>799</v>
      </c>
      <c r="F85" s="38"/>
      <c r="G85" s="38"/>
    </row>
    <row r="86" ht="27.75" customHeight="1">
      <c r="A86" s="36">
        <v>46213.0</v>
      </c>
      <c r="B86" s="106" t="s">
        <v>642</v>
      </c>
      <c r="C86" s="27" t="s">
        <v>571</v>
      </c>
      <c r="D86" s="27" t="s">
        <v>180</v>
      </c>
      <c r="E86" s="27" t="s">
        <v>908</v>
      </c>
      <c r="F86" s="38"/>
      <c r="G86" s="38"/>
    </row>
    <row r="87" ht="27.75" customHeight="1">
      <c r="A87" s="36">
        <v>46216.0</v>
      </c>
      <c r="B87" s="106" t="s">
        <v>230</v>
      </c>
      <c r="C87" s="27" t="s">
        <v>247</v>
      </c>
      <c r="D87" s="27" t="s">
        <v>180</v>
      </c>
      <c r="E87" s="27" t="s">
        <v>910</v>
      </c>
      <c r="F87" s="38"/>
      <c r="G87" s="38"/>
    </row>
    <row r="88" ht="27.75" customHeight="1">
      <c r="A88" s="36">
        <v>46216.0</v>
      </c>
      <c r="B88" s="106" t="s">
        <v>387</v>
      </c>
      <c r="C88" s="27" t="s">
        <v>571</v>
      </c>
      <c r="D88" s="27" t="s">
        <v>188</v>
      </c>
      <c r="E88" s="27" t="s">
        <v>913</v>
      </c>
      <c r="F88" s="38"/>
      <c r="G88" s="38"/>
    </row>
    <row r="89" ht="27.75" customHeight="1">
      <c r="A89" s="36">
        <v>46216.0</v>
      </c>
      <c r="B89" s="106" t="s">
        <v>754</v>
      </c>
      <c r="C89" s="27" t="s">
        <v>571</v>
      </c>
      <c r="D89" s="27" t="s">
        <v>188</v>
      </c>
      <c r="E89" s="27" t="s">
        <v>913</v>
      </c>
      <c r="F89" s="38"/>
      <c r="G89" s="38"/>
    </row>
    <row r="90" ht="27.75" customHeight="1">
      <c r="A90" s="36">
        <v>46216.0</v>
      </c>
      <c r="B90" s="106" t="s">
        <v>768</v>
      </c>
      <c r="C90" s="27" t="s">
        <v>571</v>
      </c>
      <c r="D90" s="27" t="s">
        <v>188</v>
      </c>
      <c r="E90" s="27" t="s">
        <v>913</v>
      </c>
      <c r="F90" s="38"/>
      <c r="G90" s="38"/>
    </row>
    <row r="91" ht="27.75" customHeight="1">
      <c r="A91" s="36">
        <v>46216.0</v>
      </c>
      <c r="B91" s="106" t="s">
        <v>296</v>
      </c>
      <c r="C91" s="27" t="s">
        <v>571</v>
      </c>
      <c r="D91" s="27" t="s">
        <v>188</v>
      </c>
      <c r="E91" s="27" t="s">
        <v>919</v>
      </c>
      <c r="F91" s="38"/>
      <c r="G91" s="38"/>
    </row>
    <row r="92" ht="27.75" customHeight="1">
      <c r="A92" s="36">
        <v>46216.0</v>
      </c>
      <c r="B92" s="106" t="s">
        <v>819</v>
      </c>
      <c r="C92" s="27" t="s">
        <v>920</v>
      </c>
      <c r="D92" s="27" t="s">
        <v>178</v>
      </c>
      <c r="E92" s="27" t="s">
        <v>921</v>
      </c>
      <c r="F92" s="38"/>
      <c r="G92" s="38"/>
    </row>
    <row r="93" ht="27.75" customHeight="1">
      <c r="A93" s="39">
        <v>46216.0</v>
      </c>
      <c r="B93" s="106" t="s">
        <v>193</v>
      </c>
      <c r="C93" s="38" t="s">
        <v>81</v>
      </c>
      <c r="D93" s="38" t="s">
        <v>178</v>
      </c>
      <c r="E93" s="38" t="s">
        <v>924</v>
      </c>
      <c r="F93" s="38"/>
      <c r="G93" s="38"/>
    </row>
    <row r="94" ht="27.75" customHeight="1">
      <c r="A94" s="39">
        <v>46216.0</v>
      </c>
      <c r="B94" s="106" t="s">
        <v>230</v>
      </c>
      <c r="C94" s="38" t="s">
        <v>231</v>
      </c>
      <c r="D94" s="38" t="s">
        <v>178</v>
      </c>
      <c r="E94" s="38" t="s">
        <v>926</v>
      </c>
      <c r="F94" s="38"/>
      <c r="G94" s="38"/>
    </row>
    <row r="95" ht="27.75" customHeight="1">
      <c r="A95" s="39">
        <v>46216.0</v>
      </c>
      <c r="B95" s="106" t="s">
        <v>245</v>
      </c>
      <c r="C95" s="38" t="s">
        <v>247</v>
      </c>
      <c r="D95" s="38" t="s">
        <v>178</v>
      </c>
      <c r="E95" s="38" t="s">
        <v>928</v>
      </c>
      <c r="F95" s="38"/>
      <c r="G95" s="38"/>
    </row>
    <row r="96" ht="27.75" customHeight="1">
      <c r="A96" s="39">
        <v>46216.0</v>
      </c>
      <c r="B96" s="106" t="s">
        <v>271</v>
      </c>
      <c r="C96" s="27" t="s">
        <v>930</v>
      </c>
      <c r="D96" s="38" t="s">
        <v>178</v>
      </c>
      <c r="E96" s="38" t="s">
        <v>931</v>
      </c>
      <c r="F96" s="38"/>
      <c r="G96" s="38"/>
    </row>
    <row r="97" ht="27.75" customHeight="1">
      <c r="A97" s="39">
        <v>46216.0</v>
      </c>
      <c r="B97" s="106" t="s">
        <v>296</v>
      </c>
      <c r="C97" s="38" t="s">
        <v>231</v>
      </c>
      <c r="D97" s="38" t="s">
        <v>178</v>
      </c>
      <c r="E97" s="38" t="s">
        <v>933</v>
      </c>
      <c r="F97" s="38" t="s">
        <v>934</v>
      </c>
      <c r="G97" s="38"/>
    </row>
    <row r="98" ht="27.75" customHeight="1">
      <c r="A98" s="39">
        <v>46216.0</v>
      </c>
      <c r="B98" s="106" t="s">
        <v>387</v>
      </c>
      <c r="C98" s="38" t="s">
        <v>231</v>
      </c>
      <c r="D98" s="38" t="s">
        <v>178</v>
      </c>
      <c r="E98" s="38" t="s">
        <v>936</v>
      </c>
      <c r="F98" s="38"/>
      <c r="G98" s="38"/>
    </row>
    <row r="99" ht="28.5" customHeight="1">
      <c r="A99" s="39">
        <v>46216.0</v>
      </c>
      <c r="B99" s="106" t="s">
        <v>404</v>
      </c>
      <c r="C99" s="38" t="s">
        <v>81</v>
      </c>
      <c r="D99" s="38" t="s">
        <v>178</v>
      </c>
      <c r="E99" s="38" t="s">
        <v>924</v>
      </c>
      <c r="F99" s="38"/>
      <c r="G99" s="38"/>
    </row>
    <row r="100" ht="28.5" customHeight="1">
      <c r="A100" s="36">
        <v>46217.0</v>
      </c>
      <c r="B100" s="106" t="s">
        <v>425</v>
      </c>
      <c r="C100" s="27" t="s">
        <v>81</v>
      </c>
      <c r="D100" s="27" t="s">
        <v>47</v>
      </c>
      <c r="E100" s="27" t="s">
        <v>799</v>
      </c>
      <c r="F100" s="38"/>
      <c r="G100" s="38"/>
    </row>
    <row r="101" ht="28.5" customHeight="1">
      <c r="A101" s="36">
        <v>46218.0</v>
      </c>
      <c r="B101" s="106" t="s">
        <v>642</v>
      </c>
      <c r="C101" s="27" t="s">
        <v>571</v>
      </c>
      <c r="D101" s="27" t="s">
        <v>180</v>
      </c>
      <c r="E101" s="27" t="s">
        <v>942</v>
      </c>
      <c r="F101" s="38"/>
      <c r="G101" s="38"/>
    </row>
    <row r="102" ht="28.5" customHeight="1">
      <c r="A102" s="36">
        <v>46218.0</v>
      </c>
      <c r="B102" s="106" t="s">
        <v>538</v>
      </c>
      <c r="C102" s="27" t="s">
        <v>81</v>
      </c>
      <c r="D102" s="27" t="s">
        <v>47</v>
      </c>
      <c r="E102" s="27" t="s">
        <v>944</v>
      </c>
      <c r="F102" s="38"/>
      <c r="G102" s="38"/>
    </row>
    <row r="103" ht="28.5" customHeight="1">
      <c r="A103" s="36">
        <v>46219.0</v>
      </c>
      <c r="B103" s="106" t="s">
        <v>230</v>
      </c>
      <c r="C103" s="27" t="s">
        <v>247</v>
      </c>
      <c r="D103" s="27" t="s">
        <v>188</v>
      </c>
      <c r="E103" s="27" t="s">
        <v>948</v>
      </c>
      <c r="F103" s="38"/>
      <c r="G103" s="38"/>
    </row>
    <row r="104" ht="28.5" customHeight="1">
      <c r="A104" s="36">
        <v>46219.0</v>
      </c>
      <c r="B104" s="106" t="s">
        <v>819</v>
      </c>
      <c r="C104" s="27" t="s">
        <v>920</v>
      </c>
      <c r="D104" s="27" t="s">
        <v>178</v>
      </c>
      <c r="E104" s="27" t="s">
        <v>950</v>
      </c>
      <c r="F104" s="38"/>
      <c r="G104" s="38"/>
    </row>
    <row r="105" ht="28.5" customHeight="1">
      <c r="A105" s="36">
        <v>46220.0</v>
      </c>
      <c r="B105" s="106" t="s">
        <v>715</v>
      </c>
      <c r="C105" s="27" t="s">
        <v>953</v>
      </c>
      <c r="D105" s="27" t="s">
        <v>188</v>
      </c>
      <c r="E105" s="27" t="s">
        <v>954</v>
      </c>
      <c r="F105" s="38"/>
      <c r="G105" s="38"/>
    </row>
    <row r="106" ht="28.5" customHeight="1">
      <c r="A106" s="36">
        <v>46226.0</v>
      </c>
      <c r="B106" s="106" t="s">
        <v>404</v>
      </c>
      <c r="C106" s="27" t="s">
        <v>81</v>
      </c>
      <c r="D106" s="27" t="s">
        <v>178</v>
      </c>
      <c r="E106" s="27" t="s">
        <v>955</v>
      </c>
      <c r="F106" s="27" t="s">
        <v>956</v>
      </c>
      <c r="G106" s="38"/>
    </row>
    <row r="107" ht="28.5" customHeight="1">
      <c r="A107" s="36">
        <v>46230.0</v>
      </c>
      <c r="B107" s="106" t="s">
        <v>404</v>
      </c>
      <c r="C107" s="27" t="s">
        <v>81</v>
      </c>
      <c r="D107" s="27" t="s">
        <v>178</v>
      </c>
      <c r="E107" s="27" t="s">
        <v>958</v>
      </c>
      <c r="F107" s="38"/>
      <c r="G107" s="38"/>
    </row>
    <row r="108" ht="28.5" customHeight="1">
      <c r="A108" s="36">
        <v>46231.0</v>
      </c>
      <c r="B108" s="106" t="s">
        <v>519</v>
      </c>
      <c r="C108" s="27" t="s">
        <v>81</v>
      </c>
      <c r="D108" s="27" t="s">
        <v>797</v>
      </c>
      <c r="E108" s="27" t="s">
        <v>961</v>
      </c>
      <c r="F108" s="38"/>
      <c r="G108" s="38"/>
    </row>
    <row r="109" ht="28.5" customHeight="1">
      <c r="A109" s="36">
        <v>46232.0</v>
      </c>
      <c r="B109" s="106" t="s">
        <v>538</v>
      </c>
      <c r="C109" s="27" t="s">
        <v>81</v>
      </c>
      <c r="D109" s="27" t="s">
        <v>47</v>
      </c>
      <c r="E109" s="27" t="s">
        <v>963</v>
      </c>
      <c r="F109" s="38"/>
      <c r="G109" s="38"/>
    </row>
    <row r="110" ht="28.5" customHeight="1">
      <c r="A110" s="36">
        <v>46233.0</v>
      </c>
      <c r="B110" s="106" t="s">
        <v>245</v>
      </c>
      <c r="C110" s="27" t="s">
        <v>247</v>
      </c>
      <c r="D110" s="27" t="s">
        <v>178</v>
      </c>
      <c r="E110" s="27" t="s">
        <v>968</v>
      </c>
      <c r="F110" s="27" t="s">
        <v>969</v>
      </c>
      <c r="G110" s="38"/>
    </row>
    <row r="111" ht="28.5" customHeight="1">
      <c r="A111" s="36">
        <v>46233.0</v>
      </c>
      <c r="B111" s="106" t="s">
        <v>230</v>
      </c>
      <c r="C111" s="27" t="s">
        <v>247</v>
      </c>
      <c r="D111" s="27" t="s">
        <v>178</v>
      </c>
      <c r="E111" s="27" t="s">
        <v>970</v>
      </c>
      <c r="F111" s="38"/>
      <c r="G111" s="38"/>
    </row>
    <row r="112" ht="28.5" customHeight="1">
      <c r="A112" s="36">
        <v>46233.0</v>
      </c>
      <c r="B112" s="106" t="s">
        <v>634</v>
      </c>
      <c r="C112" s="27" t="s">
        <v>81</v>
      </c>
      <c r="D112" s="27" t="s">
        <v>178</v>
      </c>
      <c r="E112" s="27" t="s">
        <v>972</v>
      </c>
      <c r="F112" s="27" t="s">
        <v>973</v>
      </c>
      <c r="G112" s="38"/>
    </row>
    <row r="113" ht="28.5" customHeight="1">
      <c r="A113" s="36">
        <v>46233.0</v>
      </c>
      <c r="B113" s="106" t="s">
        <v>664</v>
      </c>
      <c r="C113" s="27" t="s">
        <v>586</v>
      </c>
      <c r="D113" s="27" t="s">
        <v>188</v>
      </c>
      <c r="E113" s="27" t="s">
        <v>977</v>
      </c>
      <c r="F113" s="27" t="s">
        <v>978</v>
      </c>
      <c r="G113" s="38"/>
    </row>
    <row r="114" ht="28.5" customHeight="1">
      <c r="A114" s="36">
        <v>46233.0</v>
      </c>
      <c r="B114" s="106" t="s">
        <v>387</v>
      </c>
      <c r="C114" s="27" t="s">
        <v>586</v>
      </c>
      <c r="D114" s="27" t="s">
        <v>188</v>
      </c>
      <c r="E114" s="27" t="s">
        <v>979</v>
      </c>
      <c r="F114" s="27" t="s">
        <v>978</v>
      </c>
      <c r="G114" s="38"/>
    </row>
    <row r="115" ht="28.5" customHeight="1">
      <c r="A115" s="36">
        <v>46233.0</v>
      </c>
      <c r="B115" s="106" t="s">
        <v>754</v>
      </c>
      <c r="C115" s="27" t="s">
        <v>586</v>
      </c>
      <c r="D115" s="27" t="s">
        <v>188</v>
      </c>
      <c r="E115" s="27" t="s">
        <v>982</v>
      </c>
      <c r="F115" s="27" t="s">
        <v>978</v>
      </c>
      <c r="G115" s="38"/>
    </row>
    <row r="116" ht="28.5" customHeight="1">
      <c r="A116" s="36">
        <v>46233.0</v>
      </c>
      <c r="B116" s="106" t="s">
        <v>768</v>
      </c>
      <c r="C116" s="27" t="s">
        <v>586</v>
      </c>
      <c r="D116" s="27" t="s">
        <v>188</v>
      </c>
      <c r="E116" s="27" t="s">
        <v>982</v>
      </c>
      <c r="F116" s="27" t="s">
        <v>978</v>
      </c>
      <c r="G116" s="38"/>
    </row>
    <row r="117" ht="28.5" customHeight="1">
      <c r="A117" s="36">
        <v>46233.0</v>
      </c>
      <c r="B117" s="106" t="s">
        <v>831</v>
      </c>
      <c r="C117" s="27" t="s">
        <v>586</v>
      </c>
      <c r="D117" s="27" t="s">
        <v>188</v>
      </c>
      <c r="E117" s="27" t="s">
        <v>986</v>
      </c>
      <c r="F117" s="27" t="s">
        <v>978</v>
      </c>
      <c r="G117" s="38"/>
    </row>
    <row r="118" ht="28.5" customHeight="1">
      <c r="A118" s="36">
        <v>46233.0</v>
      </c>
      <c r="B118" s="106" t="s">
        <v>404</v>
      </c>
      <c r="C118" s="27" t="s">
        <v>81</v>
      </c>
      <c r="D118" s="27" t="s">
        <v>178</v>
      </c>
      <c r="E118" s="27" t="s">
        <v>988</v>
      </c>
      <c r="F118" s="27" t="s">
        <v>989</v>
      </c>
      <c r="G118" s="38"/>
    </row>
    <row r="119" ht="28.5" customHeight="1">
      <c r="A119" s="36">
        <v>46233.0</v>
      </c>
      <c r="B119" s="106" t="s">
        <v>404</v>
      </c>
      <c r="C119" s="27" t="s">
        <v>81</v>
      </c>
      <c r="D119" s="27" t="s">
        <v>178</v>
      </c>
      <c r="E119" s="27" t="s">
        <v>991</v>
      </c>
      <c r="F119" s="27" t="s">
        <v>992</v>
      </c>
      <c r="G119" s="38"/>
    </row>
    <row r="120" ht="28.5" customHeight="1">
      <c r="A120" s="36">
        <v>46233.0</v>
      </c>
      <c r="B120" s="106" t="s">
        <v>819</v>
      </c>
      <c r="C120" s="27" t="s">
        <v>81</v>
      </c>
      <c r="D120" s="27" t="s">
        <v>47</v>
      </c>
      <c r="E120" s="27" t="s">
        <v>994</v>
      </c>
      <c r="F120" s="27" t="s">
        <v>995</v>
      </c>
      <c r="G120" s="38"/>
    </row>
    <row r="121" ht="28.5" customHeight="1">
      <c r="A121" s="36">
        <v>46240.0</v>
      </c>
      <c r="B121" s="106" t="s">
        <v>538</v>
      </c>
      <c r="C121" s="27" t="s">
        <v>81</v>
      </c>
      <c r="D121" s="27" t="s">
        <v>47</v>
      </c>
      <c r="E121" s="27" t="s">
        <v>963</v>
      </c>
      <c r="F121" s="38"/>
      <c r="G121" s="38"/>
    </row>
    <row r="122" ht="28.5" customHeight="1">
      <c r="A122" s="36">
        <v>46240.0</v>
      </c>
      <c r="B122" s="106" t="s">
        <v>819</v>
      </c>
      <c r="C122" s="27" t="s">
        <v>571</v>
      </c>
      <c r="D122" s="27" t="s">
        <v>188</v>
      </c>
      <c r="E122" s="27" t="s">
        <v>997</v>
      </c>
      <c r="F122" s="27" t="s">
        <v>998</v>
      </c>
      <c r="G122" s="38"/>
    </row>
    <row r="123" ht="28.5" customHeight="1">
      <c r="A123" s="36">
        <v>46241.0</v>
      </c>
      <c r="B123" s="106" t="s">
        <v>296</v>
      </c>
      <c r="C123" s="27" t="s">
        <v>81</v>
      </c>
      <c r="D123" s="27" t="s">
        <v>180</v>
      </c>
      <c r="E123" s="27" t="s">
        <v>1000</v>
      </c>
      <c r="F123" s="27" t="s">
        <v>1001</v>
      </c>
      <c r="G123" s="38"/>
    </row>
    <row r="124" ht="28.5" customHeight="1">
      <c r="A124" s="36">
        <v>46241.0</v>
      </c>
      <c r="B124" s="106" t="s">
        <v>296</v>
      </c>
      <c r="C124" s="27" t="s">
        <v>81</v>
      </c>
      <c r="D124" s="27" t="s">
        <v>178</v>
      </c>
      <c r="E124" s="27" t="s">
        <v>1003</v>
      </c>
      <c r="F124" s="27" t="s">
        <v>1001</v>
      </c>
      <c r="G124" s="38"/>
    </row>
    <row r="125" ht="28.5" customHeight="1">
      <c r="A125" s="36">
        <v>46247.0</v>
      </c>
      <c r="B125" s="106" t="s">
        <v>634</v>
      </c>
      <c r="C125" s="27" t="s">
        <v>930</v>
      </c>
      <c r="D125" s="27" t="s">
        <v>188</v>
      </c>
      <c r="E125" s="27" t="s">
        <v>1004</v>
      </c>
      <c r="F125" s="27" t="s">
        <v>1005</v>
      </c>
      <c r="G125" s="38"/>
    </row>
    <row r="126" ht="28.5" customHeight="1">
      <c r="A126" s="36">
        <v>46247.0</v>
      </c>
      <c r="B126" s="106" t="s">
        <v>387</v>
      </c>
      <c r="C126" s="27" t="s">
        <v>586</v>
      </c>
      <c r="D126" s="27" t="s">
        <v>188</v>
      </c>
      <c r="E126" s="27" t="s">
        <v>979</v>
      </c>
      <c r="F126" s="27" t="s">
        <v>978</v>
      </c>
      <c r="G126" s="38"/>
    </row>
    <row r="127" ht="28.5" customHeight="1">
      <c r="A127" s="36">
        <v>46247.0</v>
      </c>
      <c r="B127" s="106" t="s">
        <v>768</v>
      </c>
      <c r="C127" s="27" t="s">
        <v>586</v>
      </c>
      <c r="D127" s="27" t="s">
        <v>188</v>
      </c>
      <c r="E127" s="27" t="s">
        <v>982</v>
      </c>
      <c r="F127" s="27" t="s">
        <v>978</v>
      </c>
      <c r="G127" s="38"/>
    </row>
    <row r="128" ht="28.5" customHeight="1">
      <c r="A128" s="36">
        <v>46247.0</v>
      </c>
      <c r="B128" s="106" t="s">
        <v>831</v>
      </c>
      <c r="C128" s="27" t="s">
        <v>586</v>
      </c>
      <c r="D128" s="27" t="s">
        <v>188</v>
      </c>
      <c r="E128" s="27" t="s">
        <v>986</v>
      </c>
      <c r="F128" s="27" t="s">
        <v>978</v>
      </c>
      <c r="G128" s="38"/>
    </row>
    <row r="129" ht="28.5" customHeight="1">
      <c r="A129" s="36"/>
      <c r="B129" s="106"/>
      <c r="C129" s="27"/>
      <c r="D129" s="27"/>
      <c r="E129" s="27"/>
      <c r="F129" s="38"/>
      <c r="G129" s="38"/>
    </row>
    <row r="130" ht="28.5" customHeight="1">
      <c r="A130" s="36"/>
      <c r="B130" s="106"/>
      <c r="C130" s="27"/>
      <c r="D130" s="27"/>
      <c r="E130" s="27"/>
      <c r="F130" s="38"/>
      <c r="G130" s="38"/>
    </row>
    <row r="131" ht="28.5" customHeight="1">
      <c r="A131" s="36"/>
      <c r="B131" s="106"/>
      <c r="C131" s="27"/>
      <c r="D131" s="27"/>
      <c r="E131" s="27"/>
      <c r="F131" s="38"/>
      <c r="G131" s="38"/>
    </row>
    <row r="132" ht="28.5" customHeight="1">
      <c r="A132" s="36"/>
      <c r="B132" s="106"/>
      <c r="C132" s="27"/>
      <c r="D132" s="27"/>
      <c r="E132" s="27"/>
      <c r="F132" s="38"/>
      <c r="G132" s="38"/>
    </row>
    <row r="133" ht="28.5" customHeight="1">
      <c r="A133" s="36"/>
      <c r="B133" s="106"/>
      <c r="C133" s="27"/>
      <c r="D133" s="27"/>
      <c r="E133" s="27"/>
      <c r="F133" s="38"/>
      <c r="G133" s="38"/>
    </row>
    <row r="134" ht="28.5" customHeight="1">
      <c r="A134" s="36"/>
      <c r="B134" s="106"/>
      <c r="C134" s="27"/>
      <c r="D134" s="27"/>
      <c r="E134" s="27"/>
      <c r="F134" s="38"/>
      <c r="G134" s="38"/>
    </row>
    <row r="135" ht="28.5" customHeight="1">
      <c r="A135" s="36"/>
      <c r="B135" s="106"/>
      <c r="C135" s="27"/>
      <c r="D135" s="27"/>
      <c r="E135" s="27"/>
      <c r="F135" s="38"/>
      <c r="G135" s="38"/>
    </row>
    <row r="136" ht="28.5" customHeight="1">
      <c r="A136" s="36"/>
      <c r="B136" s="106"/>
      <c r="C136" s="27"/>
      <c r="D136" s="27"/>
      <c r="E136" s="27"/>
      <c r="F136" s="38"/>
      <c r="G136" s="38"/>
    </row>
    <row r="137" ht="28.5" customHeight="1">
      <c r="A137" s="36"/>
      <c r="B137" s="106"/>
      <c r="C137" s="27"/>
      <c r="D137" s="27"/>
      <c r="E137" s="27"/>
      <c r="F137" s="38"/>
      <c r="G137" s="38"/>
    </row>
    <row r="138" ht="28.5" customHeight="1">
      <c r="A138" s="36"/>
      <c r="B138" s="106"/>
      <c r="C138" s="27"/>
      <c r="D138" s="27"/>
      <c r="E138" s="27"/>
      <c r="F138" s="38"/>
      <c r="G138" s="38"/>
    </row>
    <row r="139" ht="28.5" customHeight="1">
      <c r="A139" s="36"/>
      <c r="B139" s="106"/>
      <c r="C139" s="27"/>
      <c r="D139" s="27"/>
      <c r="E139" s="27"/>
      <c r="F139" s="38"/>
      <c r="G139" s="38"/>
    </row>
    <row r="140" ht="28.5" customHeight="1">
      <c r="A140" s="36"/>
      <c r="B140" s="106"/>
      <c r="C140" s="27"/>
      <c r="D140" s="27"/>
      <c r="E140" s="27"/>
      <c r="F140" s="38"/>
      <c r="G140" s="38"/>
    </row>
    <row r="141" ht="28.5" customHeight="1">
      <c r="A141" s="36"/>
      <c r="B141" s="106"/>
      <c r="C141" s="27"/>
      <c r="D141" s="27"/>
      <c r="E141" s="27"/>
      <c r="F141" s="38"/>
      <c r="G141" s="38"/>
    </row>
    <row r="142" ht="28.5" customHeight="1">
      <c r="A142" s="36"/>
      <c r="B142" s="106"/>
      <c r="C142" s="27"/>
      <c r="D142" s="27"/>
      <c r="E142" s="27"/>
      <c r="F142" s="38"/>
      <c r="G142" s="38"/>
    </row>
    <row r="143" ht="28.5" customHeight="1">
      <c r="A143" s="36"/>
      <c r="B143" s="106"/>
      <c r="C143" s="27"/>
      <c r="D143" s="27"/>
      <c r="E143" s="27"/>
      <c r="F143" s="38"/>
      <c r="G143" s="38"/>
    </row>
    <row r="144" ht="28.5" customHeight="1">
      <c r="A144" s="36"/>
      <c r="B144" s="106"/>
      <c r="C144" s="27"/>
      <c r="D144" s="27"/>
      <c r="E144" s="27"/>
      <c r="F144" s="38"/>
      <c r="G144" s="38"/>
    </row>
    <row r="145" ht="28.5" customHeight="1">
      <c r="A145" s="36"/>
      <c r="B145" s="106"/>
      <c r="C145" s="27"/>
      <c r="D145" s="27"/>
      <c r="E145" s="27"/>
      <c r="F145" s="38"/>
      <c r="G145" s="38"/>
    </row>
    <row r="146" ht="28.5" customHeight="1">
      <c r="A146" s="36"/>
      <c r="B146" s="106"/>
      <c r="C146" s="27"/>
      <c r="D146" s="27"/>
      <c r="E146" s="27"/>
      <c r="F146" s="38"/>
      <c r="G146" s="38"/>
    </row>
    <row r="147" ht="28.5" customHeight="1">
      <c r="A147" s="36"/>
      <c r="B147" s="106"/>
      <c r="C147" s="27"/>
      <c r="D147" s="27"/>
      <c r="E147" s="27"/>
      <c r="F147" s="38"/>
      <c r="G147" s="38"/>
    </row>
    <row r="148" ht="28.5" customHeight="1">
      <c r="A148" s="36"/>
      <c r="B148" s="106"/>
      <c r="C148" s="27"/>
      <c r="D148" s="27"/>
      <c r="E148" s="27"/>
      <c r="F148" s="38"/>
      <c r="G148" s="38"/>
    </row>
    <row r="149" ht="28.5" customHeight="1">
      <c r="A149" s="36"/>
      <c r="B149" s="106"/>
      <c r="C149" s="27"/>
      <c r="D149" s="27"/>
      <c r="E149" s="27"/>
      <c r="F149" s="38"/>
      <c r="G149" s="38"/>
    </row>
    <row r="150" ht="28.5" customHeight="1">
      <c r="A150" s="36"/>
      <c r="B150" s="106"/>
      <c r="C150" s="27"/>
      <c r="D150" s="27"/>
      <c r="E150" s="27"/>
      <c r="F150" s="38"/>
      <c r="G150" s="38"/>
    </row>
    <row r="151" ht="28.5" customHeight="1">
      <c r="A151" s="36"/>
      <c r="B151" s="106"/>
      <c r="C151" s="27"/>
      <c r="D151" s="27"/>
      <c r="E151" s="27"/>
      <c r="F151" s="38"/>
      <c r="G151" s="38"/>
    </row>
    <row r="152" ht="28.5" customHeight="1">
      <c r="A152" s="36"/>
      <c r="B152" s="106"/>
      <c r="C152" s="27"/>
      <c r="D152" s="27"/>
      <c r="E152" s="27"/>
      <c r="F152" s="38"/>
      <c r="G152" s="38"/>
    </row>
    <row r="153" ht="28.5" customHeight="1">
      <c r="A153" s="36"/>
      <c r="B153" s="106"/>
      <c r="C153" s="27"/>
      <c r="D153" s="27"/>
      <c r="E153" s="27"/>
      <c r="F153" s="38"/>
      <c r="G153" s="38"/>
    </row>
    <row r="154" ht="28.5" customHeight="1">
      <c r="A154" s="36"/>
      <c r="B154" s="106"/>
      <c r="C154" s="27"/>
      <c r="D154" s="27"/>
      <c r="E154" s="27"/>
      <c r="F154" s="38"/>
      <c r="G154" s="38"/>
    </row>
    <row r="155" ht="28.5" customHeight="1">
      <c r="A155" s="36"/>
      <c r="B155" s="106"/>
      <c r="C155" s="27"/>
      <c r="D155" s="27"/>
      <c r="E155" s="27"/>
      <c r="F155" s="38"/>
      <c r="G155" s="38"/>
    </row>
    <row r="156" ht="28.5" customHeight="1">
      <c r="A156" s="36"/>
      <c r="B156" s="106"/>
      <c r="C156" s="27"/>
      <c r="D156" s="27"/>
      <c r="E156" s="27"/>
      <c r="F156" s="38"/>
      <c r="G156" s="38"/>
    </row>
    <row r="157" ht="28.5" customHeight="1">
      <c r="A157" s="36"/>
      <c r="B157" s="106"/>
      <c r="C157" s="27"/>
      <c r="D157" s="27"/>
      <c r="E157" s="27"/>
      <c r="F157" s="38"/>
      <c r="G157" s="38"/>
    </row>
    <row r="158" ht="28.5" customHeight="1">
      <c r="A158" s="36"/>
      <c r="B158" s="106"/>
      <c r="C158" s="27"/>
      <c r="D158" s="27"/>
      <c r="E158" s="27"/>
      <c r="F158" s="38"/>
      <c r="G158" s="38"/>
    </row>
    <row r="159" ht="28.5" customHeight="1">
      <c r="A159" s="36"/>
      <c r="B159" s="106"/>
      <c r="C159" s="27"/>
      <c r="D159" s="27"/>
      <c r="E159" s="27"/>
      <c r="F159" s="38"/>
      <c r="G159" s="38"/>
    </row>
    <row r="160" ht="28.5" customHeight="1">
      <c r="A160" s="36"/>
      <c r="B160" s="106"/>
      <c r="C160" s="27"/>
      <c r="D160" s="27"/>
      <c r="E160" s="27"/>
      <c r="F160" s="38"/>
      <c r="G160" s="38"/>
    </row>
    <row r="161" ht="28.5" customHeight="1">
      <c r="A161" s="36"/>
      <c r="B161" s="106"/>
      <c r="C161" s="27"/>
      <c r="D161" s="27"/>
      <c r="E161" s="27"/>
      <c r="F161" s="38"/>
      <c r="G161" s="38"/>
    </row>
    <row r="162" ht="28.5" customHeight="1">
      <c r="A162" s="36"/>
      <c r="B162" s="106"/>
      <c r="C162" s="27"/>
      <c r="D162" s="27"/>
      <c r="E162" s="27"/>
      <c r="F162" s="38"/>
      <c r="G162" s="38"/>
    </row>
    <row r="163" ht="28.5" customHeight="1">
      <c r="A163" s="36"/>
      <c r="B163" s="106"/>
      <c r="C163" s="27"/>
      <c r="D163" s="27"/>
      <c r="E163" s="27"/>
      <c r="F163" s="38"/>
      <c r="G163" s="38"/>
    </row>
    <row r="164" ht="28.5" customHeight="1">
      <c r="A164" s="36"/>
      <c r="B164" s="106"/>
      <c r="C164" s="27"/>
      <c r="D164" s="27"/>
      <c r="E164" s="27"/>
      <c r="F164" s="38"/>
      <c r="G164" s="38"/>
    </row>
    <row r="165" ht="28.5" customHeight="1">
      <c r="A165" s="36"/>
      <c r="B165" s="106"/>
      <c r="C165" s="27"/>
      <c r="D165" s="27"/>
      <c r="E165" s="27"/>
      <c r="F165" s="38"/>
      <c r="G165" s="38"/>
    </row>
    <row r="166" ht="28.5" customHeight="1">
      <c r="A166" s="36"/>
      <c r="B166" s="106"/>
      <c r="C166" s="27"/>
      <c r="D166" s="27"/>
      <c r="E166" s="27"/>
      <c r="F166" s="38"/>
      <c r="G166" s="38"/>
    </row>
    <row r="167" ht="28.5" customHeight="1">
      <c r="A167" s="36"/>
      <c r="B167" s="106"/>
      <c r="C167" s="27"/>
      <c r="D167" s="27"/>
      <c r="E167" s="27"/>
      <c r="F167" s="38"/>
      <c r="G167" s="38"/>
    </row>
    <row r="168" ht="28.5" customHeight="1">
      <c r="A168" s="36"/>
      <c r="B168" s="106"/>
      <c r="C168" s="27"/>
      <c r="D168" s="27"/>
      <c r="E168" s="27"/>
      <c r="F168" s="38"/>
      <c r="G168" s="38"/>
    </row>
    <row r="169" ht="28.5" customHeight="1">
      <c r="A169" s="36"/>
      <c r="B169" s="106"/>
      <c r="C169" s="27"/>
      <c r="D169" s="27"/>
      <c r="E169" s="27"/>
      <c r="F169" s="38"/>
      <c r="G169" s="38"/>
    </row>
    <row r="170" ht="28.5" customHeight="1">
      <c r="A170" s="36"/>
      <c r="B170" s="106"/>
      <c r="C170" s="27"/>
      <c r="D170" s="27"/>
      <c r="E170" s="27"/>
      <c r="F170" s="38"/>
      <c r="G170" s="38"/>
    </row>
    <row r="171" ht="28.5" customHeight="1">
      <c r="A171" s="36"/>
      <c r="B171" s="106"/>
      <c r="C171" s="27"/>
      <c r="D171" s="27"/>
      <c r="E171" s="27"/>
      <c r="F171" s="38"/>
      <c r="G171" s="38"/>
    </row>
    <row r="172" ht="28.5" customHeight="1">
      <c r="A172" s="36"/>
      <c r="B172" s="106"/>
      <c r="C172" s="27"/>
      <c r="D172" s="27"/>
      <c r="E172" s="27"/>
      <c r="F172" s="38"/>
      <c r="G172" s="38"/>
    </row>
    <row r="173" ht="28.5" customHeight="1">
      <c r="A173" s="36"/>
      <c r="B173" s="106"/>
      <c r="C173" s="27"/>
      <c r="D173" s="27"/>
      <c r="E173" s="27"/>
      <c r="F173" s="38"/>
      <c r="G173" s="38"/>
    </row>
    <row r="174" ht="28.5" customHeight="1">
      <c r="A174" s="36"/>
      <c r="B174" s="106"/>
      <c r="C174" s="27"/>
      <c r="D174" s="27"/>
      <c r="E174" s="27"/>
      <c r="F174" s="38"/>
      <c r="G174" s="38"/>
    </row>
    <row r="175" ht="28.5" customHeight="1">
      <c r="A175" s="36"/>
      <c r="B175" s="106"/>
      <c r="C175" s="27"/>
      <c r="D175" s="27"/>
      <c r="E175" s="27"/>
      <c r="F175" s="38"/>
      <c r="G175" s="38"/>
    </row>
    <row r="176" ht="28.5" customHeight="1">
      <c r="A176" s="36"/>
      <c r="B176" s="106"/>
      <c r="C176" s="27"/>
      <c r="D176" s="27"/>
      <c r="E176" s="27"/>
      <c r="F176" s="38"/>
      <c r="G176" s="38"/>
    </row>
    <row r="177" ht="28.5" customHeight="1">
      <c r="A177" s="36"/>
      <c r="B177" s="106"/>
      <c r="C177" s="27"/>
      <c r="D177" s="27"/>
      <c r="E177" s="27"/>
      <c r="F177" s="38"/>
      <c r="G177" s="38"/>
    </row>
    <row r="178" ht="28.5" customHeight="1">
      <c r="A178" s="36"/>
      <c r="B178" s="106"/>
      <c r="C178" s="27"/>
      <c r="D178" s="27"/>
      <c r="E178" s="27"/>
      <c r="F178" s="38"/>
      <c r="G178" s="38"/>
    </row>
    <row r="179" ht="28.5" customHeight="1">
      <c r="A179" s="36"/>
      <c r="B179" s="106"/>
      <c r="C179" s="27"/>
      <c r="D179" s="27"/>
      <c r="E179" s="27"/>
      <c r="F179" s="38"/>
      <c r="G179" s="38"/>
    </row>
    <row r="180" ht="28.5" customHeight="1">
      <c r="A180" s="36"/>
      <c r="B180" s="106"/>
      <c r="C180" s="27"/>
      <c r="D180" s="27"/>
      <c r="E180" s="27"/>
      <c r="F180" s="38"/>
      <c r="G180" s="38"/>
    </row>
    <row r="181" ht="28.5" customHeight="1">
      <c r="A181" s="36"/>
      <c r="B181" s="106"/>
      <c r="C181" s="27"/>
      <c r="D181" s="27"/>
      <c r="E181" s="27"/>
      <c r="F181" s="38"/>
      <c r="G181" s="38"/>
    </row>
    <row r="182" ht="28.5" customHeight="1">
      <c r="A182" s="36"/>
      <c r="B182" s="106"/>
      <c r="C182" s="27"/>
      <c r="D182" s="27"/>
      <c r="E182" s="27"/>
      <c r="F182" s="38"/>
      <c r="G182" s="38"/>
    </row>
    <row r="183" ht="28.5" customHeight="1">
      <c r="A183" s="36"/>
      <c r="B183" s="106"/>
      <c r="C183" s="27"/>
      <c r="D183" s="27"/>
      <c r="E183" s="27"/>
      <c r="F183" s="38"/>
      <c r="G183" s="38"/>
    </row>
    <row r="184" ht="28.5" customHeight="1">
      <c r="A184" s="36"/>
      <c r="B184" s="106"/>
      <c r="C184" s="27"/>
      <c r="D184" s="27"/>
      <c r="E184" s="27"/>
      <c r="F184" s="38"/>
      <c r="G184" s="38"/>
    </row>
    <row r="185" ht="28.5" customHeight="1">
      <c r="A185" s="36"/>
      <c r="B185" s="106"/>
      <c r="C185" s="27"/>
      <c r="D185" s="27"/>
      <c r="E185" s="27"/>
      <c r="F185" s="38"/>
      <c r="G185" s="38"/>
    </row>
    <row r="186" ht="28.5" customHeight="1">
      <c r="A186" s="36"/>
      <c r="B186" s="106"/>
      <c r="C186" s="27"/>
      <c r="D186" s="27"/>
      <c r="E186" s="27"/>
      <c r="F186" s="38"/>
      <c r="G186" s="38"/>
    </row>
    <row r="187" ht="28.5" customHeight="1">
      <c r="A187" s="36"/>
      <c r="B187" s="106"/>
      <c r="C187" s="27"/>
      <c r="D187" s="27"/>
      <c r="E187" s="27"/>
      <c r="F187" s="38"/>
      <c r="G187" s="38"/>
    </row>
    <row r="188" ht="28.5" customHeight="1">
      <c r="A188" s="36"/>
      <c r="B188" s="106"/>
      <c r="C188" s="27"/>
      <c r="D188" s="27"/>
      <c r="E188" s="27"/>
      <c r="F188" s="38"/>
      <c r="G188" s="38"/>
    </row>
    <row r="189" ht="28.5" customHeight="1">
      <c r="A189" s="36"/>
      <c r="B189" s="106"/>
      <c r="C189" s="27"/>
      <c r="D189" s="27"/>
      <c r="E189" s="27"/>
      <c r="F189" s="38"/>
      <c r="G189" s="38"/>
    </row>
    <row r="190" ht="28.5" customHeight="1">
      <c r="A190" s="36"/>
      <c r="B190" s="106"/>
      <c r="C190" s="27"/>
      <c r="D190" s="27"/>
      <c r="E190" s="27"/>
      <c r="F190" s="38"/>
      <c r="G190" s="38"/>
    </row>
    <row r="191" ht="28.5" customHeight="1">
      <c r="A191" s="36"/>
      <c r="B191" s="106"/>
      <c r="C191" s="27"/>
      <c r="D191" s="27"/>
      <c r="E191" s="27"/>
      <c r="F191" s="38"/>
      <c r="G191" s="38"/>
    </row>
    <row r="192" ht="28.5" customHeight="1">
      <c r="A192" s="36"/>
      <c r="B192" s="106"/>
      <c r="C192" s="27"/>
      <c r="D192" s="27"/>
      <c r="E192" s="27"/>
      <c r="F192" s="38"/>
      <c r="G192" s="38"/>
    </row>
    <row r="193" ht="28.5" customHeight="1">
      <c r="A193" s="36"/>
      <c r="B193" s="106"/>
      <c r="C193" s="27"/>
      <c r="D193" s="27"/>
      <c r="E193" s="27"/>
      <c r="F193" s="38"/>
      <c r="G193" s="38"/>
    </row>
    <row r="194" ht="28.5" customHeight="1">
      <c r="A194" s="36"/>
      <c r="B194" s="106"/>
      <c r="C194" s="27"/>
      <c r="D194" s="27"/>
      <c r="E194" s="27"/>
      <c r="F194" s="38"/>
      <c r="G194" s="38"/>
    </row>
    <row r="195" ht="28.5" customHeight="1">
      <c r="A195" s="36"/>
      <c r="B195" s="106"/>
      <c r="C195" s="27"/>
      <c r="D195" s="27"/>
      <c r="E195" s="27"/>
      <c r="F195" s="38"/>
      <c r="G195" s="38"/>
    </row>
    <row r="196" ht="28.5" customHeight="1">
      <c r="A196" s="36"/>
      <c r="B196" s="106"/>
      <c r="C196" s="27"/>
      <c r="D196" s="27"/>
      <c r="E196" s="27"/>
      <c r="F196" s="38"/>
      <c r="G196" s="38"/>
    </row>
    <row r="197" ht="28.5" customHeight="1">
      <c r="A197" s="36"/>
      <c r="B197" s="106"/>
      <c r="C197" s="27"/>
      <c r="D197" s="27"/>
      <c r="E197" s="27"/>
      <c r="F197" s="38"/>
      <c r="G197" s="38"/>
    </row>
    <row r="198" ht="28.5" customHeight="1">
      <c r="A198" s="36"/>
      <c r="B198" s="106"/>
      <c r="C198" s="27"/>
      <c r="D198" s="27"/>
      <c r="E198" s="27"/>
      <c r="F198" s="38"/>
      <c r="G198" s="38"/>
    </row>
    <row r="199" ht="28.5" customHeight="1">
      <c r="A199" s="36"/>
      <c r="B199" s="106"/>
      <c r="C199" s="27"/>
      <c r="D199" s="27"/>
      <c r="E199" s="27"/>
      <c r="F199" s="38"/>
      <c r="G199" s="38"/>
    </row>
    <row r="200" ht="28.5" customHeight="1">
      <c r="A200" s="36"/>
      <c r="B200" s="106"/>
      <c r="C200" s="27"/>
      <c r="D200" s="27"/>
      <c r="E200" s="27"/>
      <c r="F200" s="38"/>
      <c r="G200" s="38"/>
    </row>
    <row r="201" ht="28.5" customHeight="1">
      <c r="A201" s="36"/>
      <c r="B201" s="106"/>
      <c r="C201" s="27"/>
      <c r="D201" s="27"/>
      <c r="E201" s="27"/>
      <c r="F201" s="38"/>
      <c r="G201" s="38"/>
    </row>
    <row r="202" ht="28.5" customHeight="1">
      <c r="A202" s="36"/>
      <c r="B202" s="106"/>
      <c r="C202" s="27"/>
      <c r="D202" s="27"/>
      <c r="E202" s="27"/>
      <c r="F202" s="38"/>
      <c r="G202" s="38"/>
    </row>
    <row r="203" ht="28.5" customHeight="1">
      <c r="A203" s="36"/>
      <c r="B203" s="106"/>
      <c r="C203" s="27"/>
      <c r="D203" s="27"/>
      <c r="E203" s="27"/>
      <c r="F203" s="38"/>
      <c r="G203" s="38"/>
    </row>
    <row r="204" ht="28.5" customHeight="1">
      <c r="A204" s="36"/>
      <c r="B204" s="106"/>
      <c r="C204" s="27"/>
      <c r="D204" s="27"/>
      <c r="E204" s="27"/>
      <c r="F204" s="38"/>
      <c r="G204" s="38"/>
    </row>
  </sheetData>
  <autoFilter ref="$A$1:$G$204"/>
  <dataValidations>
    <dataValidation type="list" allowBlank="1" sqref="D2:D204">
      <formula1>Config!$N$4:$N$9</formula1>
    </dataValidation>
    <dataValidation type="list" allowBlank="1" sqref="C2:C204">
      <formula1>Config!$I$3:$I$11</formula1>
    </dataValidation>
    <dataValidation type="list" allowBlank="1" sqref="B2:B204">
      <formula1>Clientes!$A$2:$A$47</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0"/>
    <col customWidth="1" min="2" max="2" width="18.71"/>
    <col customWidth="1" min="3" max="3" width="34.57"/>
    <col customWidth="1" min="4" max="4" width="26.14"/>
    <col customWidth="1" min="5" max="7" width="20.43"/>
    <col customWidth="1" min="8" max="8" width="4.57"/>
    <col customWidth="1" min="9" max="9" width="13.86"/>
    <col customWidth="1" min="10" max="10" width="4.57"/>
    <col customWidth="1" min="11" max="11" width="13.86"/>
    <col customWidth="1" min="12" max="12" width="5.43"/>
    <col customWidth="1" min="13" max="13" width="12.71"/>
    <col customWidth="1" min="14" max="14" width="1.14"/>
    <col hidden="1" min="15" max="26" width="14.43"/>
  </cols>
  <sheetData>
    <row r="1" ht="3.0" customHeight="1">
      <c r="A1" s="112"/>
      <c r="B1" s="112"/>
      <c r="C1" s="113"/>
      <c r="D1" s="113"/>
      <c r="E1" s="112"/>
      <c r="F1" s="112"/>
      <c r="G1" s="112"/>
      <c r="H1" s="115"/>
      <c r="I1" s="115"/>
      <c r="J1" s="115"/>
      <c r="K1" s="115"/>
      <c r="L1" s="115"/>
      <c r="M1" s="115"/>
      <c r="N1" s="115"/>
      <c r="O1" s="115"/>
      <c r="P1" s="115"/>
      <c r="Q1" s="115"/>
      <c r="R1" s="115"/>
      <c r="S1" s="115"/>
      <c r="T1" s="115"/>
      <c r="U1" s="115"/>
      <c r="V1" s="115"/>
      <c r="W1" s="115"/>
      <c r="X1" s="115"/>
      <c r="Y1" s="115"/>
      <c r="Z1" s="115"/>
    </row>
    <row r="2" ht="27.75" customHeight="1">
      <c r="A2" s="118"/>
      <c r="B2" s="119" t="s">
        <v>894</v>
      </c>
    </row>
    <row r="3" ht="7.5" customHeight="1">
      <c r="A3" s="120"/>
      <c r="B3" s="121">
        <f>COUNTIF(B11:B225,"PROCESSANDO")+COUNTIF(B11:B225,"A FAZER")</f>
        <v>3</v>
      </c>
      <c r="C3" s="122"/>
      <c r="D3" s="122"/>
      <c r="E3" s="122"/>
      <c r="F3" s="122"/>
      <c r="G3" s="123"/>
      <c r="H3" s="124"/>
      <c r="I3" s="125"/>
      <c r="J3" s="124"/>
      <c r="K3" s="125"/>
      <c r="L3" s="124"/>
      <c r="M3" s="125"/>
    </row>
    <row r="4" ht="18.0" customHeight="1">
      <c r="A4" s="120"/>
      <c r="C4" s="126">
        <f>COUNTIFS(D24:D225,"TREINAMENTO / VISITA",L24:L225,"CONCLUÍDO")</f>
        <v>84</v>
      </c>
      <c r="D4" s="127">
        <f>COUNTIF(Clientes!B2:B51,"ATIVO")</f>
        <v>16</v>
      </c>
      <c r="E4" s="128" t="s">
        <v>927</v>
      </c>
      <c r="F4" s="129">
        <f>COUNTIF(Clientes!B2:B51,"PERÍODO DE TESTE")</f>
        <v>5</v>
      </c>
      <c r="G4" s="129">
        <f>COUNTIF(Clientes!B2:B51,"PROSPECÇÃO")</f>
        <v>6</v>
      </c>
      <c r="H4" s="124">
        <f>COUNTIFS('Módulos'!$B$2:$B$2464,I4,'Módulos'!$I$2:$I$2464,"ATIVO")</f>
        <v>3</v>
      </c>
      <c r="I4" s="125" t="s">
        <v>943</v>
      </c>
      <c r="J4" s="124">
        <f>COUNTIFS('Módulos'!$B$2:$B$2464,K4,'Módulos'!$I$2:$I$2464,"ATIVO")</f>
        <v>1</v>
      </c>
      <c r="K4" s="125" t="s">
        <v>952</v>
      </c>
      <c r="L4" s="124">
        <f>COUNTIFS('Módulos'!$B$2:$B$2464,M4,'Módulos'!$I$2:$I$2464,"ATIVO")</f>
        <v>0</v>
      </c>
      <c r="M4" s="125" t="s">
        <v>959</v>
      </c>
    </row>
    <row r="5" ht="18.0" customHeight="1">
      <c r="A5" s="120"/>
      <c r="C5" s="130" t="s">
        <v>962</v>
      </c>
      <c r="F5" s="131" t="s">
        <v>964</v>
      </c>
      <c r="G5" s="131" t="s">
        <v>967</v>
      </c>
      <c r="H5" s="124">
        <f>COUNTIFS('Módulos'!$B$2:$B$2464,I5,'Módulos'!$I$2:$I$2464,"ATIVO")</f>
        <v>224</v>
      </c>
      <c r="I5" s="125" t="s">
        <v>389</v>
      </c>
      <c r="J5" s="124">
        <f>COUNTIFS('Módulos'!$B$2:$B$2464,K5,'Módulos'!$I$2:$I$2464,"ATIVO")</f>
        <v>0</v>
      </c>
      <c r="K5" s="125" t="s">
        <v>975</v>
      </c>
      <c r="L5" s="124">
        <f>COUNTIFS('Módulos'!$B$2:$B$2464,M5,'Módulos'!$I$2:$I$2464,"ATIVO")</f>
        <v>197</v>
      </c>
      <c r="M5" s="125" t="s">
        <v>374</v>
      </c>
    </row>
    <row r="6" ht="18.0" customHeight="1">
      <c r="A6" s="120"/>
      <c r="B6" s="132" t="s">
        <v>981</v>
      </c>
      <c r="C6" s="126">
        <f>COUNTIF(B24:B227,"FINALIZADO")</f>
        <v>198</v>
      </c>
      <c r="D6" s="127">
        <f>SUM(H4:H7)+SUM(J4:J7)+SUM(L4:L7)</f>
        <v>2092</v>
      </c>
      <c r="E6" s="128" t="s">
        <v>987</v>
      </c>
      <c r="F6" s="129">
        <f>COUNTIF(Clientes!B2:B51,"POC SEM EVOLUÇÃO")</f>
        <v>10</v>
      </c>
      <c r="G6" s="129">
        <f>COUNTIF(Clientes!B2:B51,"INATIVO")</f>
        <v>3</v>
      </c>
      <c r="H6" s="124">
        <f>COUNTIFS('Módulos'!$B$2:$B$2464,I6,'Módulos'!$I$2:$I$2464,"ATIVO")</f>
        <v>12</v>
      </c>
      <c r="I6" s="125" t="s">
        <v>602</v>
      </c>
      <c r="J6" s="124">
        <f>COUNTIFS('Módulos'!$B$2:$B$2464,K6,'Módulos'!$I$2:$I$2464,"ATIVO")</f>
        <v>99</v>
      </c>
      <c r="K6" s="125" t="s">
        <v>884</v>
      </c>
      <c r="L6" s="124">
        <f>COUNTIFS('Módulos'!$B$2:$B$2464,M6,'Módulos'!$I$2:$I$2464,"ATIVO")</f>
        <v>63</v>
      </c>
      <c r="M6" s="125" t="s">
        <v>1006</v>
      </c>
    </row>
    <row r="7">
      <c r="A7" s="133"/>
      <c r="C7" s="130" t="s">
        <v>1009</v>
      </c>
      <c r="F7" s="131" t="s">
        <v>1010</v>
      </c>
      <c r="G7" s="131" t="s">
        <v>1011</v>
      </c>
      <c r="H7" s="124">
        <f>COUNTIFS('Módulos'!$B$2:$B$2464,I7,'Módulos'!$I$2:$I$2464,"ATIVO")</f>
        <v>1</v>
      </c>
      <c r="I7" s="125" t="s">
        <v>1013</v>
      </c>
      <c r="J7" s="124">
        <f>COUNTIFS('Módulos'!$B$2:$B$2464,K7,'Módulos'!$I$2:$I$2464,"ATIVO")</f>
        <v>1</v>
      </c>
      <c r="K7" s="125" t="s">
        <v>1016</v>
      </c>
      <c r="L7" s="124">
        <f>COUNTIFS('Módulos'!$B$2:$B$2464,M7,'Módulos'!$I$2:$I$2464,"ATIVO")</f>
        <v>1491</v>
      </c>
      <c r="M7" s="125" t="s">
        <v>319</v>
      </c>
    </row>
    <row r="8" ht="5.25" customHeight="1">
      <c r="A8" s="134"/>
      <c r="B8" s="135"/>
      <c r="C8" s="135"/>
      <c r="D8" s="136"/>
      <c r="E8" s="136"/>
      <c r="F8" s="136"/>
      <c r="G8" s="137"/>
      <c r="H8" s="138"/>
      <c r="I8" s="125"/>
      <c r="J8" s="138"/>
      <c r="K8" s="125"/>
      <c r="L8" s="138"/>
      <c r="M8" s="125"/>
    </row>
    <row r="9" ht="24.75" customHeight="1">
      <c r="A9" s="139"/>
      <c r="B9" s="140" t="s">
        <v>237</v>
      </c>
      <c r="C9" s="140" t="s">
        <v>246</v>
      </c>
      <c r="D9" s="141" t="s">
        <v>1021</v>
      </c>
      <c r="K9" s="141" t="s">
        <v>1022</v>
      </c>
    </row>
    <row r="10" ht="8.25" customHeight="1">
      <c r="A10" s="142"/>
      <c r="B10" s="143"/>
      <c r="C10" s="144"/>
      <c r="D10" s="145"/>
      <c r="E10" s="144"/>
      <c r="F10" s="146"/>
      <c r="G10" s="146"/>
    </row>
    <row r="11" ht="15.0" customHeight="1">
      <c r="A11" s="147"/>
      <c r="B11" s="148" t="s">
        <v>1029</v>
      </c>
      <c r="C11" s="149" t="s">
        <v>317</v>
      </c>
      <c r="D11" s="150" t="s">
        <v>1038</v>
      </c>
      <c r="E11" s="151"/>
      <c r="F11" s="151"/>
      <c r="G11" s="151"/>
      <c r="H11" s="151"/>
      <c r="I11" s="151"/>
      <c r="J11" s="152"/>
      <c r="K11" s="153">
        <v>46265.0</v>
      </c>
      <c r="L11" s="154" t="str">
        <f>IF(K11="","APONTAR DATA",(IF('T&amp;D'!B11="FINALIZADO", "CONCLUÍDO", IF(K11&lt;TODAY(), "VENCIDO", IF(K11=TODAY(), "VENCE HOJE", IF(K11&lt;=TODAY()+5,"VENCENDO", "NO PRAZO"))))))</f>
        <v>NO PRAZO</v>
      </c>
      <c r="M11" s="152"/>
      <c r="N11" s="155"/>
      <c r="O11" s="155"/>
      <c r="P11" s="155"/>
      <c r="Q11" s="155"/>
      <c r="R11" s="155"/>
      <c r="S11" s="155"/>
      <c r="T11" s="155"/>
      <c r="U11" s="155"/>
      <c r="V11" s="155"/>
      <c r="W11" s="155"/>
      <c r="X11" s="155"/>
      <c r="Y11" s="155"/>
      <c r="Z11" s="155"/>
    </row>
    <row r="12" ht="15.0" customHeight="1">
      <c r="A12" s="147"/>
      <c r="B12" s="157"/>
      <c r="C12" s="149" t="s">
        <v>347</v>
      </c>
      <c r="D12" s="159"/>
      <c r="J12" s="160"/>
      <c r="K12" s="157"/>
      <c r="L12" s="159"/>
      <c r="M12" s="160"/>
      <c r="N12" s="8"/>
      <c r="O12" s="8"/>
      <c r="P12" s="8"/>
      <c r="Q12" s="8"/>
      <c r="R12" s="8"/>
      <c r="S12" s="8"/>
      <c r="T12" s="8"/>
      <c r="U12" s="8"/>
      <c r="V12" s="8"/>
      <c r="W12" s="8"/>
      <c r="X12" s="8"/>
      <c r="Y12" s="8"/>
      <c r="Z12" s="8"/>
    </row>
    <row r="13" ht="15.0" customHeight="1">
      <c r="A13" s="147"/>
      <c r="B13" s="157"/>
      <c r="C13" s="149" t="s">
        <v>594</v>
      </c>
      <c r="D13" s="159"/>
      <c r="J13" s="160"/>
      <c r="K13" s="157"/>
      <c r="L13" s="159"/>
      <c r="M13" s="160"/>
      <c r="N13" s="8"/>
      <c r="O13" s="8"/>
      <c r="P13" s="8"/>
      <c r="Q13" s="8"/>
      <c r="R13" s="8"/>
      <c r="S13" s="8"/>
      <c r="T13" s="8"/>
      <c r="U13" s="8"/>
      <c r="V13" s="8"/>
      <c r="W13" s="8"/>
      <c r="X13" s="8"/>
      <c r="Y13" s="8"/>
      <c r="Z13" s="8"/>
    </row>
    <row r="14" ht="15.0" customHeight="1">
      <c r="A14" s="147"/>
      <c r="B14" s="157"/>
      <c r="C14" s="149" t="s">
        <v>736</v>
      </c>
      <c r="D14" s="159"/>
      <c r="J14" s="160"/>
      <c r="K14" s="157"/>
      <c r="L14" s="159"/>
      <c r="M14" s="160"/>
      <c r="N14" s="8"/>
      <c r="O14" s="8"/>
      <c r="P14" s="8"/>
      <c r="Q14" s="8"/>
      <c r="R14" s="8"/>
      <c r="S14" s="8"/>
      <c r="T14" s="8"/>
      <c r="U14" s="8"/>
      <c r="V14" s="8"/>
      <c r="W14" s="8"/>
      <c r="X14" s="8"/>
      <c r="Y14" s="8"/>
      <c r="Z14" s="8"/>
    </row>
    <row r="15" ht="15.0" customHeight="1">
      <c r="A15" s="147"/>
      <c r="B15" s="157"/>
      <c r="C15" s="149" t="s">
        <v>743</v>
      </c>
      <c r="D15" s="159"/>
      <c r="J15" s="160"/>
      <c r="K15" s="157"/>
      <c r="L15" s="159"/>
      <c r="M15" s="160"/>
      <c r="N15" s="8"/>
      <c r="O15" s="8"/>
      <c r="P15" s="8"/>
      <c r="Q15" s="8"/>
      <c r="R15" s="8"/>
      <c r="S15" s="8"/>
      <c r="T15" s="8"/>
      <c r="U15" s="8"/>
      <c r="V15" s="8"/>
      <c r="W15" s="8"/>
      <c r="X15" s="8"/>
      <c r="Y15" s="8"/>
      <c r="Z15" s="8"/>
    </row>
    <row r="16" ht="15.0" customHeight="1">
      <c r="A16" s="147"/>
      <c r="B16" s="157"/>
      <c r="C16" s="163" t="s">
        <v>792</v>
      </c>
      <c r="D16" s="164"/>
      <c r="E16" s="165"/>
      <c r="F16" s="165"/>
      <c r="G16" s="165"/>
      <c r="H16" s="165"/>
      <c r="I16" s="165"/>
      <c r="J16" s="166"/>
      <c r="K16" s="157"/>
      <c r="L16" s="159"/>
      <c r="M16" s="160"/>
      <c r="N16" s="8"/>
      <c r="O16" s="8"/>
      <c r="P16" s="8"/>
      <c r="Q16" s="8"/>
      <c r="R16" s="8"/>
      <c r="S16" s="8"/>
      <c r="T16" s="8"/>
      <c r="U16" s="8"/>
      <c r="V16" s="8"/>
      <c r="W16" s="8"/>
      <c r="X16" s="8"/>
      <c r="Y16" s="8"/>
      <c r="Z16" s="8"/>
    </row>
    <row r="17" ht="15.0" customHeight="1">
      <c r="A17" s="147"/>
      <c r="B17" s="157"/>
      <c r="C17" s="149" t="s">
        <v>245</v>
      </c>
      <c r="D17" s="150" t="s">
        <v>1060</v>
      </c>
      <c r="E17" s="151"/>
      <c r="F17" s="151"/>
      <c r="G17" s="151"/>
      <c r="H17" s="151"/>
      <c r="I17" s="151"/>
      <c r="J17" s="152"/>
      <c r="K17" s="157"/>
      <c r="L17" s="159"/>
      <c r="M17" s="160"/>
      <c r="N17" s="8"/>
      <c r="O17" s="8"/>
      <c r="P17" s="8"/>
      <c r="Q17" s="8"/>
      <c r="R17" s="8"/>
      <c r="S17" s="8"/>
      <c r="T17" s="8"/>
      <c r="U17" s="8"/>
      <c r="V17" s="8"/>
      <c r="W17" s="8"/>
      <c r="X17" s="8"/>
      <c r="Y17" s="8"/>
      <c r="Z17" s="8"/>
    </row>
    <row r="18" ht="15.0" customHeight="1">
      <c r="A18" s="147"/>
      <c r="B18" s="157"/>
      <c r="C18" s="167" t="s">
        <v>296</v>
      </c>
      <c r="D18" s="159"/>
      <c r="J18" s="160"/>
      <c r="K18" s="157"/>
      <c r="L18" s="159"/>
      <c r="M18" s="160"/>
      <c r="N18" s="8"/>
      <c r="O18" s="8"/>
      <c r="P18" s="8"/>
      <c r="Q18" s="8"/>
      <c r="R18" s="8"/>
      <c r="S18" s="8"/>
      <c r="T18" s="8"/>
      <c r="U18" s="8"/>
      <c r="V18" s="8"/>
      <c r="W18" s="8"/>
      <c r="X18" s="8"/>
      <c r="Y18" s="8"/>
      <c r="Z18" s="8"/>
    </row>
    <row r="19" ht="15.0" customHeight="1">
      <c r="A19" s="147"/>
      <c r="B19" s="157"/>
      <c r="C19" s="149" t="s">
        <v>425</v>
      </c>
      <c r="D19" s="159"/>
      <c r="J19" s="160"/>
      <c r="K19" s="157"/>
      <c r="L19" s="159"/>
      <c r="M19" s="160"/>
      <c r="N19" s="8"/>
      <c r="O19" s="8"/>
      <c r="P19" s="8"/>
      <c r="Q19" s="8"/>
      <c r="R19" s="8"/>
      <c r="S19" s="8"/>
      <c r="T19" s="8"/>
      <c r="U19" s="8"/>
      <c r="V19" s="8"/>
      <c r="W19" s="8"/>
      <c r="X19" s="8"/>
      <c r="Y19" s="8"/>
      <c r="Z19" s="8"/>
    </row>
    <row r="20" ht="15.0" customHeight="1">
      <c r="A20" s="147"/>
      <c r="B20" s="157"/>
      <c r="C20" s="149" t="s">
        <v>519</v>
      </c>
      <c r="D20" s="159"/>
      <c r="J20" s="160"/>
      <c r="K20" s="157"/>
      <c r="L20" s="159"/>
      <c r="M20" s="160"/>
      <c r="N20" s="8"/>
      <c r="O20" s="8"/>
      <c r="P20" s="8"/>
      <c r="Q20" s="8"/>
      <c r="R20" s="8"/>
      <c r="S20" s="8"/>
      <c r="T20" s="8"/>
      <c r="U20" s="8"/>
      <c r="V20" s="8"/>
      <c r="W20" s="8"/>
      <c r="X20" s="8"/>
      <c r="Y20" s="8"/>
      <c r="Z20" s="8"/>
    </row>
    <row r="21" ht="15.0" customHeight="1">
      <c r="A21" s="147"/>
      <c r="B21" s="157"/>
      <c r="C21" s="149" t="s">
        <v>653</v>
      </c>
      <c r="D21" s="164"/>
      <c r="E21" s="165"/>
      <c r="F21" s="165"/>
      <c r="G21" s="165"/>
      <c r="H21" s="165"/>
      <c r="I21" s="165"/>
      <c r="J21" s="166"/>
      <c r="K21" s="157"/>
      <c r="L21" s="159"/>
      <c r="M21" s="160"/>
      <c r="N21" s="8"/>
      <c r="O21" s="8"/>
      <c r="P21" s="8"/>
      <c r="Q21" s="8"/>
      <c r="R21" s="8"/>
      <c r="S21" s="8"/>
      <c r="T21" s="8"/>
      <c r="U21" s="8"/>
      <c r="V21" s="8"/>
      <c r="W21" s="8"/>
      <c r="X21" s="8"/>
      <c r="Y21" s="8"/>
      <c r="Z21" s="8"/>
    </row>
    <row r="22" ht="15.0" customHeight="1">
      <c r="A22" s="147"/>
      <c r="B22" s="157"/>
      <c r="C22" s="168" t="s">
        <v>784</v>
      </c>
      <c r="D22" s="169" t="s">
        <v>1068</v>
      </c>
      <c r="J22" s="160"/>
      <c r="K22" s="157"/>
      <c r="L22" s="159"/>
      <c r="M22" s="160"/>
      <c r="N22" s="8"/>
      <c r="O22" s="8"/>
      <c r="P22" s="8"/>
      <c r="Q22" s="8"/>
      <c r="R22" s="8"/>
      <c r="S22" s="8"/>
      <c r="T22" s="8"/>
      <c r="U22" s="8"/>
      <c r="V22" s="8"/>
      <c r="W22" s="8"/>
      <c r="X22" s="8"/>
      <c r="Y22" s="8"/>
      <c r="Z22" s="8"/>
    </row>
    <row r="23" ht="15.0" customHeight="1">
      <c r="A23" s="147"/>
      <c r="B23" s="170"/>
      <c r="C23" s="149" t="s">
        <v>836</v>
      </c>
      <c r="D23" s="164"/>
      <c r="E23" s="165"/>
      <c r="F23" s="165"/>
      <c r="G23" s="165"/>
      <c r="H23" s="165"/>
      <c r="I23" s="165"/>
      <c r="J23" s="166"/>
      <c r="K23" s="170"/>
      <c r="L23" s="164"/>
      <c r="M23" s="166"/>
      <c r="N23" s="8"/>
      <c r="O23" s="8"/>
      <c r="P23" s="8"/>
      <c r="Q23" s="8"/>
      <c r="R23" s="8"/>
      <c r="S23" s="8"/>
      <c r="T23" s="8"/>
      <c r="U23" s="8"/>
      <c r="V23" s="8"/>
      <c r="W23" s="8"/>
      <c r="X23" s="8"/>
      <c r="Y23" s="8"/>
      <c r="Z23" s="8"/>
    </row>
    <row r="24" ht="15.0" hidden="1" customHeight="1">
      <c r="A24" s="147"/>
      <c r="B24" s="171" t="s">
        <v>276</v>
      </c>
      <c r="C24" s="172" t="s">
        <v>387</v>
      </c>
      <c r="D24" s="149" t="s">
        <v>1073</v>
      </c>
      <c r="E24" s="173" t="s">
        <v>1074</v>
      </c>
      <c r="F24" s="174"/>
      <c r="G24" s="174"/>
      <c r="H24" s="174"/>
      <c r="I24" s="174"/>
      <c r="J24" s="175"/>
      <c r="K24" s="176">
        <v>45945.0</v>
      </c>
      <c r="L24" s="177" t="str">
        <f>IF(K24="","APONTAR DATA",(IF('T&amp;D'!B24="FINALIZADO", "CONCLUÍDO", IF(K24&lt;TODAY(), "VENCIDO", IF(K24=TODAY(), "VENCE HOJE", IF(K24&lt;=TODAY()+5,"VENCENDO", "NO PRAZO"))))))</f>
        <v>CONCLUÍDO</v>
      </c>
      <c r="M24" s="175"/>
      <c r="N24" s="8"/>
      <c r="O24" s="8"/>
      <c r="P24" s="8"/>
      <c r="Q24" s="8"/>
      <c r="R24" s="8"/>
      <c r="S24" s="8"/>
      <c r="T24" s="8"/>
      <c r="U24" s="8"/>
      <c r="V24" s="8"/>
      <c r="W24" s="8"/>
      <c r="X24" s="8"/>
      <c r="Y24" s="8"/>
      <c r="Z24" s="8"/>
    </row>
    <row r="25" ht="15.0" hidden="1" customHeight="1">
      <c r="A25" s="147"/>
      <c r="B25" s="171" t="s">
        <v>276</v>
      </c>
      <c r="C25" s="172" t="s">
        <v>230</v>
      </c>
      <c r="D25" s="149" t="s">
        <v>1073</v>
      </c>
      <c r="E25" s="173" t="s">
        <v>1089</v>
      </c>
      <c r="F25" s="174"/>
      <c r="G25" s="174"/>
      <c r="H25" s="174"/>
      <c r="I25" s="174"/>
      <c r="J25" s="175"/>
      <c r="K25" s="176">
        <v>45946.0</v>
      </c>
      <c r="L25" s="177" t="str">
        <f>IF(K25="","APONTAR DATA",(IF('T&amp;D'!B25="FINALIZADO", "CONCLUÍDO", IF(K25&lt;TODAY(), "VENCIDO", IF(K25=TODAY(), "VENCE HOJE", IF(K25&lt;=TODAY()+5,"VENCENDO", "NO PRAZO"))))))</f>
        <v>CONCLUÍDO</v>
      </c>
      <c r="M25" s="175"/>
      <c r="N25" s="8"/>
      <c r="O25" s="8"/>
      <c r="P25" s="8"/>
      <c r="Q25" s="8"/>
      <c r="R25" s="8"/>
      <c r="S25" s="8"/>
      <c r="T25" s="8"/>
      <c r="U25" s="8"/>
      <c r="V25" s="8"/>
      <c r="W25" s="8"/>
      <c r="X25" s="8"/>
      <c r="Y25" s="8"/>
      <c r="Z25" s="8"/>
    </row>
    <row r="26" ht="15.0" hidden="1" customHeight="1">
      <c r="A26" s="147"/>
      <c r="B26" s="171" t="s">
        <v>276</v>
      </c>
      <c r="C26" s="172" t="s">
        <v>230</v>
      </c>
      <c r="D26" s="149" t="s">
        <v>1073</v>
      </c>
      <c r="E26" s="173" t="s">
        <v>1089</v>
      </c>
      <c r="F26" s="174"/>
      <c r="G26" s="174"/>
      <c r="H26" s="174"/>
      <c r="I26" s="174"/>
      <c r="J26" s="175"/>
      <c r="K26" s="176">
        <v>45947.0</v>
      </c>
      <c r="L26" s="177" t="str">
        <f>IF(K26="","APONTAR DATA",(IF('T&amp;D'!B26="FINALIZADO", "CONCLUÍDO", IF(K26&lt;TODAY(), "VENCIDO", IF(K26=TODAY(), "VENCE HOJE", IF(K26&lt;=TODAY()+5,"VENCENDO", "NO PRAZO"))))))</f>
        <v>CONCLUÍDO</v>
      </c>
      <c r="M26" s="175"/>
      <c r="N26" s="8"/>
      <c r="O26" s="8"/>
      <c r="P26" s="8"/>
      <c r="Q26" s="8"/>
      <c r="R26" s="8"/>
      <c r="S26" s="8"/>
      <c r="T26" s="8"/>
      <c r="U26" s="8"/>
      <c r="V26" s="8"/>
      <c r="W26" s="8"/>
      <c r="X26" s="8"/>
      <c r="Y26" s="8"/>
      <c r="Z26" s="8"/>
    </row>
    <row r="27" ht="15.0" hidden="1" customHeight="1">
      <c r="A27" s="147"/>
      <c r="B27" s="171" t="s">
        <v>276</v>
      </c>
      <c r="C27" s="172" t="s">
        <v>378</v>
      </c>
      <c r="D27" s="149" t="s">
        <v>1073</v>
      </c>
      <c r="E27" s="173" t="s">
        <v>1112</v>
      </c>
      <c r="F27" s="174"/>
      <c r="G27" s="174"/>
      <c r="H27" s="174"/>
      <c r="I27" s="174"/>
      <c r="J27" s="175"/>
      <c r="K27" s="176">
        <v>45958.0</v>
      </c>
      <c r="L27" s="177" t="str">
        <f>IF(K27="","APONTAR DATA",(IF('T&amp;D'!B27="FINALIZADO", "CONCLUÍDO", IF(K27&lt;TODAY(), "VENCIDO", IF(K27=TODAY(), "VENCE HOJE", IF(K27&lt;=TODAY()+5,"VENCENDO", "NO PRAZO"))))))</f>
        <v>CONCLUÍDO</v>
      </c>
      <c r="M27" s="175"/>
      <c r="N27" s="8"/>
      <c r="O27" s="8"/>
      <c r="P27" s="8"/>
      <c r="Q27" s="8"/>
      <c r="R27" s="8"/>
      <c r="S27" s="8"/>
      <c r="T27" s="8"/>
      <c r="U27" s="8"/>
      <c r="V27" s="8"/>
      <c r="W27" s="8"/>
      <c r="X27" s="8"/>
      <c r="Y27" s="8"/>
      <c r="Z27" s="8"/>
    </row>
    <row r="28" ht="15.0" hidden="1" customHeight="1">
      <c r="A28" s="147"/>
      <c r="B28" s="171" t="s">
        <v>276</v>
      </c>
      <c r="C28" s="172" t="s">
        <v>230</v>
      </c>
      <c r="D28" s="149" t="s">
        <v>1073</v>
      </c>
      <c r="E28" s="173" t="s">
        <v>1089</v>
      </c>
      <c r="F28" s="174"/>
      <c r="G28" s="174"/>
      <c r="H28" s="174"/>
      <c r="I28" s="174"/>
      <c r="J28" s="175"/>
      <c r="K28" s="176">
        <v>45960.0</v>
      </c>
      <c r="L28" s="177" t="str">
        <f>IF(K28="","APONTAR DATA",(IF('T&amp;D'!B28="FINALIZADO", "CONCLUÍDO", IF(K28&lt;TODAY(), "VENCIDO", IF(K28=TODAY(), "VENCE HOJE", IF(K28&lt;=TODAY()+5,"VENCENDO", "NO PRAZO"))))))</f>
        <v>CONCLUÍDO</v>
      </c>
      <c r="M28" s="175"/>
      <c r="N28" s="8"/>
      <c r="O28" s="8"/>
      <c r="P28" s="8"/>
      <c r="Q28" s="8"/>
      <c r="R28" s="8"/>
      <c r="S28" s="8"/>
      <c r="T28" s="8"/>
      <c r="U28" s="8"/>
      <c r="V28" s="8"/>
      <c r="W28" s="8"/>
      <c r="X28" s="8"/>
      <c r="Y28" s="8"/>
      <c r="Z28" s="8"/>
    </row>
    <row r="29" ht="15.0" hidden="1" customHeight="1">
      <c r="A29" s="147"/>
      <c r="B29" s="171" t="s">
        <v>276</v>
      </c>
      <c r="C29" s="172" t="s">
        <v>230</v>
      </c>
      <c r="D29" s="149" t="s">
        <v>1073</v>
      </c>
      <c r="E29" s="173" t="s">
        <v>1089</v>
      </c>
      <c r="F29" s="174"/>
      <c r="G29" s="174"/>
      <c r="H29" s="174"/>
      <c r="I29" s="174"/>
      <c r="J29" s="175"/>
      <c r="K29" s="176">
        <v>45961.0</v>
      </c>
      <c r="L29" s="177" t="str">
        <f>IF(K29="","APONTAR DATA",(IF('T&amp;D'!B29="FINALIZADO", "CONCLUÍDO", IF(K29&lt;TODAY(), "VENCIDO", IF(K29=TODAY(), "VENCE HOJE", IF(K29&lt;=TODAY()+5,"VENCENDO", "NO PRAZO"))))))</f>
        <v>CONCLUÍDO</v>
      </c>
      <c r="M29" s="175"/>
      <c r="N29" s="8"/>
      <c r="O29" s="8"/>
      <c r="P29" s="8"/>
      <c r="Q29" s="8"/>
      <c r="R29" s="8"/>
      <c r="S29" s="8"/>
      <c r="T29" s="8"/>
      <c r="U29" s="8"/>
      <c r="V29" s="8"/>
      <c r="W29" s="8"/>
      <c r="X29" s="8"/>
      <c r="Y29" s="8"/>
      <c r="Z29" s="8"/>
    </row>
    <row r="30" ht="15.0" hidden="1" customHeight="1">
      <c r="A30" s="147"/>
      <c r="B30" s="171" t="s">
        <v>276</v>
      </c>
      <c r="C30" s="172" t="s">
        <v>768</v>
      </c>
      <c r="D30" s="149" t="s">
        <v>1073</v>
      </c>
      <c r="E30" s="173" t="s">
        <v>1089</v>
      </c>
      <c r="F30" s="174"/>
      <c r="G30" s="174"/>
      <c r="H30" s="174"/>
      <c r="I30" s="174"/>
      <c r="J30" s="175"/>
      <c r="K30" s="176">
        <v>45966.0</v>
      </c>
      <c r="L30" s="177" t="str">
        <f>IF(K30="","APONTAR DATA",(IF('T&amp;D'!B30="FINALIZADO", "CONCLUÍDO", IF(K30&lt;TODAY(), "VENCIDO", IF(K30=TODAY(), "VENCE HOJE", IF(K30&lt;=TODAY()+5,"VENCENDO", "NO PRAZO"))))))</f>
        <v>CONCLUÍDO</v>
      </c>
      <c r="M30" s="175"/>
      <c r="N30" s="8"/>
      <c r="O30" s="8"/>
      <c r="P30" s="8"/>
      <c r="Q30" s="8"/>
      <c r="R30" s="8"/>
      <c r="S30" s="8"/>
      <c r="T30" s="8"/>
      <c r="U30" s="8"/>
      <c r="V30" s="8"/>
      <c r="W30" s="8"/>
      <c r="X30" s="8"/>
      <c r="Y30" s="8"/>
      <c r="Z30" s="8"/>
    </row>
    <row r="31" ht="15.0" hidden="1" customHeight="1">
      <c r="A31" s="147"/>
      <c r="B31" s="171" t="s">
        <v>276</v>
      </c>
      <c r="C31" s="172" t="s">
        <v>664</v>
      </c>
      <c r="D31" s="149" t="s">
        <v>1073</v>
      </c>
      <c r="E31" s="173" t="s">
        <v>1150</v>
      </c>
      <c r="F31" s="174"/>
      <c r="G31" s="174"/>
      <c r="H31" s="174"/>
      <c r="I31" s="174"/>
      <c r="J31" s="175"/>
      <c r="K31" s="176">
        <v>45975.0</v>
      </c>
      <c r="L31" s="177" t="str">
        <f>IF(K31="","APONTAR DATA",(IF('T&amp;D'!B31="FINALIZADO", "CONCLUÍDO", IF(K31&lt;TODAY(), "VENCIDO", IF(K31=TODAY(), "VENCE HOJE", IF(K31&lt;=TODAY()+5,"VENCENDO", "NO PRAZO"))))))</f>
        <v>CONCLUÍDO</v>
      </c>
      <c r="M31" s="175"/>
      <c r="N31" s="8"/>
      <c r="O31" s="8"/>
      <c r="P31" s="8"/>
      <c r="Q31" s="8"/>
      <c r="R31" s="8"/>
      <c r="S31" s="8"/>
      <c r="T31" s="8"/>
      <c r="U31" s="8"/>
      <c r="V31" s="8"/>
      <c r="W31" s="8"/>
      <c r="X31" s="8"/>
      <c r="Y31" s="8"/>
      <c r="Z31" s="8"/>
    </row>
    <row r="32" ht="15.0" hidden="1" customHeight="1">
      <c r="A32" s="147"/>
      <c r="B32" s="171" t="s">
        <v>276</v>
      </c>
      <c r="C32" s="172" t="s">
        <v>230</v>
      </c>
      <c r="D32" s="149" t="s">
        <v>1073</v>
      </c>
      <c r="E32" s="173" t="s">
        <v>1089</v>
      </c>
      <c r="F32" s="174"/>
      <c r="G32" s="174"/>
      <c r="H32" s="174"/>
      <c r="I32" s="174"/>
      <c r="J32" s="175"/>
      <c r="K32" s="176">
        <v>45978.0</v>
      </c>
      <c r="L32" s="177" t="str">
        <f>IF(K32="","APONTAR DATA",(IF('T&amp;D'!B32="FINALIZADO", "CONCLUÍDO", IF(K32&lt;TODAY(), "VENCIDO", IF(K32=TODAY(), "VENCE HOJE", IF(K32&lt;=TODAY()+5,"VENCENDO", "NO PRAZO"))))))</f>
        <v>CONCLUÍDO</v>
      </c>
      <c r="M32" s="175"/>
      <c r="N32" s="8"/>
      <c r="O32" s="8"/>
      <c r="P32" s="8"/>
      <c r="Q32" s="8"/>
      <c r="R32" s="8"/>
      <c r="S32" s="8"/>
      <c r="T32" s="8"/>
      <c r="U32" s="8"/>
      <c r="V32" s="8"/>
      <c r="W32" s="8"/>
      <c r="X32" s="8"/>
      <c r="Y32" s="8"/>
      <c r="Z32" s="8"/>
    </row>
    <row r="33" ht="15.0" hidden="1" customHeight="1">
      <c r="A33" s="147"/>
      <c r="B33" s="171" t="s">
        <v>276</v>
      </c>
      <c r="C33" s="172" t="s">
        <v>230</v>
      </c>
      <c r="D33" s="149" t="s">
        <v>1073</v>
      </c>
      <c r="E33" s="173" t="s">
        <v>1089</v>
      </c>
      <c r="F33" s="174"/>
      <c r="G33" s="174"/>
      <c r="H33" s="174"/>
      <c r="I33" s="174"/>
      <c r="J33" s="175"/>
      <c r="K33" s="176">
        <v>45979.0</v>
      </c>
      <c r="L33" s="177" t="str">
        <f>IF(K33="","APONTAR DATA",(IF('T&amp;D'!B33="FINALIZADO", "CONCLUÍDO", IF(K33&lt;TODAY(), "VENCIDO", IF(K33=TODAY(), "VENCE HOJE", IF(K33&lt;=TODAY()+5,"VENCENDO", "NO PRAZO"))))))</f>
        <v>CONCLUÍDO</v>
      </c>
      <c r="M33" s="175"/>
      <c r="N33" s="8"/>
      <c r="O33" s="8"/>
      <c r="P33" s="8"/>
      <c r="Q33" s="8"/>
      <c r="R33" s="8"/>
      <c r="S33" s="8"/>
      <c r="T33" s="8"/>
      <c r="U33" s="8"/>
      <c r="V33" s="8"/>
      <c r="W33" s="8"/>
      <c r="X33" s="8"/>
      <c r="Y33" s="8"/>
      <c r="Z33" s="8"/>
    </row>
    <row r="34" ht="15.0" hidden="1" customHeight="1">
      <c r="A34" s="147"/>
      <c r="B34" s="171" t="s">
        <v>276</v>
      </c>
      <c r="C34" s="172" t="s">
        <v>230</v>
      </c>
      <c r="D34" s="149" t="s">
        <v>1073</v>
      </c>
      <c r="E34" s="173" t="s">
        <v>1089</v>
      </c>
      <c r="F34" s="174"/>
      <c r="G34" s="174"/>
      <c r="H34" s="174"/>
      <c r="I34" s="174"/>
      <c r="J34" s="175"/>
      <c r="K34" s="176">
        <v>45980.0</v>
      </c>
      <c r="L34" s="177" t="str">
        <f>IF(K34="","APONTAR DATA",(IF('T&amp;D'!B34="FINALIZADO", "CONCLUÍDO", IF(K34&lt;TODAY(), "VENCIDO", IF(K34=TODAY(), "VENCE HOJE", IF(K34&lt;=TODAY()+5,"VENCENDO", "NO PRAZO"))))))</f>
        <v>CONCLUÍDO</v>
      </c>
      <c r="M34" s="175"/>
      <c r="N34" s="8"/>
      <c r="O34" s="8"/>
      <c r="P34" s="8"/>
      <c r="Q34" s="8"/>
      <c r="R34" s="8"/>
      <c r="S34" s="8"/>
      <c r="T34" s="8"/>
      <c r="U34" s="8"/>
      <c r="V34" s="8"/>
      <c r="W34" s="8"/>
      <c r="X34" s="8"/>
      <c r="Y34" s="8"/>
      <c r="Z34" s="8"/>
    </row>
    <row r="35" ht="15.0" hidden="1" customHeight="1">
      <c r="A35" s="147"/>
      <c r="B35" s="171" t="s">
        <v>276</v>
      </c>
      <c r="C35" s="172" t="s">
        <v>387</v>
      </c>
      <c r="D35" s="149" t="s">
        <v>1073</v>
      </c>
      <c r="E35" s="173" t="s">
        <v>1176</v>
      </c>
      <c r="F35" s="174"/>
      <c r="G35" s="174"/>
      <c r="H35" s="174"/>
      <c r="I35" s="174"/>
      <c r="J35" s="175"/>
      <c r="K35" s="176">
        <v>46014.0</v>
      </c>
      <c r="L35" s="177" t="str">
        <f>IF(K35="","APONTAR DATA",(IF('T&amp;D'!B35="FINALIZADO", "CONCLUÍDO", IF(K35&lt;TODAY(), "VENCIDO", IF(K35=TODAY(), "VENCE HOJE", IF(K35&lt;=TODAY()+5,"VENCENDO", "NO PRAZO"))))))</f>
        <v>CONCLUÍDO</v>
      </c>
      <c r="M35" s="175"/>
      <c r="N35" s="8"/>
      <c r="O35" s="8"/>
      <c r="P35" s="8"/>
      <c r="Q35" s="8"/>
      <c r="R35" s="8"/>
      <c r="S35" s="8"/>
      <c r="T35" s="8"/>
      <c r="U35" s="8"/>
      <c r="V35" s="8"/>
      <c r="W35" s="8"/>
      <c r="X35" s="8"/>
      <c r="Y35" s="8"/>
      <c r="Z35" s="8"/>
    </row>
    <row r="36" ht="15.0" hidden="1" customHeight="1">
      <c r="A36" s="147"/>
      <c r="B36" s="171" t="s">
        <v>276</v>
      </c>
      <c r="C36" s="172" t="s">
        <v>642</v>
      </c>
      <c r="D36" s="149" t="s">
        <v>1073</v>
      </c>
      <c r="E36" s="173" t="s">
        <v>1176</v>
      </c>
      <c r="F36" s="174"/>
      <c r="G36" s="174"/>
      <c r="H36" s="174"/>
      <c r="I36" s="174"/>
      <c r="J36" s="175"/>
      <c r="K36" s="176">
        <v>46020.0</v>
      </c>
      <c r="L36" s="177" t="str">
        <f>IF(K36="","APONTAR DATA",(IF('T&amp;D'!B36="FINALIZADO", "CONCLUÍDO", IF(K36&lt;TODAY(), "VENCIDO", IF(K36=TODAY(), "VENCE HOJE", IF(K36&lt;=TODAY()+5,"VENCENDO", "NO PRAZO"))))))</f>
        <v>CONCLUÍDO</v>
      </c>
      <c r="M36" s="175"/>
      <c r="N36" s="8"/>
      <c r="O36" s="8"/>
      <c r="P36" s="8"/>
      <c r="Q36" s="8"/>
      <c r="R36" s="8"/>
      <c r="S36" s="8"/>
      <c r="T36" s="8"/>
      <c r="U36" s="8"/>
      <c r="V36" s="8"/>
      <c r="W36" s="8"/>
      <c r="X36" s="8"/>
      <c r="Y36" s="8"/>
      <c r="Z36" s="8"/>
    </row>
    <row r="37" ht="15.0" hidden="1" customHeight="1">
      <c r="A37" s="147"/>
      <c r="B37" s="171" t="s">
        <v>276</v>
      </c>
      <c r="C37" s="172" t="s">
        <v>362</v>
      </c>
      <c r="D37" s="149" t="s">
        <v>1073</v>
      </c>
      <c r="E37" s="173" t="s">
        <v>1194</v>
      </c>
      <c r="F37" s="174"/>
      <c r="G37" s="174"/>
      <c r="H37" s="174"/>
      <c r="I37" s="174"/>
      <c r="J37" s="175"/>
      <c r="K37" s="176">
        <v>46045.0</v>
      </c>
      <c r="L37" s="177" t="str">
        <f>IF(K37="","APONTAR DATA",(IF('T&amp;D'!B37="FINALIZADO", "CONCLUÍDO", IF(K37&lt;TODAY(), "VENCIDO", IF(K37=TODAY(), "VENCE HOJE", IF(K37&lt;=TODAY()+5,"VENCENDO", "NO PRAZO"))))))</f>
        <v>CONCLUÍDO</v>
      </c>
      <c r="M37" s="175"/>
      <c r="N37" s="8"/>
      <c r="O37" s="8"/>
      <c r="P37" s="8"/>
      <c r="Q37" s="8"/>
      <c r="R37" s="8"/>
      <c r="S37" s="8"/>
      <c r="T37" s="8"/>
      <c r="U37" s="8"/>
      <c r="V37" s="8"/>
      <c r="W37" s="8"/>
      <c r="X37" s="8"/>
      <c r="Y37" s="8"/>
      <c r="Z37" s="8"/>
    </row>
    <row r="38" ht="15.0" hidden="1" customHeight="1">
      <c r="A38" s="147"/>
      <c r="B38" s="171" t="s">
        <v>276</v>
      </c>
      <c r="C38" s="172" t="s">
        <v>642</v>
      </c>
      <c r="D38" s="149" t="s">
        <v>1073</v>
      </c>
      <c r="E38" s="173" t="s">
        <v>1089</v>
      </c>
      <c r="F38" s="174"/>
      <c r="G38" s="174"/>
      <c r="H38" s="174"/>
      <c r="I38" s="174"/>
      <c r="J38" s="175"/>
      <c r="K38" s="176">
        <v>46038.0</v>
      </c>
      <c r="L38" s="177" t="str">
        <f>IF(K38="","APONTAR DATA",(IF('T&amp;D'!B38="FINALIZADO", "CONCLUÍDO", IF(K38&lt;TODAY(), "VENCIDO", IF(K38=TODAY(), "VENCE HOJE", IF(K38&lt;=TODAY()+5,"VENCENDO", "NO PRAZO"))))))</f>
        <v>CONCLUÍDO</v>
      </c>
      <c r="M38" s="175"/>
      <c r="N38" s="8"/>
      <c r="O38" s="8"/>
      <c r="P38" s="8"/>
      <c r="Q38" s="8"/>
      <c r="R38" s="8"/>
      <c r="S38" s="8"/>
      <c r="T38" s="8"/>
      <c r="U38" s="8"/>
      <c r="V38" s="8"/>
      <c r="W38" s="8"/>
      <c r="X38" s="8"/>
      <c r="Y38" s="8"/>
      <c r="Z38" s="8"/>
    </row>
    <row r="39" ht="15.0" hidden="1" customHeight="1">
      <c r="A39" s="147"/>
      <c r="B39" s="171" t="s">
        <v>276</v>
      </c>
      <c r="C39" s="172" t="s">
        <v>271</v>
      </c>
      <c r="D39" s="149" t="s">
        <v>1073</v>
      </c>
      <c r="E39" s="173" t="s">
        <v>1194</v>
      </c>
      <c r="F39" s="174"/>
      <c r="G39" s="174"/>
      <c r="H39" s="174"/>
      <c r="I39" s="174"/>
      <c r="J39" s="175"/>
      <c r="K39" s="176">
        <v>46078.0</v>
      </c>
      <c r="L39" s="177" t="str">
        <f>IF(K39="","APONTAR DATA",(IF('T&amp;D'!B39="FINALIZADO", "CONCLUÍDO", IF(K39&lt;TODAY(), "VENCIDO", IF(K39=TODAY(), "VENCE HOJE", IF(K39&lt;=TODAY()+5,"VENCENDO", "NO PRAZO"))))))</f>
        <v>CONCLUÍDO</v>
      </c>
      <c r="M39" s="175"/>
      <c r="N39" s="8"/>
      <c r="O39" s="8"/>
      <c r="P39" s="8"/>
      <c r="Q39" s="8"/>
      <c r="R39" s="8"/>
      <c r="S39" s="8"/>
      <c r="T39" s="8"/>
      <c r="U39" s="8"/>
      <c r="V39" s="8"/>
      <c r="W39" s="8"/>
      <c r="X39" s="8"/>
      <c r="Y39" s="8"/>
      <c r="Z39" s="8"/>
    </row>
    <row r="40" ht="15.0" hidden="1" customHeight="1">
      <c r="A40" s="147"/>
      <c r="B40" s="171" t="s">
        <v>276</v>
      </c>
      <c r="C40" s="172" t="s">
        <v>271</v>
      </c>
      <c r="D40" s="149" t="s">
        <v>1073</v>
      </c>
      <c r="E40" s="173" t="s">
        <v>1194</v>
      </c>
      <c r="F40" s="174"/>
      <c r="G40" s="174"/>
      <c r="H40" s="174"/>
      <c r="I40" s="174"/>
      <c r="J40" s="175"/>
      <c r="K40" s="176">
        <v>46079.0</v>
      </c>
      <c r="L40" s="177" t="str">
        <f>IF(K40="","APONTAR DATA",(IF('T&amp;D'!B40="FINALIZADO", "CONCLUÍDO", IF(K40&lt;TODAY(), "VENCIDO", IF(K40=TODAY(), "VENCE HOJE", IF(K40&lt;=TODAY()+5,"VENCENDO", "NO PRAZO"))))))</f>
        <v>CONCLUÍDO</v>
      </c>
      <c r="M40" s="175"/>
      <c r="N40" s="8"/>
      <c r="O40" s="8"/>
      <c r="P40" s="8"/>
      <c r="Q40" s="8"/>
      <c r="R40" s="8"/>
      <c r="S40" s="8"/>
      <c r="T40" s="8"/>
      <c r="U40" s="8"/>
      <c r="V40" s="8"/>
      <c r="W40" s="8"/>
      <c r="X40" s="8"/>
      <c r="Y40" s="8"/>
      <c r="Z40" s="8"/>
    </row>
    <row r="41" ht="15.0" hidden="1" customHeight="1">
      <c r="A41" s="147"/>
      <c r="B41" s="171" t="s">
        <v>276</v>
      </c>
      <c r="C41" s="172" t="s">
        <v>271</v>
      </c>
      <c r="D41" s="149" t="s">
        <v>1073</v>
      </c>
      <c r="E41" s="173" t="s">
        <v>1194</v>
      </c>
      <c r="F41" s="174"/>
      <c r="G41" s="174"/>
      <c r="H41" s="174"/>
      <c r="I41" s="174"/>
      <c r="J41" s="175"/>
      <c r="K41" s="176">
        <v>46080.0</v>
      </c>
      <c r="L41" s="177" t="str">
        <f>IF(K41="","APONTAR DATA",(IF('T&amp;D'!B41="FINALIZADO", "CONCLUÍDO", IF(K41&lt;TODAY(), "VENCIDO", IF(K41=TODAY(), "VENCE HOJE", IF(K41&lt;=TODAY()+5,"VENCENDO", "NO PRAZO"))))))</f>
        <v>CONCLUÍDO</v>
      </c>
      <c r="M41" s="175"/>
      <c r="N41" s="8"/>
      <c r="O41" s="8"/>
      <c r="P41" s="8"/>
      <c r="Q41" s="8"/>
      <c r="R41" s="8"/>
      <c r="S41" s="8"/>
      <c r="T41" s="8"/>
      <c r="U41" s="8"/>
      <c r="V41" s="8"/>
      <c r="W41" s="8"/>
      <c r="X41" s="8"/>
      <c r="Y41" s="8"/>
      <c r="Z41" s="8"/>
    </row>
    <row r="42" ht="15.0" hidden="1" customHeight="1">
      <c r="A42" s="147"/>
      <c r="B42" s="171" t="s">
        <v>276</v>
      </c>
      <c r="C42" s="149" t="s">
        <v>621</v>
      </c>
      <c r="D42" s="149" t="s">
        <v>1073</v>
      </c>
      <c r="E42" s="173" t="s">
        <v>1234</v>
      </c>
      <c r="F42" s="174"/>
      <c r="G42" s="174"/>
      <c r="H42" s="174"/>
      <c r="I42" s="174"/>
      <c r="J42" s="175"/>
      <c r="K42" s="176">
        <v>46080.0</v>
      </c>
      <c r="L42" s="177" t="str">
        <f>IF(K42="","APONTAR DATA",(IF('T&amp;D'!B42="FINALIZADO", "CONCLUÍDO", IF(K42&lt;TODAY(), "VENCIDO", IF(K42=TODAY(), "VENCE HOJE", IF(K42&lt;=TODAY()+5,"VENCENDO", "NO PRAZO"))))))</f>
        <v>CONCLUÍDO</v>
      </c>
      <c r="M42" s="175"/>
      <c r="N42" s="8"/>
      <c r="O42" s="8"/>
      <c r="P42" s="8"/>
      <c r="Q42" s="8"/>
      <c r="R42" s="8"/>
      <c r="S42" s="8"/>
      <c r="T42" s="8"/>
      <c r="U42" s="8"/>
      <c r="V42" s="8"/>
      <c r="W42" s="8"/>
      <c r="X42" s="8"/>
      <c r="Y42" s="8"/>
      <c r="Z42" s="8"/>
    </row>
    <row r="43" ht="15.0" hidden="1" customHeight="1">
      <c r="A43" s="147"/>
      <c r="B43" s="171" t="s">
        <v>276</v>
      </c>
      <c r="C43" s="172" t="s">
        <v>498</v>
      </c>
      <c r="D43" s="149" t="s">
        <v>1073</v>
      </c>
      <c r="E43" s="173" t="s">
        <v>1176</v>
      </c>
      <c r="F43" s="174"/>
      <c r="G43" s="174"/>
      <c r="H43" s="174"/>
      <c r="I43" s="174"/>
      <c r="J43" s="175"/>
      <c r="K43" s="176">
        <v>46031.0</v>
      </c>
      <c r="L43" s="177" t="str">
        <f>IF(K43="","APONTAR DATA",(IF('T&amp;D'!B43="FINALIZADO", "CONCLUÍDO", IF(K43&lt;TODAY(), "VENCIDO", IF(K43=TODAY(), "VENCE HOJE", IF(K43&lt;=TODAY()+5,"VENCENDO", "NO PRAZO"))))))</f>
        <v>CONCLUÍDO</v>
      </c>
      <c r="M43" s="175"/>
      <c r="N43" s="8"/>
      <c r="O43" s="8"/>
      <c r="P43" s="8"/>
      <c r="Q43" s="8"/>
      <c r="R43" s="8"/>
      <c r="S43" s="8"/>
      <c r="T43" s="8"/>
      <c r="U43" s="8"/>
      <c r="V43" s="8"/>
      <c r="W43" s="8"/>
      <c r="X43" s="8"/>
      <c r="Y43" s="8"/>
      <c r="Z43" s="8"/>
    </row>
    <row r="44" ht="15.0" hidden="1" customHeight="1">
      <c r="A44" s="147"/>
      <c r="B44" s="171" t="s">
        <v>276</v>
      </c>
      <c r="C44" s="149" t="s">
        <v>1248</v>
      </c>
      <c r="D44" s="149" t="s">
        <v>1073</v>
      </c>
      <c r="E44" s="173" t="s">
        <v>1234</v>
      </c>
      <c r="F44" s="174"/>
      <c r="G44" s="174"/>
      <c r="H44" s="174"/>
      <c r="I44" s="174"/>
      <c r="J44" s="175"/>
      <c r="K44" s="176">
        <v>46056.0</v>
      </c>
      <c r="L44" s="177" t="str">
        <f>IF(K44="","APONTAR DATA",(IF('T&amp;D'!B44="FINALIZADO", "CONCLUÍDO", IF(K44&lt;TODAY(), "VENCIDO", IF(K44=TODAY(), "VENCE HOJE", IF(K44&lt;=TODAY()+5,"VENCENDO", "NO PRAZO"))))))</f>
        <v>CONCLUÍDO</v>
      </c>
      <c r="M44" s="175"/>
      <c r="N44" s="8"/>
      <c r="O44" s="8"/>
      <c r="P44" s="8"/>
      <c r="Q44" s="8"/>
      <c r="R44" s="8"/>
      <c r="S44" s="8"/>
      <c r="T44" s="8"/>
      <c r="U44" s="8"/>
      <c r="V44" s="8"/>
      <c r="W44" s="8"/>
      <c r="X44" s="8"/>
      <c r="Y44" s="8"/>
      <c r="Z44" s="8"/>
    </row>
    <row r="45" ht="15.0" hidden="1" customHeight="1">
      <c r="A45" s="147"/>
      <c r="B45" s="171" t="s">
        <v>276</v>
      </c>
      <c r="C45" s="149" t="s">
        <v>642</v>
      </c>
      <c r="D45" s="149" t="s">
        <v>1073</v>
      </c>
      <c r="E45" s="173" t="s">
        <v>1194</v>
      </c>
      <c r="F45" s="174"/>
      <c r="G45" s="174"/>
      <c r="H45" s="174"/>
      <c r="I45" s="174"/>
      <c r="J45" s="175"/>
      <c r="K45" s="176">
        <v>46057.0</v>
      </c>
      <c r="L45" s="177" t="str">
        <f>IF(K45="","APONTAR DATA",(IF('T&amp;D'!B45="FINALIZADO", "CONCLUÍDO", IF(K45&lt;TODAY(), "VENCIDO", IF(K45=TODAY(), "VENCE HOJE", IF(K45&lt;=TODAY()+5,"VENCENDO", "NO PRAZO"))))))</f>
        <v>CONCLUÍDO</v>
      </c>
      <c r="M45" s="175"/>
      <c r="N45" s="8"/>
      <c r="O45" s="8"/>
      <c r="P45" s="8"/>
      <c r="Q45" s="8"/>
      <c r="R45" s="8"/>
      <c r="S45" s="8"/>
      <c r="T45" s="8"/>
      <c r="U45" s="8"/>
      <c r="V45" s="8"/>
      <c r="W45" s="8"/>
      <c r="X45" s="8"/>
      <c r="Y45" s="8"/>
      <c r="Z45" s="8"/>
    </row>
    <row r="46" ht="15.0" hidden="1" customHeight="1">
      <c r="A46" s="147"/>
      <c r="B46" s="171" t="s">
        <v>276</v>
      </c>
      <c r="C46" s="149" t="s">
        <v>642</v>
      </c>
      <c r="D46" s="149" t="s">
        <v>1073</v>
      </c>
      <c r="E46" s="173" t="s">
        <v>1194</v>
      </c>
      <c r="F46" s="174"/>
      <c r="G46" s="174"/>
      <c r="H46" s="174"/>
      <c r="I46" s="174"/>
      <c r="J46" s="175"/>
      <c r="K46" s="176">
        <v>46058.0</v>
      </c>
      <c r="L46" s="177" t="str">
        <f>IF(K46="","APONTAR DATA",(IF('T&amp;D'!B46="FINALIZADO", "CONCLUÍDO", IF(K46&lt;TODAY(), "VENCIDO", IF(K46=TODAY(), "VENCE HOJE", IF(K46&lt;=TODAY()+5,"VENCENDO", "NO PRAZO"))))))</f>
        <v>CONCLUÍDO</v>
      </c>
      <c r="M46" s="175"/>
      <c r="N46" s="8"/>
      <c r="O46" s="8"/>
      <c r="P46" s="8"/>
      <c r="Q46" s="8"/>
      <c r="R46" s="8"/>
      <c r="S46" s="8"/>
      <c r="T46" s="8"/>
      <c r="U46" s="8"/>
      <c r="V46" s="8"/>
      <c r="W46" s="8"/>
      <c r="X46" s="8"/>
      <c r="Y46" s="8"/>
      <c r="Z46" s="8"/>
    </row>
    <row r="47" ht="15.0" hidden="1" customHeight="1">
      <c r="A47" s="147"/>
      <c r="B47" s="171" t="s">
        <v>276</v>
      </c>
      <c r="C47" s="149" t="s">
        <v>378</v>
      </c>
      <c r="D47" s="149" t="s">
        <v>1073</v>
      </c>
      <c r="E47" s="173" t="s">
        <v>1194</v>
      </c>
      <c r="F47" s="174"/>
      <c r="G47" s="174"/>
      <c r="H47" s="174"/>
      <c r="I47" s="174"/>
      <c r="J47" s="175"/>
      <c r="K47" s="176">
        <v>46059.0</v>
      </c>
      <c r="L47" s="177" t="str">
        <f>IF(K47="","APONTAR DATA",(IF('T&amp;D'!B47="FINALIZADO", "CONCLUÍDO", IF(K47&lt;TODAY(), "VENCIDO", IF(K47=TODAY(), "VENCE HOJE", IF(K47&lt;=TODAY()+5,"VENCENDO", "NO PRAZO"))))))</f>
        <v>CONCLUÍDO</v>
      </c>
      <c r="M47" s="175"/>
      <c r="N47" s="8"/>
      <c r="O47" s="8"/>
      <c r="P47" s="8"/>
      <c r="Q47" s="8"/>
      <c r="R47" s="8"/>
      <c r="S47" s="8"/>
      <c r="T47" s="8"/>
      <c r="U47" s="8"/>
      <c r="V47" s="8"/>
      <c r="W47" s="8"/>
      <c r="X47" s="8"/>
      <c r="Y47" s="8"/>
      <c r="Z47" s="8"/>
    </row>
    <row r="48" ht="15.0" hidden="1" customHeight="1">
      <c r="A48" s="147"/>
      <c r="B48" s="171" t="s">
        <v>276</v>
      </c>
      <c r="C48" s="167" t="s">
        <v>328</v>
      </c>
      <c r="D48" s="149" t="s">
        <v>1073</v>
      </c>
      <c r="E48" s="194" t="s">
        <v>1274</v>
      </c>
      <c r="F48" s="174"/>
      <c r="G48" s="174"/>
      <c r="H48" s="174"/>
      <c r="I48" s="174"/>
      <c r="J48" s="175"/>
      <c r="K48" s="176">
        <v>46062.0</v>
      </c>
      <c r="L48" s="177" t="str">
        <f>IF(K48="","APONTAR DATA",(IF('T&amp;D'!B48="FINALIZADO", "CONCLUÍDO", IF(K48&lt;TODAY(), "VENCIDO", IF(K48=TODAY(), "VENCE HOJE", IF(K48&lt;=TODAY()+5,"VENCENDO", "NO PRAZO"))))))</f>
        <v>CONCLUÍDO</v>
      </c>
      <c r="M48" s="175"/>
      <c r="N48" s="8"/>
      <c r="O48" s="8"/>
      <c r="P48" s="8"/>
      <c r="Q48" s="8"/>
      <c r="R48" s="8"/>
      <c r="S48" s="8"/>
      <c r="T48" s="8"/>
      <c r="U48" s="8"/>
      <c r="V48" s="8"/>
      <c r="W48" s="8"/>
      <c r="X48" s="8"/>
      <c r="Y48" s="8"/>
      <c r="Z48" s="8"/>
    </row>
    <row r="49" ht="15.0" hidden="1" customHeight="1">
      <c r="A49" s="147"/>
      <c r="B49" s="171" t="s">
        <v>276</v>
      </c>
      <c r="C49" s="149" t="s">
        <v>642</v>
      </c>
      <c r="D49" s="149" t="s">
        <v>1073</v>
      </c>
      <c r="E49" s="173" t="s">
        <v>1194</v>
      </c>
      <c r="F49" s="174"/>
      <c r="G49" s="174"/>
      <c r="H49" s="174"/>
      <c r="I49" s="174"/>
      <c r="J49" s="175"/>
      <c r="K49" s="176">
        <v>46064.0</v>
      </c>
      <c r="L49" s="177" t="str">
        <f>IF(K49="","APONTAR DATA",(IF('T&amp;D'!B49="FINALIZADO", "CONCLUÍDO", IF(K49&lt;TODAY(), "VENCIDO", IF(K49=TODAY(), "VENCE HOJE", IF(K49&lt;=TODAY()+5,"VENCENDO", "NO PRAZO"))))))</f>
        <v>CONCLUÍDO</v>
      </c>
      <c r="M49" s="175"/>
      <c r="N49" s="8"/>
      <c r="O49" s="8"/>
      <c r="P49" s="8"/>
      <c r="Q49" s="8"/>
      <c r="R49" s="8"/>
      <c r="S49" s="8"/>
      <c r="T49" s="8"/>
      <c r="U49" s="8"/>
      <c r="V49" s="8"/>
      <c r="W49" s="8"/>
      <c r="X49" s="8"/>
      <c r="Y49" s="8"/>
      <c r="Z49" s="8"/>
    </row>
    <row r="50" ht="15.0" hidden="1" customHeight="1">
      <c r="A50" s="147"/>
      <c r="B50" s="171" t="s">
        <v>276</v>
      </c>
      <c r="C50" s="167" t="s">
        <v>328</v>
      </c>
      <c r="D50" s="149" t="s">
        <v>1073</v>
      </c>
      <c r="E50" s="194" t="s">
        <v>1274</v>
      </c>
      <c r="F50" s="174"/>
      <c r="G50" s="174"/>
      <c r="H50" s="174"/>
      <c r="I50" s="174"/>
      <c r="J50" s="175"/>
      <c r="K50" s="176">
        <v>46065.0</v>
      </c>
      <c r="L50" s="177" t="str">
        <f>IF(K50="","APONTAR DATA",(IF('T&amp;D'!B50="FINALIZADO", "CONCLUÍDO", IF(K50&lt;TODAY(), "VENCIDO", IF(K50=TODAY(), "VENCE HOJE", IF(K50&lt;=TODAY()+5,"VENCENDO", "NO PRAZO"))))))</f>
        <v>CONCLUÍDO</v>
      </c>
      <c r="M50" s="175"/>
      <c r="N50" s="8"/>
      <c r="O50" s="8"/>
      <c r="P50" s="8"/>
      <c r="Q50" s="8"/>
      <c r="R50" s="8"/>
      <c r="S50" s="8"/>
      <c r="T50" s="8"/>
      <c r="U50" s="8"/>
      <c r="V50" s="8"/>
      <c r="W50" s="8"/>
      <c r="X50" s="8"/>
      <c r="Y50" s="8"/>
      <c r="Z50" s="8"/>
    </row>
    <row r="51" ht="15.0" hidden="1" customHeight="1">
      <c r="A51" s="147"/>
      <c r="B51" s="171" t="s">
        <v>276</v>
      </c>
      <c r="C51" s="172" t="s">
        <v>642</v>
      </c>
      <c r="D51" s="149" t="s">
        <v>1073</v>
      </c>
      <c r="E51" s="173" t="s">
        <v>1303</v>
      </c>
      <c r="F51" s="174"/>
      <c r="G51" s="174"/>
      <c r="H51" s="174"/>
      <c r="I51" s="174"/>
      <c r="J51" s="175"/>
      <c r="K51" s="176">
        <v>46036.0</v>
      </c>
      <c r="L51" s="177" t="str">
        <f>IF(K51="","APONTAR DATA",(IF('T&amp;D'!B51="FINALIZADO", "CONCLUÍDO", IF(K51&lt;TODAY(), "VENCIDO", IF(K51=TODAY(), "VENCE HOJE", IF(K51&lt;=TODAY()+5,"VENCENDO", "NO PRAZO"))))))</f>
        <v>CONCLUÍDO</v>
      </c>
      <c r="M51" s="175"/>
      <c r="N51" s="8"/>
      <c r="O51" s="8"/>
      <c r="P51" s="8"/>
      <c r="Q51" s="8"/>
      <c r="R51" s="8"/>
      <c r="S51" s="8"/>
      <c r="T51" s="8"/>
      <c r="U51" s="8"/>
      <c r="V51" s="8"/>
      <c r="W51" s="8"/>
      <c r="X51" s="8"/>
      <c r="Y51" s="8"/>
      <c r="Z51" s="8"/>
    </row>
    <row r="52" ht="15.0" hidden="1" customHeight="1">
      <c r="A52" s="147"/>
      <c r="B52" s="171" t="s">
        <v>276</v>
      </c>
      <c r="C52" s="149" t="s">
        <v>362</v>
      </c>
      <c r="D52" s="149" t="s">
        <v>1073</v>
      </c>
      <c r="E52" s="173" t="s">
        <v>1194</v>
      </c>
      <c r="F52" s="174"/>
      <c r="G52" s="174"/>
      <c r="H52" s="174"/>
      <c r="I52" s="174"/>
      <c r="J52" s="175"/>
      <c r="K52" s="176">
        <v>46051.0</v>
      </c>
      <c r="L52" s="177" t="str">
        <f>IF(K52="","APONTAR DATA",(IF('T&amp;D'!B52="FINALIZADO", "CONCLUÍDO", IF(K52&lt;TODAY(), "VENCIDO", IF(K52=TODAY(), "VENCE HOJE", IF(K52&lt;=TODAY()+5,"VENCENDO", "NO PRAZO"))))))</f>
        <v>CONCLUÍDO</v>
      </c>
      <c r="M52" s="175"/>
      <c r="N52" s="8"/>
      <c r="O52" s="8"/>
      <c r="P52" s="8"/>
      <c r="Q52" s="8"/>
      <c r="R52" s="8"/>
      <c r="S52" s="8"/>
      <c r="T52" s="8"/>
      <c r="U52" s="8"/>
      <c r="V52" s="8"/>
      <c r="W52" s="8"/>
      <c r="X52" s="8"/>
      <c r="Y52" s="8"/>
      <c r="Z52" s="8"/>
    </row>
    <row r="53" ht="15.0" hidden="1" customHeight="1">
      <c r="A53" s="147"/>
      <c r="B53" s="171" t="s">
        <v>276</v>
      </c>
      <c r="C53" s="149" t="s">
        <v>642</v>
      </c>
      <c r="D53" s="149" t="s">
        <v>1073</v>
      </c>
      <c r="E53" s="173" t="s">
        <v>1194</v>
      </c>
      <c r="F53" s="174"/>
      <c r="G53" s="174"/>
      <c r="H53" s="174"/>
      <c r="I53" s="174"/>
      <c r="J53" s="175"/>
      <c r="K53" s="176">
        <v>46066.0</v>
      </c>
      <c r="L53" s="177" t="str">
        <f>IF(K53="","APONTAR DATA",(IF('T&amp;D'!B53="FINALIZADO", "CONCLUÍDO", IF(K53&lt;TODAY(), "VENCIDO", IF(K53=TODAY(), "VENCE HOJE", IF(K53&lt;=TODAY()+5,"VENCENDO", "NO PRAZO"))))))</f>
        <v>CONCLUÍDO</v>
      </c>
      <c r="M53" s="175"/>
      <c r="N53" s="8"/>
      <c r="O53" s="8"/>
      <c r="P53" s="8"/>
      <c r="Q53" s="8"/>
      <c r="R53" s="8"/>
      <c r="S53" s="8"/>
      <c r="T53" s="8"/>
      <c r="U53" s="8"/>
      <c r="V53" s="8"/>
      <c r="W53" s="8"/>
      <c r="X53" s="8"/>
      <c r="Y53" s="8"/>
      <c r="Z53" s="8"/>
    </row>
    <row r="54" ht="15.0" hidden="1" customHeight="1">
      <c r="A54" s="147"/>
      <c r="B54" s="171" t="s">
        <v>276</v>
      </c>
      <c r="C54" s="149" t="s">
        <v>819</v>
      </c>
      <c r="D54" s="149" t="s">
        <v>1073</v>
      </c>
      <c r="E54" s="173" t="s">
        <v>1194</v>
      </c>
      <c r="F54" s="174"/>
      <c r="G54" s="174"/>
      <c r="H54" s="174"/>
      <c r="I54" s="174"/>
      <c r="J54" s="175"/>
      <c r="K54" s="176">
        <v>46084.0</v>
      </c>
      <c r="L54" s="177" t="str">
        <f>IF(K54="","APONTAR DATA",(IF('T&amp;D'!B54="FINALIZADO", "CONCLUÍDO", IF(K54&lt;TODAY(), "VENCIDO", IF(K54=TODAY(), "VENCE HOJE", IF(K54&lt;=TODAY()+5,"VENCENDO", "NO PRAZO"))))))</f>
        <v>CONCLUÍDO</v>
      </c>
      <c r="M54" s="175"/>
      <c r="N54" s="8"/>
      <c r="O54" s="8"/>
      <c r="P54" s="8"/>
      <c r="Q54" s="8"/>
      <c r="R54" s="8"/>
      <c r="S54" s="8"/>
      <c r="T54" s="8"/>
      <c r="U54" s="8"/>
      <c r="V54" s="8"/>
      <c r="W54" s="8"/>
      <c r="X54" s="8"/>
      <c r="Y54" s="8"/>
      <c r="Z54" s="8"/>
    </row>
    <row r="55" ht="15.0" hidden="1" customHeight="1">
      <c r="A55" s="147"/>
      <c r="B55" s="171" t="s">
        <v>276</v>
      </c>
      <c r="C55" s="149" t="s">
        <v>819</v>
      </c>
      <c r="D55" s="149" t="s">
        <v>1073</v>
      </c>
      <c r="E55" s="173" t="s">
        <v>1194</v>
      </c>
      <c r="F55" s="174"/>
      <c r="G55" s="174"/>
      <c r="H55" s="174"/>
      <c r="I55" s="174"/>
      <c r="J55" s="175"/>
      <c r="K55" s="176">
        <v>46085.0</v>
      </c>
      <c r="L55" s="177" t="str">
        <f>IF(K55="","APONTAR DATA",(IF('T&amp;D'!B55="FINALIZADO", "CONCLUÍDO", IF(K55&lt;TODAY(), "VENCIDO", IF(K55=TODAY(), "VENCE HOJE", IF(K55&lt;=TODAY()+5,"VENCENDO", "NO PRAZO"))))))</f>
        <v>CONCLUÍDO</v>
      </c>
      <c r="M55" s="175"/>
      <c r="N55" s="8"/>
      <c r="O55" s="8"/>
      <c r="P55" s="8"/>
      <c r="Q55" s="8"/>
      <c r="R55" s="8"/>
      <c r="S55" s="8"/>
      <c r="T55" s="8"/>
      <c r="U55" s="8"/>
      <c r="V55" s="8"/>
      <c r="W55" s="8"/>
      <c r="X55" s="8"/>
      <c r="Y55" s="8"/>
      <c r="Z55" s="8"/>
    </row>
    <row r="56" ht="15.0" hidden="1" customHeight="1">
      <c r="A56" s="147"/>
      <c r="B56" s="171" t="s">
        <v>276</v>
      </c>
      <c r="C56" s="149" t="s">
        <v>819</v>
      </c>
      <c r="D56" s="149" t="s">
        <v>1073</v>
      </c>
      <c r="E56" s="173" t="s">
        <v>1194</v>
      </c>
      <c r="F56" s="174"/>
      <c r="G56" s="174"/>
      <c r="H56" s="174"/>
      <c r="I56" s="174"/>
      <c r="J56" s="175"/>
      <c r="K56" s="176">
        <v>46086.0</v>
      </c>
      <c r="L56" s="177" t="str">
        <f>IF(K56="","APONTAR DATA",(IF('T&amp;D'!B56="FINALIZADO", "CONCLUÍDO", IF(K56&lt;TODAY(), "VENCIDO", IF(K56=TODAY(), "VENCE HOJE", IF(K56&lt;=TODAY()+5,"VENCENDO", "NO PRAZO"))))))</f>
        <v>CONCLUÍDO</v>
      </c>
      <c r="M56" s="175"/>
      <c r="N56" s="8"/>
      <c r="O56" s="8"/>
      <c r="P56" s="8"/>
      <c r="Q56" s="8"/>
      <c r="R56" s="8"/>
      <c r="S56" s="8"/>
      <c r="T56" s="8"/>
      <c r="U56" s="8"/>
      <c r="V56" s="8"/>
      <c r="W56" s="8"/>
      <c r="X56" s="8"/>
      <c r="Y56" s="8"/>
      <c r="Z56" s="8"/>
    </row>
    <row r="57" ht="15.0" hidden="1" customHeight="1">
      <c r="A57" s="147"/>
      <c r="B57" s="171" t="s">
        <v>276</v>
      </c>
      <c r="C57" s="149" t="s">
        <v>621</v>
      </c>
      <c r="D57" s="149" t="s">
        <v>1073</v>
      </c>
      <c r="E57" s="173" t="s">
        <v>1234</v>
      </c>
      <c r="F57" s="174"/>
      <c r="G57" s="174"/>
      <c r="H57" s="174"/>
      <c r="I57" s="174"/>
      <c r="J57" s="175"/>
      <c r="K57" s="176">
        <v>46087.0</v>
      </c>
      <c r="L57" s="177" t="str">
        <f>IF(K57="","APONTAR DATA",(IF('T&amp;D'!B57="FINALIZADO", "CONCLUÍDO", IF(K57&lt;TODAY(), "VENCIDO", IF(K57=TODAY(), "VENCE HOJE", IF(K57&lt;=TODAY()+5,"VENCENDO", "NO PRAZO"))))))</f>
        <v>CONCLUÍDO</v>
      </c>
      <c r="M57" s="175"/>
      <c r="N57" s="8"/>
      <c r="O57" s="8"/>
      <c r="P57" s="8"/>
      <c r="Q57" s="8"/>
      <c r="R57" s="8"/>
      <c r="S57" s="8"/>
      <c r="T57" s="8"/>
      <c r="U57" s="8"/>
      <c r="V57" s="8"/>
      <c r="W57" s="8"/>
      <c r="X57" s="8"/>
      <c r="Y57" s="8"/>
      <c r="Z57" s="8"/>
    </row>
    <row r="58" ht="15.0" hidden="1" customHeight="1">
      <c r="A58" s="147"/>
      <c r="B58" s="171" t="s">
        <v>276</v>
      </c>
      <c r="C58" s="149" t="s">
        <v>425</v>
      </c>
      <c r="D58" s="149" t="s">
        <v>1073</v>
      </c>
      <c r="E58" s="173" t="s">
        <v>1194</v>
      </c>
      <c r="F58" s="174"/>
      <c r="G58" s="174"/>
      <c r="H58" s="174"/>
      <c r="I58" s="174"/>
      <c r="J58" s="175"/>
      <c r="K58" s="176">
        <v>46090.0</v>
      </c>
      <c r="L58" s="177" t="str">
        <f>IF(K58="","APONTAR DATA",(IF('T&amp;D'!B58="FINALIZADO", "CONCLUÍDO", IF(K58&lt;TODAY(), "VENCIDO", IF(K58=TODAY(), "VENCE HOJE", IF(K58&lt;=TODAY()+5,"VENCENDO", "NO PRAZO"))))))</f>
        <v>CONCLUÍDO</v>
      </c>
      <c r="M58" s="175"/>
      <c r="N58" s="8"/>
      <c r="O58" s="8"/>
      <c r="P58" s="8"/>
      <c r="Q58" s="8"/>
      <c r="R58" s="8"/>
      <c r="S58" s="8"/>
      <c r="T58" s="8"/>
      <c r="U58" s="8"/>
      <c r="V58" s="8"/>
      <c r="W58" s="8"/>
      <c r="X58" s="8"/>
      <c r="Y58" s="8"/>
      <c r="Z58" s="8"/>
    </row>
    <row r="59" ht="15.0" hidden="1" customHeight="1">
      <c r="A59" s="147"/>
      <c r="B59" s="171" t="s">
        <v>276</v>
      </c>
      <c r="C59" s="149" t="s">
        <v>642</v>
      </c>
      <c r="D59" s="149" t="s">
        <v>1073</v>
      </c>
      <c r="E59" s="173" t="s">
        <v>1194</v>
      </c>
      <c r="F59" s="174"/>
      <c r="G59" s="174"/>
      <c r="H59" s="174"/>
      <c r="I59" s="174"/>
      <c r="J59" s="175"/>
      <c r="K59" s="176">
        <v>46091.0</v>
      </c>
      <c r="L59" s="177" t="str">
        <f>IF(K59="","APONTAR DATA",(IF('T&amp;D'!B59="FINALIZADO", "CONCLUÍDO", IF(K59&lt;TODAY(), "VENCIDO", IF(K59=TODAY(), "VENCE HOJE", IF(K59&lt;=TODAY()+5,"VENCENDO", "NO PRAZO"))))))</f>
        <v>CONCLUÍDO</v>
      </c>
      <c r="M59" s="175"/>
      <c r="N59" s="8"/>
      <c r="O59" s="8"/>
      <c r="P59" s="8"/>
      <c r="Q59" s="8"/>
      <c r="R59" s="8"/>
      <c r="S59" s="8"/>
      <c r="T59" s="8"/>
      <c r="U59" s="8"/>
      <c r="V59" s="8"/>
      <c r="W59" s="8"/>
      <c r="X59" s="8"/>
      <c r="Y59" s="8"/>
      <c r="Z59" s="8"/>
    </row>
    <row r="60" ht="15.0" hidden="1" customHeight="1">
      <c r="A60" s="147"/>
      <c r="B60" s="171" t="s">
        <v>276</v>
      </c>
      <c r="C60" s="149" t="s">
        <v>425</v>
      </c>
      <c r="D60" s="149" t="s">
        <v>1073</v>
      </c>
      <c r="E60" s="173" t="s">
        <v>1194</v>
      </c>
      <c r="F60" s="174"/>
      <c r="G60" s="174"/>
      <c r="H60" s="174"/>
      <c r="I60" s="174"/>
      <c r="J60" s="175"/>
      <c r="K60" s="176">
        <v>46091.0</v>
      </c>
      <c r="L60" s="177" t="str">
        <f>IF(K60="","APONTAR DATA",(IF('T&amp;D'!B60="FINALIZADO", "CONCLUÍDO", IF(K60&lt;TODAY(), "VENCIDO", IF(K60=TODAY(), "VENCE HOJE", IF(K60&lt;=TODAY()+5,"VENCENDO", "NO PRAZO"))))))</f>
        <v>CONCLUÍDO</v>
      </c>
      <c r="M60" s="175"/>
      <c r="N60" s="8"/>
      <c r="O60" s="8"/>
      <c r="P60" s="8"/>
      <c r="Q60" s="8"/>
      <c r="R60" s="8"/>
      <c r="S60" s="8"/>
      <c r="T60" s="8"/>
      <c r="U60" s="8"/>
      <c r="V60" s="8"/>
      <c r="W60" s="8"/>
      <c r="X60" s="8"/>
      <c r="Y60" s="8"/>
      <c r="Z60" s="8"/>
    </row>
    <row r="61" ht="15.0" hidden="1" customHeight="1">
      <c r="A61" s="147"/>
      <c r="B61" s="171" t="s">
        <v>276</v>
      </c>
      <c r="C61" s="149" t="s">
        <v>425</v>
      </c>
      <c r="D61" s="149" t="s">
        <v>1073</v>
      </c>
      <c r="E61" s="173" t="s">
        <v>1194</v>
      </c>
      <c r="F61" s="174"/>
      <c r="G61" s="174"/>
      <c r="H61" s="174"/>
      <c r="I61" s="174"/>
      <c r="J61" s="175"/>
      <c r="K61" s="176">
        <v>46092.0</v>
      </c>
      <c r="L61" s="177" t="str">
        <f>IF(K61="","APONTAR DATA",(IF('T&amp;D'!B61="FINALIZADO", "CONCLUÍDO", IF(K61&lt;TODAY(), "VENCIDO", IF(K61=TODAY(), "VENCE HOJE", IF(K61&lt;=TODAY()+5,"VENCENDO", "NO PRAZO"))))))</f>
        <v>CONCLUÍDO</v>
      </c>
      <c r="M61" s="175"/>
      <c r="N61" s="8"/>
      <c r="O61" s="8"/>
      <c r="P61" s="8"/>
      <c r="Q61" s="8"/>
      <c r="R61" s="8"/>
      <c r="S61" s="8"/>
      <c r="T61" s="8"/>
      <c r="U61" s="8"/>
      <c r="V61" s="8"/>
      <c r="W61" s="8"/>
      <c r="X61" s="8"/>
      <c r="Y61" s="8"/>
      <c r="Z61" s="8"/>
    </row>
    <row r="62" ht="15.0" hidden="1" customHeight="1">
      <c r="A62" s="147"/>
      <c r="B62" s="171" t="s">
        <v>276</v>
      </c>
      <c r="C62" s="149" t="s">
        <v>819</v>
      </c>
      <c r="D62" s="149" t="s">
        <v>1073</v>
      </c>
      <c r="E62" s="173" t="s">
        <v>1194</v>
      </c>
      <c r="F62" s="174"/>
      <c r="G62" s="174"/>
      <c r="H62" s="174"/>
      <c r="I62" s="174"/>
      <c r="J62" s="175"/>
      <c r="K62" s="176">
        <v>46093.0</v>
      </c>
      <c r="L62" s="177" t="str">
        <f>IF(K62="","APONTAR DATA",(IF('T&amp;D'!B62="FINALIZADO", "CONCLUÍDO", IF(K62&lt;TODAY(), "VENCIDO", IF(K62=TODAY(), "VENCE HOJE", IF(K62&lt;=TODAY()+5,"VENCENDO", "NO PRAZO"))))))</f>
        <v>CONCLUÍDO</v>
      </c>
      <c r="M62" s="175"/>
      <c r="N62" s="8"/>
      <c r="O62" s="8"/>
      <c r="P62" s="8"/>
      <c r="Q62" s="8"/>
      <c r="R62" s="8"/>
      <c r="S62" s="8"/>
      <c r="T62" s="8"/>
      <c r="U62" s="8"/>
      <c r="V62" s="8"/>
      <c r="W62" s="8"/>
      <c r="X62" s="8"/>
      <c r="Y62" s="8"/>
      <c r="Z62" s="8"/>
    </row>
    <row r="63" ht="15.0" hidden="1" customHeight="1">
      <c r="A63" s="147"/>
      <c r="B63" s="171" t="s">
        <v>276</v>
      </c>
      <c r="C63" s="149" t="s">
        <v>328</v>
      </c>
      <c r="D63" s="149" t="s">
        <v>1073</v>
      </c>
      <c r="E63" s="173" t="s">
        <v>1194</v>
      </c>
      <c r="F63" s="174"/>
      <c r="G63" s="174"/>
      <c r="H63" s="174"/>
      <c r="I63" s="174"/>
      <c r="J63" s="175"/>
      <c r="K63" s="176">
        <v>46093.0</v>
      </c>
      <c r="L63" s="177" t="str">
        <f>IF(K63="","APONTAR DATA",(IF('T&amp;D'!B63="FINALIZADO", "CONCLUÍDO", IF(K63&lt;TODAY(), "VENCIDO", IF(K63=TODAY(), "VENCE HOJE", IF(K63&lt;=TODAY()+5,"VENCENDO", "NO PRAZO"))))))</f>
        <v>CONCLUÍDO</v>
      </c>
      <c r="M63" s="175"/>
      <c r="N63" s="8"/>
      <c r="O63" s="8"/>
      <c r="P63" s="8"/>
      <c r="Q63" s="8"/>
      <c r="R63" s="8"/>
      <c r="S63" s="8"/>
      <c r="T63" s="8"/>
      <c r="U63" s="8"/>
      <c r="V63" s="8"/>
      <c r="W63" s="8"/>
      <c r="X63" s="8"/>
      <c r="Y63" s="8"/>
      <c r="Z63" s="8"/>
    </row>
    <row r="64" ht="15.0" hidden="1" customHeight="1">
      <c r="A64" s="147"/>
      <c r="B64" s="171" t="s">
        <v>276</v>
      </c>
      <c r="C64" s="149" t="s">
        <v>819</v>
      </c>
      <c r="D64" s="149" t="s">
        <v>1073</v>
      </c>
      <c r="E64" s="173" t="s">
        <v>1194</v>
      </c>
      <c r="F64" s="174"/>
      <c r="G64" s="174"/>
      <c r="H64" s="174"/>
      <c r="I64" s="174"/>
      <c r="J64" s="175"/>
      <c r="K64" s="176">
        <v>46094.0</v>
      </c>
      <c r="L64" s="177" t="str">
        <f>IF(K64="","APONTAR DATA",(IF('T&amp;D'!B64="FINALIZADO", "CONCLUÍDO", IF(K64&lt;TODAY(), "VENCIDO", IF(K64=TODAY(), "VENCE HOJE", IF(K64&lt;=TODAY()+5,"VENCENDO", "NO PRAZO"))))))</f>
        <v>CONCLUÍDO</v>
      </c>
      <c r="M64" s="175"/>
      <c r="N64" s="8"/>
      <c r="O64" s="8"/>
      <c r="P64" s="8"/>
      <c r="Q64" s="8"/>
      <c r="R64" s="8"/>
      <c r="S64" s="8"/>
      <c r="T64" s="8"/>
      <c r="U64" s="8"/>
      <c r="V64" s="8"/>
      <c r="W64" s="8"/>
      <c r="X64" s="8"/>
      <c r="Y64" s="8"/>
      <c r="Z64" s="8"/>
    </row>
    <row r="65" ht="15.0" hidden="1" customHeight="1">
      <c r="A65" s="147"/>
      <c r="B65" s="171" t="s">
        <v>276</v>
      </c>
      <c r="C65" s="149" t="s">
        <v>621</v>
      </c>
      <c r="D65" s="149" t="s">
        <v>1073</v>
      </c>
      <c r="E65" s="173" t="s">
        <v>1194</v>
      </c>
      <c r="F65" s="174"/>
      <c r="G65" s="174"/>
      <c r="H65" s="174"/>
      <c r="I65" s="174"/>
      <c r="J65" s="175"/>
      <c r="K65" s="176">
        <v>46097.0</v>
      </c>
      <c r="L65" s="177" t="str">
        <f>IF(K65="","APONTAR DATA",(IF('T&amp;D'!B65="FINALIZADO", "CONCLUÍDO", IF(K65&lt;TODAY(), "VENCIDO", IF(K65=TODAY(), "VENCE HOJE", IF(K65&lt;=TODAY()+5,"VENCENDO", "NO PRAZO"))))))</f>
        <v>CONCLUÍDO</v>
      </c>
      <c r="M65" s="175"/>
      <c r="N65" s="8"/>
      <c r="O65" s="8"/>
      <c r="P65" s="8"/>
      <c r="Q65" s="8"/>
      <c r="R65" s="8"/>
      <c r="S65" s="8"/>
      <c r="T65" s="8"/>
      <c r="U65" s="8"/>
      <c r="V65" s="8"/>
      <c r="W65" s="8"/>
      <c r="X65" s="8"/>
      <c r="Y65" s="8"/>
      <c r="Z65" s="8"/>
    </row>
    <row r="66" ht="15.0" hidden="1" customHeight="1">
      <c r="A66" s="147"/>
      <c r="B66" s="171" t="s">
        <v>276</v>
      </c>
      <c r="C66" s="149" t="s">
        <v>621</v>
      </c>
      <c r="D66" s="149" t="s">
        <v>1073</v>
      </c>
      <c r="E66" s="173" t="s">
        <v>1194</v>
      </c>
      <c r="F66" s="174"/>
      <c r="G66" s="174"/>
      <c r="H66" s="174"/>
      <c r="I66" s="174"/>
      <c r="J66" s="175"/>
      <c r="K66" s="176">
        <v>46098.0</v>
      </c>
      <c r="L66" s="177" t="str">
        <f>IF(K66="","APONTAR DATA",(IF('T&amp;D'!B66="FINALIZADO", "CONCLUÍDO", IF(K66&lt;TODAY(), "VENCIDO", IF(K66=TODAY(), "VENCE HOJE", IF(K66&lt;=TODAY()+5,"VENCENDO", "NO PRAZO"))))))</f>
        <v>CONCLUÍDO</v>
      </c>
      <c r="M66" s="175"/>
      <c r="N66" s="8"/>
      <c r="O66" s="8"/>
      <c r="P66" s="8"/>
      <c r="Q66" s="8"/>
      <c r="R66" s="8"/>
      <c r="S66" s="8"/>
      <c r="T66" s="8"/>
      <c r="U66" s="8"/>
      <c r="V66" s="8"/>
      <c r="W66" s="8"/>
      <c r="X66" s="8"/>
      <c r="Y66" s="8"/>
      <c r="Z66" s="8"/>
    </row>
    <row r="67" ht="15.0" hidden="1" customHeight="1">
      <c r="A67" s="147"/>
      <c r="B67" s="171" t="s">
        <v>276</v>
      </c>
      <c r="C67" s="149" t="s">
        <v>328</v>
      </c>
      <c r="D67" s="149" t="s">
        <v>1073</v>
      </c>
      <c r="E67" s="173" t="s">
        <v>1194</v>
      </c>
      <c r="F67" s="174"/>
      <c r="G67" s="174"/>
      <c r="H67" s="174"/>
      <c r="I67" s="174"/>
      <c r="J67" s="175"/>
      <c r="K67" s="176">
        <v>46098.0</v>
      </c>
      <c r="L67" s="177" t="str">
        <f>IF(K67="","APONTAR DATA",(IF('T&amp;D'!B67="FINALIZADO", "CONCLUÍDO", IF(K67&lt;TODAY(), "VENCIDO", IF(K67=TODAY(), "VENCE HOJE", IF(K67&lt;=TODAY()+5,"VENCENDO", "NO PRAZO"))))))</f>
        <v>CONCLUÍDO</v>
      </c>
      <c r="M67" s="175"/>
      <c r="N67" s="8"/>
      <c r="O67" s="8"/>
      <c r="P67" s="8"/>
      <c r="Q67" s="8"/>
      <c r="R67" s="8"/>
      <c r="S67" s="8"/>
      <c r="T67" s="8"/>
      <c r="U67" s="8"/>
      <c r="V67" s="8"/>
      <c r="W67" s="8"/>
      <c r="X67" s="8"/>
      <c r="Y67" s="8"/>
      <c r="Z67" s="8"/>
    </row>
    <row r="68" ht="15.0" hidden="1" customHeight="1">
      <c r="A68" s="147"/>
      <c r="B68" s="171" t="s">
        <v>276</v>
      </c>
      <c r="C68" s="149" t="s">
        <v>328</v>
      </c>
      <c r="D68" s="149" t="s">
        <v>1073</v>
      </c>
      <c r="E68" s="173" t="s">
        <v>1194</v>
      </c>
      <c r="F68" s="174"/>
      <c r="G68" s="174"/>
      <c r="H68" s="174"/>
      <c r="I68" s="174"/>
      <c r="J68" s="175"/>
      <c r="K68" s="176">
        <v>46104.0</v>
      </c>
      <c r="L68" s="177" t="str">
        <f>IF(K68="","APONTAR DATA",(IF('T&amp;D'!B68="FINALIZADO", "CONCLUÍDO", IF(K68&lt;TODAY(), "VENCIDO", IF(K68=TODAY(), "VENCE HOJE", IF(K68&lt;=TODAY()+5,"VENCENDO", "NO PRAZO"))))))</f>
        <v>CONCLUÍDO</v>
      </c>
      <c r="M68" s="175"/>
      <c r="N68" s="8"/>
      <c r="O68" s="8"/>
      <c r="P68" s="8"/>
      <c r="Q68" s="8"/>
      <c r="R68" s="8"/>
      <c r="S68" s="8"/>
      <c r="T68" s="8"/>
      <c r="U68" s="8"/>
      <c r="V68" s="8"/>
      <c r="W68" s="8"/>
      <c r="X68" s="8"/>
      <c r="Y68" s="8"/>
      <c r="Z68" s="8"/>
    </row>
    <row r="69" ht="15.0" hidden="1" customHeight="1">
      <c r="A69" s="147"/>
      <c r="B69" s="171" t="s">
        <v>276</v>
      </c>
      <c r="C69" s="149" t="s">
        <v>328</v>
      </c>
      <c r="D69" s="149" t="s">
        <v>1073</v>
      </c>
      <c r="E69" s="173" t="s">
        <v>1194</v>
      </c>
      <c r="F69" s="174"/>
      <c r="G69" s="174"/>
      <c r="H69" s="174"/>
      <c r="I69" s="174"/>
      <c r="J69" s="175"/>
      <c r="K69" s="176">
        <v>46105.0</v>
      </c>
      <c r="L69" s="177" t="str">
        <f>IF(K69="","APONTAR DATA",(IF('T&amp;D'!B69="FINALIZADO", "CONCLUÍDO", IF(K69&lt;TODAY(), "VENCIDO", IF(K69=TODAY(), "VENCE HOJE", IF(K69&lt;=TODAY()+5,"VENCENDO", "NO PRAZO"))))))</f>
        <v>CONCLUÍDO</v>
      </c>
      <c r="M69" s="175"/>
      <c r="N69" s="8"/>
      <c r="O69" s="8"/>
      <c r="P69" s="8"/>
      <c r="Q69" s="8"/>
      <c r="R69" s="8"/>
      <c r="S69" s="8"/>
      <c r="T69" s="8"/>
      <c r="U69" s="8"/>
      <c r="V69" s="8"/>
      <c r="W69" s="8"/>
      <c r="X69" s="8"/>
      <c r="Y69" s="8"/>
      <c r="Z69" s="8"/>
    </row>
    <row r="70" ht="15.0" hidden="1" customHeight="1">
      <c r="A70" s="147"/>
      <c r="B70" s="171" t="s">
        <v>276</v>
      </c>
      <c r="C70" s="149" t="s">
        <v>819</v>
      </c>
      <c r="D70" s="149" t="s">
        <v>1073</v>
      </c>
      <c r="E70" s="173" t="s">
        <v>1194</v>
      </c>
      <c r="F70" s="174"/>
      <c r="G70" s="174"/>
      <c r="H70" s="174"/>
      <c r="I70" s="174"/>
      <c r="J70" s="175"/>
      <c r="K70" s="176">
        <v>46106.0</v>
      </c>
      <c r="L70" s="177" t="str">
        <f>IF(K70="","APONTAR DATA",(IF('T&amp;D'!B70="FINALIZADO", "CONCLUÍDO", IF(K70&lt;TODAY(), "VENCIDO", IF(K70=TODAY(), "VENCE HOJE", IF(K70&lt;=TODAY()+5,"VENCENDO", "NO PRAZO"))))))</f>
        <v>CONCLUÍDO</v>
      </c>
      <c r="M70" s="175"/>
      <c r="N70" s="8"/>
      <c r="O70" s="8"/>
      <c r="P70" s="8"/>
      <c r="Q70" s="8"/>
      <c r="R70" s="8"/>
      <c r="S70" s="8"/>
      <c r="T70" s="8"/>
      <c r="U70" s="8"/>
      <c r="V70" s="8"/>
      <c r="W70" s="8"/>
      <c r="X70" s="8"/>
      <c r="Y70" s="8"/>
      <c r="Z70" s="8"/>
    </row>
    <row r="71" ht="15.0" hidden="1" customHeight="1">
      <c r="A71" s="147"/>
      <c r="B71" s="171" t="s">
        <v>276</v>
      </c>
      <c r="C71" s="149" t="s">
        <v>328</v>
      </c>
      <c r="D71" s="149" t="s">
        <v>1073</v>
      </c>
      <c r="E71" s="173" t="s">
        <v>1194</v>
      </c>
      <c r="F71" s="174"/>
      <c r="G71" s="174"/>
      <c r="H71" s="174"/>
      <c r="I71" s="174"/>
      <c r="J71" s="175"/>
      <c r="K71" s="176">
        <v>46107.0</v>
      </c>
      <c r="L71" s="177" t="str">
        <f>IF(K71="","APONTAR DATA",(IF('T&amp;D'!B71="FINALIZADO", "CONCLUÍDO", IF(K71&lt;TODAY(), "VENCIDO", IF(K71=TODAY(), "VENCE HOJE", IF(K71&lt;=TODAY()+5,"VENCENDO", "NO PRAZO"))))))</f>
        <v>CONCLUÍDO</v>
      </c>
      <c r="M71" s="175"/>
      <c r="N71" s="8"/>
      <c r="O71" s="8"/>
      <c r="P71" s="8"/>
      <c r="Q71" s="8"/>
      <c r="R71" s="8"/>
      <c r="S71" s="8"/>
      <c r="T71" s="8"/>
      <c r="U71" s="8"/>
      <c r="V71" s="8"/>
      <c r="W71" s="8"/>
      <c r="X71" s="8"/>
      <c r="Y71" s="8"/>
      <c r="Z71" s="8"/>
    </row>
    <row r="72" ht="15.0" hidden="1" customHeight="1">
      <c r="A72" s="147"/>
      <c r="B72" s="171" t="s">
        <v>276</v>
      </c>
      <c r="C72" s="149" t="s">
        <v>328</v>
      </c>
      <c r="D72" s="149" t="s">
        <v>1073</v>
      </c>
      <c r="E72" s="173" t="s">
        <v>1194</v>
      </c>
      <c r="F72" s="174"/>
      <c r="G72" s="174"/>
      <c r="H72" s="174"/>
      <c r="I72" s="174"/>
      <c r="J72" s="175"/>
      <c r="K72" s="176">
        <v>46108.0</v>
      </c>
      <c r="L72" s="177" t="str">
        <f>IF(K72="","APONTAR DATA",(IF('T&amp;D'!B72="FINALIZADO", "CONCLUÍDO", IF(K72&lt;TODAY(), "VENCIDO", IF(K72=TODAY(), "VENCE HOJE", IF(K72&lt;=TODAY()+5,"VENCENDO", "NO PRAZO"))))))</f>
        <v>CONCLUÍDO</v>
      </c>
      <c r="M72" s="175"/>
      <c r="N72" s="8"/>
      <c r="O72" s="8"/>
      <c r="P72" s="8"/>
      <c r="Q72" s="8"/>
      <c r="R72" s="8"/>
      <c r="S72" s="8"/>
      <c r="T72" s="8"/>
      <c r="U72" s="8"/>
      <c r="V72" s="8"/>
      <c r="W72" s="8"/>
      <c r="X72" s="8"/>
      <c r="Y72" s="8"/>
      <c r="Z72" s="8"/>
    </row>
    <row r="73" ht="15.0" hidden="1" customHeight="1">
      <c r="A73" s="147"/>
      <c r="B73" s="171" t="s">
        <v>276</v>
      </c>
      <c r="C73" s="149" t="s">
        <v>328</v>
      </c>
      <c r="D73" s="149" t="s">
        <v>1073</v>
      </c>
      <c r="E73" s="173" t="s">
        <v>1194</v>
      </c>
      <c r="F73" s="174"/>
      <c r="G73" s="174"/>
      <c r="H73" s="174"/>
      <c r="I73" s="174"/>
      <c r="J73" s="175"/>
      <c r="K73" s="176">
        <v>46111.0</v>
      </c>
      <c r="L73" s="177" t="str">
        <f>IF(K73="","APONTAR DATA",(IF('T&amp;D'!B73="FINALIZADO", "CONCLUÍDO", IF(K73&lt;TODAY(), "VENCIDO", IF(K73=TODAY(), "VENCE HOJE", IF(K73&lt;=TODAY()+5,"VENCENDO", "NO PRAZO"))))))</f>
        <v>CONCLUÍDO</v>
      </c>
      <c r="M73" s="175"/>
      <c r="N73" s="8"/>
      <c r="O73" s="8"/>
      <c r="P73" s="8"/>
      <c r="Q73" s="8"/>
      <c r="R73" s="8"/>
      <c r="S73" s="8"/>
      <c r="T73" s="8"/>
      <c r="U73" s="8"/>
      <c r="V73" s="8"/>
      <c r="W73" s="8"/>
      <c r="X73" s="8"/>
      <c r="Y73" s="8"/>
      <c r="Z73" s="8"/>
    </row>
    <row r="74" ht="15.0" hidden="1" customHeight="1">
      <c r="A74" s="147"/>
      <c r="B74" s="171" t="s">
        <v>276</v>
      </c>
      <c r="C74" s="149" t="s">
        <v>328</v>
      </c>
      <c r="D74" s="149" t="s">
        <v>1073</v>
      </c>
      <c r="E74" s="173" t="s">
        <v>1194</v>
      </c>
      <c r="F74" s="174"/>
      <c r="G74" s="174"/>
      <c r="H74" s="174"/>
      <c r="I74" s="174"/>
      <c r="J74" s="175"/>
      <c r="K74" s="176">
        <v>46114.0</v>
      </c>
      <c r="L74" s="177" t="str">
        <f>IF(K74="","APONTAR DATA",(IF('T&amp;D'!B74="FINALIZADO", "CONCLUÍDO", IF(K74&lt;TODAY(), "VENCIDO", IF(K74=TODAY(), "VENCE HOJE", IF(K74&lt;=TODAY()+5,"VENCENDO", "NO PRAZO"))))))</f>
        <v>CONCLUÍDO</v>
      </c>
      <c r="M74" s="175"/>
      <c r="N74" s="8"/>
      <c r="O74" s="8"/>
      <c r="P74" s="8"/>
      <c r="Q74" s="8"/>
      <c r="R74" s="8"/>
      <c r="S74" s="8"/>
      <c r="T74" s="8"/>
      <c r="U74" s="8"/>
      <c r="V74" s="8"/>
      <c r="W74" s="8"/>
      <c r="X74" s="8"/>
      <c r="Y74" s="8"/>
      <c r="Z74" s="8"/>
    </row>
    <row r="75" ht="15.0" hidden="1" customHeight="1">
      <c r="A75" s="147"/>
      <c r="B75" s="171" t="s">
        <v>276</v>
      </c>
      <c r="C75" s="149" t="s">
        <v>538</v>
      </c>
      <c r="D75" s="149" t="s">
        <v>1073</v>
      </c>
      <c r="E75" s="173" t="s">
        <v>1234</v>
      </c>
      <c r="F75" s="174"/>
      <c r="G75" s="174"/>
      <c r="H75" s="174"/>
      <c r="I75" s="174"/>
      <c r="J75" s="175"/>
      <c r="K75" s="176">
        <v>46122.0</v>
      </c>
      <c r="L75" s="177" t="str">
        <f>IF(K75="","APONTAR DATA",(IF('T&amp;D'!B75="FINALIZADO", "CONCLUÍDO", IF(K75&lt;TODAY(), "VENCIDO", IF(K75=TODAY(), "VENCE HOJE", IF(K75&lt;=TODAY()+5,"VENCENDO", "NO PRAZO"))))))</f>
        <v>CONCLUÍDO</v>
      </c>
      <c r="M75" s="175"/>
      <c r="N75" s="8"/>
      <c r="O75" s="8"/>
      <c r="P75" s="8"/>
      <c r="Q75" s="8"/>
      <c r="R75" s="8"/>
      <c r="S75" s="8"/>
      <c r="T75" s="8"/>
      <c r="U75" s="8"/>
      <c r="V75" s="8"/>
      <c r="W75" s="8"/>
      <c r="X75" s="8"/>
      <c r="Y75" s="8"/>
      <c r="Z75" s="8"/>
    </row>
    <row r="76" ht="15.0" hidden="1" customHeight="1">
      <c r="A76" s="147"/>
      <c r="B76" s="171" t="s">
        <v>276</v>
      </c>
      <c r="C76" s="149" t="s">
        <v>715</v>
      </c>
      <c r="D76" s="149" t="s">
        <v>1073</v>
      </c>
      <c r="E76" s="173" t="s">
        <v>1558</v>
      </c>
      <c r="F76" s="174"/>
      <c r="G76" s="174"/>
      <c r="H76" s="174"/>
      <c r="I76" s="174"/>
      <c r="J76" s="175"/>
      <c r="K76" s="176">
        <v>46148.0</v>
      </c>
      <c r="L76" s="177" t="str">
        <f>IF(K76="","APONTAR DATA",(IF('T&amp;D'!B76="FINALIZADO", "CONCLUÍDO", IF(K76&lt;TODAY(), "VENCIDO", IF(K76=TODAY(), "VENCE HOJE", IF(K76&lt;=TODAY()+5,"VENCENDO", "NO PRAZO"))))))</f>
        <v>CONCLUÍDO</v>
      </c>
      <c r="M76" s="175"/>
      <c r="N76" s="8"/>
      <c r="O76" s="8"/>
      <c r="P76" s="8"/>
      <c r="Q76" s="8"/>
      <c r="R76" s="8"/>
      <c r="S76" s="8"/>
      <c r="T76" s="8"/>
      <c r="U76" s="8"/>
      <c r="V76" s="8"/>
      <c r="W76" s="8"/>
      <c r="X76" s="8"/>
      <c r="Y76" s="8"/>
      <c r="Z76" s="8"/>
    </row>
    <row r="77" ht="15.0" hidden="1" customHeight="1">
      <c r="A77" s="147"/>
      <c r="B77" s="171" t="s">
        <v>276</v>
      </c>
      <c r="C77" s="149" t="s">
        <v>715</v>
      </c>
      <c r="D77" s="149" t="s">
        <v>1073</v>
      </c>
      <c r="E77" s="173" t="s">
        <v>1558</v>
      </c>
      <c r="F77" s="174"/>
      <c r="G77" s="174"/>
      <c r="H77" s="174"/>
      <c r="I77" s="174"/>
      <c r="J77" s="175"/>
      <c r="K77" s="176">
        <v>46149.0</v>
      </c>
      <c r="L77" s="177" t="str">
        <f>IF(K77="","APONTAR DATA",(IF('T&amp;D'!B77="FINALIZADO", "CONCLUÍDO", IF(K77&lt;TODAY(), "VENCIDO", IF(K77=TODAY(), "VENCE HOJE", IF(K77&lt;=TODAY()+5,"VENCENDO", "NO PRAZO"))))))</f>
        <v>CONCLUÍDO</v>
      </c>
      <c r="M77" s="175"/>
      <c r="N77" s="8"/>
      <c r="O77" s="8"/>
      <c r="P77" s="8"/>
      <c r="Q77" s="8"/>
      <c r="R77" s="8"/>
      <c r="S77" s="8"/>
      <c r="T77" s="8"/>
      <c r="U77" s="8"/>
      <c r="V77" s="8"/>
      <c r="W77" s="8"/>
      <c r="X77" s="8"/>
      <c r="Y77" s="8"/>
      <c r="Z77" s="8"/>
    </row>
    <row r="78" ht="15.0" hidden="1" customHeight="1">
      <c r="A78" s="147"/>
      <c r="B78" s="171" t="s">
        <v>276</v>
      </c>
      <c r="C78" s="149" t="s">
        <v>715</v>
      </c>
      <c r="D78" s="149" t="s">
        <v>1073</v>
      </c>
      <c r="E78" s="173" t="s">
        <v>1194</v>
      </c>
      <c r="F78" s="174"/>
      <c r="G78" s="174"/>
      <c r="H78" s="174"/>
      <c r="I78" s="174"/>
      <c r="J78" s="175"/>
      <c r="K78" s="176">
        <v>46149.0</v>
      </c>
      <c r="L78" s="177" t="str">
        <f>IF(K78="","APONTAR DATA",(IF('T&amp;D'!B78="FINALIZADO", "CONCLUÍDO", IF(K78&lt;TODAY(), "VENCIDO", IF(K78=TODAY(), "VENCE HOJE", IF(K78&lt;=TODAY()+5,"VENCENDO", "NO PRAZO"))))))</f>
        <v>CONCLUÍDO</v>
      </c>
      <c r="M78" s="175"/>
      <c r="N78" s="8"/>
      <c r="O78" s="8"/>
      <c r="P78" s="8"/>
      <c r="Q78" s="8"/>
      <c r="R78" s="8"/>
      <c r="S78" s="8"/>
      <c r="T78" s="8"/>
      <c r="U78" s="8"/>
      <c r="V78" s="8"/>
      <c r="W78" s="8"/>
      <c r="X78" s="8"/>
      <c r="Y78" s="8"/>
      <c r="Z78" s="8"/>
    </row>
    <row r="79" ht="15.0" hidden="1" customHeight="1">
      <c r="A79" s="147"/>
      <c r="B79" s="171" t="s">
        <v>276</v>
      </c>
      <c r="C79" s="149" t="s">
        <v>715</v>
      </c>
      <c r="D79" s="149" t="s">
        <v>1073</v>
      </c>
      <c r="E79" s="173" t="s">
        <v>1558</v>
      </c>
      <c r="F79" s="174"/>
      <c r="G79" s="174"/>
      <c r="H79" s="174"/>
      <c r="I79" s="174"/>
      <c r="J79" s="175"/>
      <c r="K79" s="176">
        <v>46150.0</v>
      </c>
      <c r="L79" s="177" t="str">
        <f>IF(K79="","APONTAR DATA",(IF('T&amp;D'!B79="FINALIZADO", "CONCLUÍDO", IF(K79&lt;TODAY(), "VENCIDO", IF(K79=TODAY(), "VENCE HOJE", IF(K79&lt;=TODAY()+5,"VENCENDO", "NO PRAZO"))))))</f>
        <v>CONCLUÍDO</v>
      </c>
      <c r="M79" s="175"/>
      <c r="N79" s="8"/>
      <c r="O79" s="8"/>
      <c r="P79" s="8"/>
      <c r="Q79" s="8"/>
      <c r="R79" s="8"/>
      <c r="S79" s="8"/>
      <c r="T79" s="8"/>
      <c r="U79" s="8"/>
      <c r="V79" s="8"/>
      <c r="W79" s="8"/>
      <c r="X79" s="8"/>
      <c r="Y79" s="8"/>
      <c r="Z79" s="8"/>
    </row>
    <row r="80" ht="15.0" hidden="1" customHeight="1">
      <c r="A80" s="147"/>
      <c r="B80" s="171" t="s">
        <v>276</v>
      </c>
      <c r="C80" s="149" t="s">
        <v>715</v>
      </c>
      <c r="D80" s="149" t="s">
        <v>1073</v>
      </c>
      <c r="E80" s="173" t="s">
        <v>1558</v>
      </c>
      <c r="F80" s="174"/>
      <c r="G80" s="174"/>
      <c r="H80" s="174"/>
      <c r="I80" s="174"/>
      <c r="J80" s="175"/>
      <c r="K80" s="176">
        <v>46155.0</v>
      </c>
      <c r="L80" s="177" t="str">
        <f>IF(K80="","APONTAR DATA",(IF('T&amp;D'!B80="FINALIZADO", "CONCLUÍDO", IF(K80&lt;TODAY(), "VENCIDO", IF(K80=TODAY(), "VENCE HOJE", IF(K80&lt;=TODAY()+5,"VENCENDO", "NO PRAZO"))))))</f>
        <v>CONCLUÍDO</v>
      </c>
      <c r="M80" s="175"/>
      <c r="N80" s="8"/>
      <c r="O80" s="8"/>
      <c r="P80" s="8"/>
      <c r="Q80" s="8"/>
      <c r="R80" s="8"/>
      <c r="S80" s="8"/>
      <c r="T80" s="8"/>
      <c r="U80" s="8"/>
      <c r="V80" s="8"/>
      <c r="W80" s="8"/>
      <c r="X80" s="8"/>
      <c r="Y80" s="8"/>
      <c r="Z80" s="8"/>
    </row>
    <row r="81" ht="15.0" hidden="1" customHeight="1">
      <c r="A81" s="147"/>
      <c r="B81" s="171" t="s">
        <v>276</v>
      </c>
      <c r="C81" s="149" t="s">
        <v>715</v>
      </c>
      <c r="D81" s="149" t="s">
        <v>1073</v>
      </c>
      <c r="E81" s="173" t="s">
        <v>1558</v>
      </c>
      <c r="F81" s="174"/>
      <c r="G81" s="174"/>
      <c r="H81" s="174"/>
      <c r="I81" s="174"/>
      <c r="J81" s="175"/>
      <c r="K81" s="176">
        <v>46156.0</v>
      </c>
      <c r="L81" s="177" t="str">
        <f>IF(K81="","APONTAR DATA",(IF('T&amp;D'!B81="FINALIZADO", "CONCLUÍDO", IF(K81&lt;TODAY(), "VENCIDO", IF(K81=TODAY(), "VENCE HOJE", IF(K81&lt;=TODAY()+5,"VENCENDO", "NO PRAZO"))))))</f>
        <v>CONCLUÍDO</v>
      </c>
      <c r="M81" s="175"/>
      <c r="N81" s="8"/>
      <c r="O81" s="8"/>
      <c r="P81" s="8"/>
      <c r="Q81" s="8"/>
      <c r="R81" s="8"/>
      <c r="S81" s="8"/>
      <c r="T81" s="8"/>
      <c r="U81" s="8"/>
      <c r="V81" s="8"/>
      <c r="W81" s="8"/>
      <c r="X81" s="8"/>
      <c r="Y81" s="8"/>
      <c r="Z81" s="8"/>
    </row>
    <row r="82" ht="15.0" hidden="1" customHeight="1">
      <c r="A82" s="147"/>
      <c r="B82" s="171" t="s">
        <v>276</v>
      </c>
      <c r="C82" s="149" t="s">
        <v>538</v>
      </c>
      <c r="D82" s="149" t="s">
        <v>1073</v>
      </c>
      <c r="E82" s="173" t="s">
        <v>1558</v>
      </c>
      <c r="F82" s="174"/>
      <c r="G82" s="174"/>
      <c r="H82" s="174"/>
      <c r="I82" s="174"/>
      <c r="J82" s="175"/>
      <c r="K82" s="176">
        <v>46157.0</v>
      </c>
      <c r="L82" s="177" t="str">
        <f>IF(K82="","APONTAR DATA",(IF('T&amp;D'!B82="FINALIZADO", "CONCLUÍDO", IF(K82&lt;TODAY(), "VENCIDO", IF(K82=TODAY(), "VENCE HOJE", IF(K82&lt;=TODAY()+5,"VENCENDO", "NO PRAZO"))))))</f>
        <v>CONCLUÍDO</v>
      </c>
      <c r="M82" s="175"/>
      <c r="N82" s="8"/>
      <c r="O82" s="8"/>
      <c r="P82" s="8"/>
      <c r="Q82" s="8"/>
      <c r="R82" s="8"/>
      <c r="S82" s="8"/>
      <c r="T82" s="8"/>
      <c r="U82" s="8"/>
      <c r="V82" s="8"/>
      <c r="W82" s="8"/>
      <c r="X82" s="8"/>
      <c r="Y82" s="8"/>
      <c r="Z82" s="8"/>
    </row>
    <row r="83" ht="15.0" hidden="1" customHeight="1">
      <c r="A83" s="147"/>
      <c r="B83" s="171" t="s">
        <v>276</v>
      </c>
      <c r="C83" s="149" t="s">
        <v>664</v>
      </c>
      <c r="D83" s="149" t="s">
        <v>1073</v>
      </c>
      <c r="E83" s="173" t="s">
        <v>1611</v>
      </c>
      <c r="F83" s="174"/>
      <c r="G83" s="174"/>
      <c r="H83" s="174"/>
      <c r="I83" s="174"/>
      <c r="J83" s="175"/>
      <c r="K83" s="176">
        <v>46161.0</v>
      </c>
      <c r="L83" s="177" t="str">
        <f>IF(K83="","APONTAR DATA",(IF('T&amp;D'!B83="FINALIZADO", "CONCLUÍDO", IF(K83&lt;TODAY(), "VENCIDO", IF(K83=TODAY(), "VENCE HOJE", IF(K83&lt;=TODAY()+5,"VENCENDO", "NO PRAZO"))))))</f>
        <v>CONCLUÍDO</v>
      </c>
      <c r="M83" s="175"/>
      <c r="N83" s="8"/>
      <c r="O83" s="8"/>
      <c r="P83" s="8"/>
      <c r="Q83" s="8"/>
      <c r="R83" s="8"/>
      <c r="S83" s="8"/>
      <c r="T83" s="8"/>
      <c r="U83" s="8"/>
      <c r="V83" s="8"/>
      <c r="W83" s="8"/>
      <c r="X83" s="8"/>
      <c r="Y83" s="8"/>
      <c r="Z83" s="8"/>
    </row>
    <row r="84" ht="15.0" hidden="1" customHeight="1">
      <c r="A84" s="147"/>
      <c r="B84" s="171" t="s">
        <v>276</v>
      </c>
      <c r="C84" s="149" t="s">
        <v>664</v>
      </c>
      <c r="D84" s="149" t="s">
        <v>1073</v>
      </c>
      <c r="E84" s="173" t="s">
        <v>1621</v>
      </c>
      <c r="F84" s="174"/>
      <c r="G84" s="174"/>
      <c r="H84" s="174"/>
      <c r="I84" s="174"/>
      <c r="J84" s="175"/>
      <c r="K84" s="176">
        <v>46162.0</v>
      </c>
      <c r="L84" s="177" t="str">
        <f>IF(K84="","APONTAR DATA",(IF('T&amp;D'!B84="FINALIZADO", "CONCLUÍDO", IF(K84&lt;TODAY(), "VENCIDO", IF(K84=TODAY(), "VENCE HOJE", IF(K84&lt;=TODAY()+5,"VENCENDO", "NO PRAZO"))))))</f>
        <v>CONCLUÍDO</v>
      </c>
      <c r="M84" s="175"/>
      <c r="N84" s="8"/>
      <c r="O84" s="8"/>
      <c r="P84" s="8"/>
      <c r="Q84" s="8"/>
      <c r="R84" s="8"/>
      <c r="S84" s="8"/>
      <c r="T84" s="8"/>
      <c r="U84" s="8"/>
      <c r="V84" s="8"/>
      <c r="W84" s="8"/>
      <c r="X84" s="8"/>
      <c r="Y84" s="8"/>
      <c r="Z84" s="8"/>
    </row>
    <row r="85" ht="15.0" hidden="1" customHeight="1">
      <c r="A85" s="147"/>
      <c r="B85" s="171" t="s">
        <v>276</v>
      </c>
      <c r="C85" s="149" t="s">
        <v>664</v>
      </c>
      <c r="D85" s="149" t="s">
        <v>1073</v>
      </c>
      <c r="E85" s="173" t="s">
        <v>1633</v>
      </c>
      <c r="F85" s="174"/>
      <c r="G85" s="174"/>
      <c r="H85" s="174"/>
      <c r="I85" s="174"/>
      <c r="J85" s="175"/>
      <c r="K85" s="176">
        <v>46163.0</v>
      </c>
      <c r="L85" s="177" t="str">
        <f>IF(K85="","APONTAR DATA",(IF('T&amp;D'!B85="FINALIZADO", "CONCLUÍDO", IF(K85&lt;TODAY(), "VENCIDO", IF(K85=TODAY(), "VENCE HOJE", IF(K85&lt;=TODAY()+5,"VENCENDO", "NO PRAZO"))))))</f>
        <v>CONCLUÍDO</v>
      </c>
      <c r="M85" s="175"/>
      <c r="N85" s="8"/>
      <c r="O85" s="8"/>
      <c r="P85" s="8"/>
      <c r="Q85" s="8"/>
      <c r="R85" s="8"/>
      <c r="S85" s="8"/>
      <c r="T85" s="8"/>
      <c r="U85" s="8"/>
      <c r="V85" s="8"/>
      <c r="W85" s="8"/>
      <c r="X85" s="8"/>
      <c r="Y85" s="8"/>
      <c r="Z85" s="8"/>
    </row>
    <row r="86" ht="15.0" hidden="1" customHeight="1">
      <c r="A86" s="147"/>
      <c r="B86" s="171" t="s">
        <v>276</v>
      </c>
      <c r="C86" s="149" t="s">
        <v>404</v>
      </c>
      <c r="D86" s="149" t="s">
        <v>1073</v>
      </c>
      <c r="E86" s="173" t="s">
        <v>1558</v>
      </c>
      <c r="F86" s="174"/>
      <c r="G86" s="174"/>
      <c r="H86" s="174"/>
      <c r="I86" s="174"/>
      <c r="J86" s="175"/>
      <c r="K86" s="176">
        <v>46168.0</v>
      </c>
      <c r="L86" s="177" t="str">
        <f>IF(K86="","APONTAR DATA",(IF('T&amp;D'!B86="FINALIZADO", "CONCLUÍDO", IF(K86&lt;TODAY(), "VENCIDO", IF(K86=TODAY(), "VENCE HOJE", IF(K86&lt;=TODAY()+5,"VENCENDO", "NO PRAZO"))))))</f>
        <v>CONCLUÍDO</v>
      </c>
      <c r="M86" s="175"/>
      <c r="N86" s="8"/>
      <c r="O86" s="8"/>
      <c r="P86" s="8"/>
      <c r="Q86" s="8"/>
      <c r="R86" s="8"/>
      <c r="S86" s="8"/>
      <c r="T86" s="8"/>
      <c r="U86" s="8"/>
      <c r="V86" s="8"/>
      <c r="W86" s="8"/>
      <c r="X86" s="8"/>
      <c r="Y86" s="8"/>
      <c r="Z86" s="8"/>
    </row>
    <row r="87" ht="15.0" hidden="1" customHeight="1">
      <c r="A87" s="147"/>
      <c r="B87" s="171" t="s">
        <v>276</v>
      </c>
      <c r="C87" s="149" t="s">
        <v>425</v>
      </c>
      <c r="D87" s="149" t="s">
        <v>1073</v>
      </c>
      <c r="E87" s="173" t="s">
        <v>1558</v>
      </c>
      <c r="F87" s="174"/>
      <c r="G87" s="174"/>
      <c r="H87" s="174"/>
      <c r="I87" s="174"/>
      <c r="J87" s="175"/>
      <c r="K87" s="176">
        <v>46168.0</v>
      </c>
      <c r="L87" s="177" t="str">
        <f>IF(K87="","APONTAR DATA",(IF('T&amp;D'!B87="FINALIZADO", "CONCLUÍDO", IF(K87&lt;TODAY(), "VENCIDO", IF(K87=TODAY(), "VENCE HOJE", IF(K87&lt;=TODAY()+5,"VENCENDO", "NO PRAZO"))))))</f>
        <v>CONCLUÍDO</v>
      </c>
      <c r="M87" s="175"/>
      <c r="N87" s="8"/>
      <c r="O87" s="8"/>
      <c r="P87" s="8"/>
      <c r="Q87" s="8"/>
      <c r="R87" s="8"/>
      <c r="S87" s="8"/>
      <c r="T87" s="8"/>
      <c r="U87" s="8"/>
      <c r="V87" s="8"/>
      <c r="W87" s="8"/>
      <c r="X87" s="8"/>
      <c r="Y87" s="8"/>
      <c r="Z87" s="8"/>
    </row>
    <row r="88" ht="15.0" hidden="1" customHeight="1">
      <c r="A88" s="147"/>
      <c r="B88" s="171" t="s">
        <v>276</v>
      </c>
      <c r="C88" s="149" t="s">
        <v>538</v>
      </c>
      <c r="D88" s="149" t="s">
        <v>1073</v>
      </c>
      <c r="E88" s="173" t="s">
        <v>1558</v>
      </c>
      <c r="F88" s="174"/>
      <c r="G88" s="174"/>
      <c r="H88" s="174"/>
      <c r="I88" s="174"/>
      <c r="J88" s="175"/>
      <c r="K88" s="176">
        <v>46169.0</v>
      </c>
      <c r="L88" s="177" t="str">
        <f>IF(K88="","APONTAR DATA",(IF('T&amp;D'!B88="FINALIZADO", "CONCLUÍDO", IF(K88&lt;TODAY(), "VENCIDO", IF(K88=TODAY(), "VENCE HOJE", IF(K88&lt;=TODAY()+5,"VENCENDO", "NO PRAZO"))))))</f>
        <v>CONCLUÍDO</v>
      </c>
      <c r="M88" s="175"/>
      <c r="N88" s="8"/>
      <c r="O88" s="8"/>
      <c r="P88" s="8"/>
      <c r="Q88" s="8"/>
      <c r="R88" s="8"/>
      <c r="S88" s="8"/>
      <c r="T88" s="8"/>
      <c r="U88" s="8"/>
      <c r="V88" s="8"/>
      <c r="W88" s="8"/>
      <c r="X88" s="8"/>
      <c r="Y88" s="8"/>
      <c r="Z88" s="8"/>
    </row>
    <row r="89" ht="15.0" hidden="1" customHeight="1">
      <c r="A89" s="147"/>
      <c r="B89" s="171" t="s">
        <v>276</v>
      </c>
      <c r="C89" s="149" t="s">
        <v>538</v>
      </c>
      <c r="D89" s="149" t="s">
        <v>1073</v>
      </c>
      <c r="E89" s="173" t="s">
        <v>1672</v>
      </c>
      <c r="F89" s="174"/>
      <c r="G89" s="174"/>
      <c r="H89" s="174"/>
      <c r="I89" s="174"/>
      <c r="J89" s="175"/>
      <c r="K89" s="176">
        <v>46169.0</v>
      </c>
      <c r="L89" s="177" t="str">
        <f>IF(K89="","APONTAR DATA",(IF('T&amp;D'!B89="FINALIZADO", "CONCLUÍDO", IF(K89&lt;TODAY(), "VENCIDO", IF(K89=TODAY(), "VENCE HOJE", IF(K89&lt;=TODAY()+5,"VENCENDO", "NO PRAZO"))))))</f>
        <v>CONCLUÍDO</v>
      </c>
      <c r="M89" s="175"/>
      <c r="N89" s="8"/>
      <c r="O89" s="8"/>
      <c r="P89" s="8"/>
      <c r="Q89" s="8"/>
      <c r="R89" s="8"/>
      <c r="S89" s="8"/>
      <c r="T89" s="8"/>
      <c r="U89" s="8"/>
      <c r="V89" s="8"/>
      <c r="W89" s="8"/>
      <c r="X89" s="8"/>
      <c r="Y89" s="8"/>
      <c r="Z89" s="8"/>
    </row>
    <row r="90" ht="15.0" hidden="1" customHeight="1">
      <c r="A90" s="147"/>
      <c r="B90" s="171" t="s">
        <v>276</v>
      </c>
      <c r="C90" s="149" t="s">
        <v>538</v>
      </c>
      <c r="D90" s="149" t="s">
        <v>1073</v>
      </c>
      <c r="E90" s="173" t="s">
        <v>1558</v>
      </c>
      <c r="F90" s="174"/>
      <c r="G90" s="174"/>
      <c r="H90" s="174"/>
      <c r="I90" s="174"/>
      <c r="J90" s="175"/>
      <c r="K90" s="176">
        <v>46170.0</v>
      </c>
      <c r="L90" s="177" t="str">
        <f>IF(K90="","APONTAR DATA",(IF('T&amp;D'!B90="FINALIZADO", "CONCLUÍDO", IF(K90&lt;TODAY(), "VENCIDO", IF(K90=TODAY(), "VENCE HOJE", IF(K90&lt;=TODAY()+5,"VENCENDO", "NO PRAZO"))))))</f>
        <v>CONCLUÍDO</v>
      </c>
      <c r="M90" s="175"/>
      <c r="N90" s="8"/>
      <c r="O90" s="8"/>
      <c r="P90" s="8"/>
      <c r="Q90" s="8"/>
      <c r="R90" s="8"/>
      <c r="S90" s="8"/>
      <c r="T90" s="8"/>
      <c r="U90" s="8"/>
      <c r="V90" s="8"/>
      <c r="W90" s="8"/>
      <c r="X90" s="8"/>
      <c r="Y90" s="8"/>
      <c r="Z90" s="8"/>
    </row>
    <row r="91" ht="15.0" hidden="1" customHeight="1">
      <c r="A91" s="147"/>
      <c r="B91" s="171" t="s">
        <v>276</v>
      </c>
      <c r="C91" s="149" t="s">
        <v>425</v>
      </c>
      <c r="D91" s="149" t="s">
        <v>1073</v>
      </c>
      <c r="E91" s="173" t="s">
        <v>1558</v>
      </c>
      <c r="F91" s="174"/>
      <c r="G91" s="174"/>
      <c r="H91" s="174"/>
      <c r="I91" s="174"/>
      <c r="J91" s="175"/>
      <c r="K91" s="176">
        <v>46171.0</v>
      </c>
      <c r="L91" s="177" t="str">
        <f>IF(K91="","APONTAR DATA",(IF('T&amp;D'!B91="FINALIZADO", "CONCLUÍDO", IF(K91&lt;TODAY(), "VENCIDO", IF(K91=TODAY(), "VENCE HOJE", IF(K91&lt;=TODAY()+5,"VENCENDO", "NO PRAZO"))))))</f>
        <v>CONCLUÍDO</v>
      </c>
      <c r="M91" s="175"/>
      <c r="N91" s="8"/>
      <c r="O91" s="8"/>
      <c r="P91" s="8"/>
      <c r="Q91" s="8"/>
      <c r="R91" s="8"/>
      <c r="S91" s="8"/>
      <c r="T91" s="8"/>
      <c r="U91" s="8"/>
      <c r="V91" s="8"/>
      <c r="W91" s="8"/>
      <c r="X91" s="8"/>
      <c r="Y91" s="8"/>
      <c r="Z91" s="8"/>
    </row>
    <row r="92" ht="15.0" hidden="1" customHeight="1">
      <c r="A92" s="147"/>
      <c r="B92" s="171" t="s">
        <v>276</v>
      </c>
      <c r="C92" s="149" t="s">
        <v>715</v>
      </c>
      <c r="D92" s="149" t="s">
        <v>1073</v>
      </c>
      <c r="E92" s="173" t="s">
        <v>1194</v>
      </c>
      <c r="F92" s="174"/>
      <c r="G92" s="174"/>
      <c r="H92" s="174"/>
      <c r="I92" s="174"/>
      <c r="J92" s="175"/>
      <c r="K92" s="176">
        <v>46175.0</v>
      </c>
      <c r="L92" s="177" t="str">
        <f>IF(K92="","APONTAR DATA",(IF('T&amp;D'!B92="FINALIZADO", "CONCLUÍDO", IF(K92&lt;TODAY(), "VENCIDO", IF(K92=TODAY(), "VENCE HOJE", IF(K92&lt;=TODAY()+5,"VENCENDO", "NO PRAZO"))))))</f>
        <v>CONCLUÍDO</v>
      </c>
      <c r="M92" s="175"/>
      <c r="N92" s="8"/>
      <c r="O92" s="8"/>
      <c r="P92" s="8"/>
      <c r="Q92" s="8"/>
      <c r="R92" s="8"/>
      <c r="S92" s="8"/>
      <c r="T92" s="8"/>
      <c r="U92" s="8"/>
      <c r="V92" s="8"/>
      <c r="W92" s="8"/>
      <c r="X92" s="8"/>
      <c r="Y92" s="8"/>
      <c r="Z92" s="8"/>
    </row>
    <row r="93" ht="15.0" hidden="1" customHeight="1">
      <c r="A93" s="147"/>
      <c r="B93" s="171" t="s">
        <v>276</v>
      </c>
      <c r="C93" s="149" t="s">
        <v>715</v>
      </c>
      <c r="D93" s="149" t="s">
        <v>1073</v>
      </c>
      <c r="E93" s="173" t="s">
        <v>1194</v>
      </c>
      <c r="F93" s="174"/>
      <c r="G93" s="174"/>
      <c r="H93" s="174"/>
      <c r="I93" s="174"/>
      <c r="J93" s="175"/>
      <c r="K93" s="176">
        <v>46176.0</v>
      </c>
      <c r="L93" s="177" t="str">
        <f>IF(K93="","APONTAR DATA",(IF('T&amp;D'!B93="FINALIZADO", "CONCLUÍDO", IF(K93&lt;TODAY(), "VENCIDO", IF(K93=TODAY(), "VENCE HOJE", IF(K93&lt;=TODAY()+5,"VENCENDO", "NO PRAZO"))))))</f>
        <v>CONCLUÍDO</v>
      </c>
      <c r="M93" s="175"/>
      <c r="N93" s="8"/>
      <c r="O93" s="8"/>
      <c r="P93" s="8"/>
      <c r="Q93" s="8"/>
      <c r="R93" s="8"/>
      <c r="S93" s="8"/>
      <c r="T93" s="8"/>
      <c r="U93" s="8"/>
      <c r="V93" s="8"/>
      <c r="W93" s="8"/>
      <c r="X93" s="8"/>
      <c r="Y93" s="8"/>
      <c r="Z93" s="8"/>
    </row>
    <row r="94" ht="15.0" hidden="1" customHeight="1">
      <c r="A94" s="147"/>
      <c r="B94" s="171" t="s">
        <v>276</v>
      </c>
      <c r="C94" s="149" t="s">
        <v>571</v>
      </c>
      <c r="D94" s="149" t="s">
        <v>1718</v>
      </c>
      <c r="E94" s="173" t="s">
        <v>1719</v>
      </c>
      <c r="F94" s="174"/>
      <c r="G94" s="174"/>
      <c r="H94" s="174"/>
      <c r="I94" s="174"/>
      <c r="J94" s="175"/>
      <c r="K94" s="176">
        <v>46052.0</v>
      </c>
      <c r="L94" s="177" t="str">
        <f>IF(K94="","APONTAR DATA",(IF('T&amp;D'!B94="FINALIZADO", "CONCLUÍDO", IF(K94&lt;TODAY(), "VENCIDO", IF(K94=TODAY(), "VENCE HOJE", IF(K94&lt;=TODAY()+5,"VENCENDO", "NO PRAZO"))))))</f>
        <v>CONCLUÍDO</v>
      </c>
      <c r="M94" s="175"/>
      <c r="N94" s="8"/>
      <c r="O94" s="8"/>
      <c r="P94" s="8"/>
      <c r="Q94" s="8"/>
      <c r="R94" s="8"/>
      <c r="S94" s="8"/>
      <c r="T94" s="8"/>
      <c r="U94" s="8"/>
      <c r="V94" s="8"/>
      <c r="W94" s="8"/>
      <c r="X94" s="8"/>
      <c r="Y94" s="8"/>
      <c r="Z94" s="8"/>
    </row>
    <row r="95" ht="15.0" hidden="1" customHeight="1">
      <c r="A95" s="147"/>
      <c r="B95" s="171" t="s">
        <v>276</v>
      </c>
      <c r="C95" s="149" t="s">
        <v>571</v>
      </c>
      <c r="D95" s="149" t="s">
        <v>1718</v>
      </c>
      <c r="E95" s="173" t="s">
        <v>1730</v>
      </c>
      <c r="F95" s="174"/>
      <c r="G95" s="174"/>
      <c r="H95" s="174"/>
      <c r="I95" s="174"/>
      <c r="J95" s="175"/>
      <c r="K95" s="176">
        <v>46035.0</v>
      </c>
      <c r="L95" s="177" t="str">
        <f>IF(K95="","APONTAR DATA",(IF('T&amp;D'!B95="FINALIZADO", "CONCLUÍDO", IF(K95&lt;TODAY(), "VENCIDO", IF(K95=TODAY(), "VENCE HOJE", IF(K95&lt;=TODAY()+5,"VENCENDO", "NO PRAZO"))))))</f>
        <v>CONCLUÍDO</v>
      </c>
      <c r="M95" s="175"/>
      <c r="N95" s="8"/>
      <c r="O95" s="8"/>
      <c r="P95" s="8"/>
      <c r="Q95" s="8"/>
      <c r="R95" s="8"/>
      <c r="S95" s="8"/>
      <c r="T95" s="8"/>
      <c r="U95" s="8"/>
      <c r="V95" s="8"/>
      <c r="W95" s="8"/>
      <c r="X95" s="8"/>
      <c r="Y95" s="8"/>
      <c r="Z95" s="8"/>
    </row>
    <row r="96" ht="15.0" hidden="1" customHeight="1">
      <c r="A96" s="147"/>
      <c r="B96" s="171" t="s">
        <v>276</v>
      </c>
      <c r="C96" s="167" t="s">
        <v>50</v>
      </c>
      <c r="D96" s="149" t="s">
        <v>1718</v>
      </c>
      <c r="E96" s="173" t="s">
        <v>1746</v>
      </c>
      <c r="F96" s="174"/>
      <c r="G96" s="174"/>
      <c r="H96" s="174"/>
      <c r="I96" s="174"/>
      <c r="J96" s="175"/>
      <c r="K96" s="176">
        <v>46038.0</v>
      </c>
      <c r="L96" s="177" t="str">
        <f>IF(K96="","APONTAR DATA",(IF('T&amp;D'!B96="FINALIZADO", "CONCLUÍDO", IF(K96&lt;TODAY(), "VENCIDO", IF(K96=TODAY(), "VENCE HOJE", IF(K96&lt;=TODAY()+5,"VENCENDO", "NO PRAZO"))))))</f>
        <v>CONCLUÍDO</v>
      </c>
      <c r="M96" s="175"/>
      <c r="N96" s="8"/>
      <c r="O96" s="8"/>
      <c r="P96" s="8"/>
      <c r="Q96" s="8"/>
      <c r="R96" s="8"/>
      <c r="S96" s="8"/>
      <c r="T96" s="8"/>
      <c r="U96" s="8"/>
      <c r="V96" s="8"/>
      <c r="W96" s="8"/>
      <c r="X96" s="8"/>
      <c r="Y96" s="8"/>
      <c r="Z96" s="8"/>
    </row>
    <row r="97" ht="15.0" hidden="1" customHeight="1">
      <c r="A97" s="147"/>
      <c r="B97" s="171" t="s">
        <v>276</v>
      </c>
      <c r="C97" s="167" t="s">
        <v>425</v>
      </c>
      <c r="D97" s="149" t="s">
        <v>1718</v>
      </c>
      <c r="E97" s="173" t="s">
        <v>1766</v>
      </c>
      <c r="F97" s="174"/>
      <c r="G97" s="174"/>
      <c r="H97" s="174"/>
      <c r="I97" s="174"/>
      <c r="J97" s="175"/>
      <c r="K97" s="176">
        <v>46038.0</v>
      </c>
      <c r="L97" s="177" t="str">
        <f>IF(K97="","APONTAR DATA",(IF('T&amp;D'!B97="FINALIZADO", "CONCLUÍDO", IF(K97&lt;TODAY(), "VENCIDO", IF(K97=TODAY(), "VENCE HOJE", IF(K97&lt;=TODAY()+5,"VENCENDO", "NO PRAZO"))))))</f>
        <v>CONCLUÍDO</v>
      </c>
      <c r="M97" s="175"/>
      <c r="N97" s="8"/>
      <c r="O97" s="8"/>
      <c r="P97" s="8"/>
      <c r="Q97" s="8"/>
      <c r="R97" s="8"/>
      <c r="S97" s="8"/>
      <c r="T97" s="8"/>
      <c r="U97" s="8"/>
      <c r="V97" s="8"/>
      <c r="W97" s="8"/>
      <c r="X97" s="8"/>
      <c r="Y97" s="8"/>
      <c r="Z97" s="8"/>
    </row>
    <row r="98" ht="15.0" hidden="1" customHeight="1">
      <c r="A98" s="147"/>
      <c r="B98" s="171" t="s">
        <v>276</v>
      </c>
      <c r="C98" s="167" t="s">
        <v>784</v>
      </c>
      <c r="D98" s="149" t="s">
        <v>1718</v>
      </c>
      <c r="E98" s="173" t="s">
        <v>1779</v>
      </c>
      <c r="F98" s="174"/>
      <c r="G98" s="174"/>
      <c r="H98" s="174"/>
      <c r="I98" s="174"/>
      <c r="J98" s="175"/>
      <c r="K98" s="176">
        <v>46038.0</v>
      </c>
      <c r="L98" s="177" t="str">
        <f>IF(K98="","APONTAR DATA",(IF('T&amp;D'!B98="FINALIZADO", "CONCLUÍDO", IF(K98&lt;TODAY(), "VENCIDO", IF(K98=TODAY(), "VENCE HOJE", IF(K98&lt;=TODAY()+5,"VENCENDO", "NO PRAZO"))))))</f>
        <v>CONCLUÍDO</v>
      </c>
      <c r="M98" s="175"/>
      <c r="N98" s="8"/>
      <c r="O98" s="8"/>
      <c r="P98" s="8"/>
      <c r="Q98" s="8"/>
      <c r="R98" s="8"/>
      <c r="S98" s="8"/>
      <c r="T98" s="8"/>
      <c r="U98" s="8"/>
      <c r="V98" s="8"/>
      <c r="W98" s="8"/>
      <c r="X98" s="8"/>
      <c r="Y98" s="8"/>
      <c r="Z98" s="8"/>
    </row>
    <row r="99" ht="15.0" hidden="1" customHeight="1">
      <c r="A99" s="147"/>
      <c r="B99" s="171" t="s">
        <v>276</v>
      </c>
      <c r="C99" s="149" t="s">
        <v>571</v>
      </c>
      <c r="D99" s="149" t="s">
        <v>1718</v>
      </c>
      <c r="E99" s="173" t="s">
        <v>1788</v>
      </c>
      <c r="F99" s="174"/>
      <c r="G99" s="174"/>
      <c r="H99" s="174"/>
      <c r="I99" s="174"/>
      <c r="J99" s="175"/>
      <c r="K99" s="176">
        <v>46052.0</v>
      </c>
      <c r="L99" s="177" t="str">
        <f>IF(K99="","APONTAR DATA",(IF('T&amp;D'!B99="FINALIZADO", "CONCLUÍDO", IF(K99&lt;TODAY(), "VENCIDO", IF(K99=TODAY(), "VENCE HOJE", IF(K99&lt;=TODAY()+5,"VENCENDO", "NO PRAZO"))))))</f>
        <v>CONCLUÍDO</v>
      </c>
      <c r="M99" s="175"/>
      <c r="N99" s="8"/>
      <c r="O99" s="8"/>
      <c r="P99" s="8"/>
      <c r="Q99" s="8"/>
      <c r="R99" s="8"/>
      <c r="S99" s="8"/>
      <c r="T99" s="8"/>
      <c r="U99" s="8"/>
      <c r="V99" s="8"/>
      <c r="W99" s="8"/>
      <c r="X99" s="8"/>
      <c r="Y99" s="8"/>
      <c r="Z99" s="8"/>
    </row>
    <row r="100" ht="15.0" hidden="1" customHeight="1">
      <c r="A100" s="147"/>
      <c r="B100" s="171" t="s">
        <v>276</v>
      </c>
      <c r="C100" s="149" t="s">
        <v>571</v>
      </c>
      <c r="D100" s="149" t="s">
        <v>1718</v>
      </c>
      <c r="E100" s="173" t="s">
        <v>1804</v>
      </c>
      <c r="F100" s="174"/>
      <c r="G100" s="174"/>
      <c r="H100" s="174"/>
      <c r="I100" s="174"/>
      <c r="J100" s="175"/>
      <c r="K100" s="176">
        <v>46063.0</v>
      </c>
      <c r="L100" s="177" t="str">
        <f>IF(K100="","APONTAR DATA",(IF('T&amp;D'!B100="FINALIZADO", "CONCLUÍDO", IF(K100&lt;TODAY(), "VENCIDO", IF(K100=TODAY(), "VENCE HOJE", IF(K100&lt;=TODAY()+5,"VENCENDO", "NO PRAZO"))))))</f>
        <v>CONCLUÍDO</v>
      </c>
      <c r="M100" s="175"/>
      <c r="N100" s="8"/>
      <c r="O100" s="8"/>
      <c r="P100" s="8"/>
      <c r="Q100" s="8"/>
      <c r="R100" s="8"/>
      <c r="S100" s="8"/>
      <c r="T100" s="8"/>
      <c r="U100" s="8"/>
      <c r="V100" s="8"/>
      <c r="W100" s="8"/>
      <c r="X100" s="8"/>
      <c r="Y100" s="8"/>
      <c r="Z100" s="8"/>
    </row>
    <row r="101" ht="15.0" hidden="1" customHeight="1">
      <c r="A101" s="147"/>
      <c r="B101" s="171" t="s">
        <v>276</v>
      </c>
      <c r="C101" s="149" t="s">
        <v>571</v>
      </c>
      <c r="D101" s="149" t="s">
        <v>1718</v>
      </c>
      <c r="E101" s="173" t="s">
        <v>1830</v>
      </c>
      <c r="F101" s="174"/>
      <c r="G101" s="174"/>
      <c r="H101" s="174"/>
      <c r="I101" s="174"/>
      <c r="J101" s="175"/>
      <c r="K101" s="176">
        <v>46044.0</v>
      </c>
      <c r="L101" s="177" t="str">
        <f>IF(K101="","APONTAR DATA",(IF('T&amp;D'!B101="FINALIZADO", "CONCLUÍDO", IF(K101&lt;TODAY(), "VENCIDO", IF(K101=TODAY(), "VENCE HOJE", IF(K101&lt;=TODAY()+5,"VENCENDO", "NO PRAZO"))))))</f>
        <v>CONCLUÍDO</v>
      </c>
      <c r="M101" s="175"/>
      <c r="N101" s="8"/>
      <c r="O101" s="8"/>
      <c r="P101" s="8"/>
      <c r="Q101" s="8"/>
      <c r="R101" s="8"/>
      <c r="S101" s="8"/>
      <c r="T101" s="8"/>
      <c r="U101" s="8"/>
      <c r="V101" s="8"/>
      <c r="W101" s="8"/>
      <c r="X101" s="8"/>
      <c r="Y101" s="8"/>
      <c r="Z101" s="8"/>
    </row>
    <row r="102" ht="15.0" hidden="1" customHeight="1">
      <c r="A102" s="147"/>
      <c r="B102" s="171" t="s">
        <v>276</v>
      </c>
      <c r="C102" s="167" t="s">
        <v>664</v>
      </c>
      <c r="D102" s="149" t="s">
        <v>1718</v>
      </c>
      <c r="E102" s="173" t="s">
        <v>1849</v>
      </c>
      <c r="F102" s="174"/>
      <c r="G102" s="174"/>
      <c r="H102" s="174"/>
      <c r="I102" s="174"/>
      <c r="J102" s="175"/>
      <c r="K102" s="176">
        <v>46044.0</v>
      </c>
      <c r="L102" s="177" t="str">
        <f>IF(K102="","APONTAR DATA",(IF('T&amp;D'!B102="FINALIZADO", "CONCLUÍDO", IF(K102&lt;TODAY(), "VENCIDO", IF(K102=TODAY(), "VENCE HOJE", IF(K102&lt;=TODAY()+5,"VENCENDO", "NO PRAZO"))))))</f>
        <v>CONCLUÍDO</v>
      </c>
      <c r="M102" s="175"/>
      <c r="N102" s="8"/>
      <c r="O102" s="8"/>
      <c r="P102" s="8"/>
      <c r="Q102" s="8"/>
      <c r="R102" s="8"/>
      <c r="S102" s="8"/>
      <c r="T102" s="8"/>
      <c r="U102" s="8"/>
      <c r="V102" s="8"/>
      <c r="W102" s="8"/>
      <c r="X102" s="8"/>
      <c r="Y102" s="8"/>
      <c r="Z102" s="8"/>
    </row>
    <row r="103" ht="15.0" hidden="1" customHeight="1">
      <c r="A103" s="147"/>
      <c r="B103" s="171" t="s">
        <v>276</v>
      </c>
      <c r="C103" s="149" t="s">
        <v>571</v>
      </c>
      <c r="D103" s="149" t="s">
        <v>1718</v>
      </c>
      <c r="E103" s="173" t="s">
        <v>1870</v>
      </c>
      <c r="F103" s="174"/>
      <c r="G103" s="174"/>
      <c r="H103" s="174"/>
      <c r="I103" s="174"/>
      <c r="J103" s="175"/>
      <c r="K103" s="176">
        <v>46044.0</v>
      </c>
      <c r="L103" s="177" t="str">
        <f>IF(K103="","APONTAR DATA",(IF('T&amp;D'!B103="FINALIZADO", "CONCLUÍDO", IF(K103&lt;TODAY(), "VENCIDO", IF(K103=TODAY(), "VENCE HOJE", IF(K103&lt;=TODAY()+5,"VENCENDO", "NO PRAZO"))))))</f>
        <v>CONCLUÍDO</v>
      </c>
      <c r="M103" s="175"/>
      <c r="N103" s="8"/>
      <c r="O103" s="8"/>
      <c r="P103" s="8"/>
      <c r="Q103" s="8"/>
      <c r="R103" s="8"/>
      <c r="S103" s="8"/>
      <c r="T103" s="8"/>
      <c r="U103" s="8"/>
      <c r="V103" s="8"/>
      <c r="W103" s="8"/>
      <c r="X103" s="8"/>
      <c r="Y103" s="8"/>
      <c r="Z103" s="8"/>
    </row>
    <row r="104" ht="15.0" hidden="1" customHeight="1">
      <c r="A104" s="147"/>
      <c r="B104" s="171" t="s">
        <v>276</v>
      </c>
      <c r="C104" s="149" t="s">
        <v>571</v>
      </c>
      <c r="D104" s="149" t="s">
        <v>1718</v>
      </c>
      <c r="E104" s="173" t="s">
        <v>1888</v>
      </c>
      <c r="F104" s="174"/>
      <c r="G104" s="174"/>
      <c r="H104" s="174"/>
      <c r="I104" s="174"/>
      <c r="J104" s="175"/>
      <c r="K104" s="176">
        <v>46044.0</v>
      </c>
      <c r="L104" s="177" t="str">
        <f>IF(K104="","APONTAR DATA",(IF('T&amp;D'!B104="FINALIZADO", "CONCLUÍDO", IF(K104&lt;TODAY(), "VENCIDO", IF(K104=TODAY(), "VENCE HOJE", IF(K104&lt;=TODAY()+5,"VENCENDO", "NO PRAZO"))))))</f>
        <v>CONCLUÍDO</v>
      </c>
      <c r="M104" s="175"/>
      <c r="N104" s="8"/>
      <c r="O104" s="8"/>
      <c r="P104" s="8"/>
      <c r="Q104" s="8"/>
      <c r="R104" s="8"/>
      <c r="S104" s="8"/>
      <c r="T104" s="8"/>
      <c r="U104" s="8"/>
      <c r="V104" s="8"/>
      <c r="W104" s="8"/>
      <c r="X104" s="8"/>
      <c r="Y104" s="8"/>
      <c r="Z104" s="8"/>
    </row>
    <row r="105" ht="15.0" hidden="1" customHeight="1">
      <c r="A105" s="147"/>
      <c r="B105" s="171" t="s">
        <v>276</v>
      </c>
      <c r="C105" s="167" t="s">
        <v>362</v>
      </c>
      <c r="D105" s="149" t="s">
        <v>1718</v>
      </c>
      <c r="E105" s="173" t="s">
        <v>1906</v>
      </c>
      <c r="F105" s="174"/>
      <c r="G105" s="174"/>
      <c r="H105" s="174"/>
      <c r="I105" s="174"/>
      <c r="J105" s="175"/>
      <c r="K105" s="176">
        <v>46048.0</v>
      </c>
      <c r="L105" s="177" t="str">
        <f>IF(K105="","APONTAR DATA",(IF('T&amp;D'!B105="FINALIZADO", "CONCLUÍDO", IF(K105&lt;TODAY(), "VENCIDO", IF(K105=TODAY(), "VENCE HOJE", IF(K105&lt;=TODAY()+5,"VENCENDO", "NO PRAZO"))))))</f>
        <v>CONCLUÍDO</v>
      </c>
      <c r="M105" s="175"/>
      <c r="N105" s="8"/>
      <c r="O105" s="8"/>
      <c r="P105" s="8"/>
      <c r="Q105" s="8"/>
      <c r="R105" s="8"/>
      <c r="S105" s="8"/>
      <c r="T105" s="8"/>
      <c r="U105" s="8"/>
      <c r="V105" s="8"/>
      <c r="W105" s="8"/>
      <c r="X105" s="8"/>
      <c r="Y105" s="8"/>
      <c r="Z105" s="8"/>
    </row>
    <row r="106" ht="15.0" hidden="1" customHeight="1">
      <c r="A106" s="147"/>
      <c r="B106" s="171" t="s">
        <v>276</v>
      </c>
      <c r="C106" s="167" t="s">
        <v>653</v>
      </c>
      <c r="D106" s="149" t="s">
        <v>1921</v>
      </c>
      <c r="E106" s="173" t="s">
        <v>1922</v>
      </c>
      <c r="F106" s="174"/>
      <c r="G106" s="174"/>
      <c r="H106" s="174"/>
      <c r="I106" s="174"/>
      <c r="J106" s="175"/>
      <c r="K106" s="176">
        <v>46149.0</v>
      </c>
      <c r="L106" s="177" t="str">
        <f>IF(K106="","APONTAR DATA",(IF('T&amp;D'!B106="FINALIZADO", "CONCLUÍDO", IF(K106&lt;TODAY(), "VENCIDO", IF(K106=TODAY(), "VENCE HOJE", IF(K106&lt;=TODAY()+5,"VENCENDO", "NO PRAZO"))))))</f>
        <v>CONCLUÍDO</v>
      </c>
      <c r="M106" s="175"/>
      <c r="N106" s="8"/>
      <c r="O106" s="8"/>
      <c r="P106" s="8"/>
      <c r="Q106" s="8"/>
      <c r="R106" s="8"/>
      <c r="S106" s="8"/>
      <c r="T106" s="8"/>
      <c r="U106" s="8"/>
      <c r="V106" s="8"/>
      <c r="W106" s="8"/>
      <c r="X106" s="8"/>
      <c r="Y106" s="8"/>
      <c r="Z106" s="8"/>
    </row>
    <row r="107" ht="15.0" hidden="1" customHeight="1">
      <c r="A107" s="147"/>
      <c r="B107" s="171" t="s">
        <v>276</v>
      </c>
      <c r="C107" s="167" t="s">
        <v>674</v>
      </c>
      <c r="D107" s="149" t="s">
        <v>1921</v>
      </c>
      <c r="E107" s="173" t="s">
        <v>1922</v>
      </c>
      <c r="F107" s="174"/>
      <c r="G107" s="174"/>
      <c r="H107" s="174"/>
      <c r="I107" s="174"/>
      <c r="J107" s="175"/>
      <c r="K107" s="176">
        <v>46149.0</v>
      </c>
      <c r="L107" s="177" t="str">
        <f>IF(K107="","APONTAR DATA",(IF('T&amp;D'!B107="FINALIZADO", "CONCLUÍDO", IF(K107&lt;TODAY(), "VENCIDO", IF(K107=TODAY(), "VENCE HOJE", IF(K107&lt;=TODAY()+5,"VENCENDO", "NO PRAZO"))))))</f>
        <v>CONCLUÍDO</v>
      </c>
      <c r="M107" s="175"/>
      <c r="N107" s="8"/>
      <c r="O107" s="8"/>
      <c r="P107" s="8"/>
      <c r="Q107" s="8"/>
      <c r="R107" s="8"/>
      <c r="S107" s="8"/>
      <c r="T107" s="8"/>
      <c r="U107" s="8"/>
      <c r="V107" s="8"/>
      <c r="W107" s="8"/>
      <c r="X107" s="8"/>
      <c r="Y107" s="8"/>
      <c r="Z107" s="8"/>
    </row>
    <row r="108" ht="15.0" hidden="1" customHeight="1">
      <c r="A108" s="147"/>
      <c r="B108" s="171" t="s">
        <v>276</v>
      </c>
      <c r="C108" s="167" t="s">
        <v>50</v>
      </c>
      <c r="D108" s="149" t="s">
        <v>1921</v>
      </c>
      <c r="E108" s="173" t="s">
        <v>1967</v>
      </c>
      <c r="F108" s="174"/>
      <c r="G108" s="174"/>
      <c r="H108" s="174"/>
      <c r="I108" s="174"/>
      <c r="J108" s="175"/>
      <c r="K108" s="176">
        <v>46149.0</v>
      </c>
      <c r="L108" s="177" t="str">
        <f>IF(K108="","APONTAR DATA",(IF('T&amp;D'!B108="FINALIZADO", "CONCLUÍDO", IF(K108&lt;TODAY(), "VENCIDO", IF(K108=TODAY(), "VENCE HOJE", IF(K108&lt;=TODAY()+5,"VENCENDO", "NO PRAZO"))))))</f>
        <v>CONCLUÍDO</v>
      </c>
      <c r="M108" s="175"/>
      <c r="N108" s="8"/>
      <c r="O108" s="8"/>
      <c r="P108" s="8"/>
      <c r="Q108" s="8"/>
      <c r="R108" s="8"/>
      <c r="S108" s="8"/>
      <c r="T108" s="8"/>
      <c r="U108" s="8"/>
      <c r="V108" s="8"/>
      <c r="W108" s="8"/>
      <c r="X108" s="8"/>
      <c r="Y108" s="8"/>
      <c r="Z108" s="8"/>
    </row>
    <row r="109" ht="15.0" hidden="1" customHeight="1">
      <c r="A109" s="147"/>
      <c r="B109" s="171" t="s">
        <v>276</v>
      </c>
      <c r="C109" s="167" t="s">
        <v>425</v>
      </c>
      <c r="D109" s="149" t="s">
        <v>1921</v>
      </c>
      <c r="E109" s="173" t="s">
        <v>1986</v>
      </c>
      <c r="F109" s="174"/>
      <c r="G109" s="174"/>
      <c r="H109" s="174"/>
      <c r="I109" s="174"/>
      <c r="J109" s="175"/>
      <c r="K109" s="176">
        <v>46168.0</v>
      </c>
      <c r="L109" s="177" t="str">
        <f>IF(K109="","APONTAR DATA",(IF('T&amp;D'!B109="FINALIZADO", "CONCLUÍDO", IF(K109&lt;TODAY(), "VENCIDO", IF(K109=TODAY(), "VENCE HOJE", IF(K109&lt;=TODAY()+5,"VENCENDO", "NO PRAZO"))))))</f>
        <v>CONCLUÍDO</v>
      </c>
      <c r="M109" s="175"/>
      <c r="N109" s="8"/>
      <c r="O109" s="8"/>
      <c r="P109" s="8"/>
      <c r="Q109" s="8"/>
      <c r="R109" s="8"/>
      <c r="S109" s="8"/>
      <c r="T109" s="8"/>
      <c r="U109" s="8"/>
      <c r="V109" s="8"/>
      <c r="W109" s="8"/>
      <c r="X109" s="8"/>
      <c r="Y109" s="8"/>
      <c r="Z109" s="8"/>
    </row>
    <row r="110" ht="15.0" hidden="1" customHeight="1">
      <c r="A110" s="147"/>
      <c r="B110" s="171" t="s">
        <v>276</v>
      </c>
      <c r="C110" s="167" t="s">
        <v>245</v>
      </c>
      <c r="D110" s="149" t="s">
        <v>1921</v>
      </c>
      <c r="E110" s="173" t="s">
        <v>2006</v>
      </c>
      <c r="F110" s="174"/>
      <c r="G110" s="174"/>
      <c r="H110" s="174"/>
      <c r="I110" s="174"/>
      <c r="J110" s="175"/>
      <c r="K110" s="176">
        <v>46164.0</v>
      </c>
      <c r="L110" s="177" t="str">
        <f>IF(K110="","APONTAR DATA",(IF('T&amp;D'!B110="FINALIZADO", "CONCLUÍDO", IF(K110&lt;TODAY(), "VENCIDO", IF(K110=TODAY(), "VENCE HOJE", IF(K110&lt;=TODAY()+5,"VENCENDO", "NO PRAZO"))))))</f>
        <v>CONCLUÍDO</v>
      </c>
      <c r="M110" s="175"/>
      <c r="N110" s="8"/>
      <c r="O110" s="8"/>
      <c r="P110" s="8"/>
      <c r="Q110" s="8"/>
      <c r="R110" s="8"/>
      <c r="S110" s="8"/>
      <c r="T110" s="8"/>
      <c r="U110" s="8"/>
      <c r="V110" s="8"/>
      <c r="W110" s="8"/>
      <c r="X110" s="8"/>
      <c r="Y110" s="8"/>
      <c r="Z110" s="8"/>
    </row>
    <row r="111" ht="15.0" hidden="1" customHeight="1">
      <c r="A111" s="147"/>
      <c r="B111" s="171" t="s">
        <v>276</v>
      </c>
      <c r="C111" s="167" t="s">
        <v>498</v>
      </c>
      <c r="D111" s="149" t="s">
        <v>1921</v>
      </c>
      <c r="E111" s="173" t="s">
        <v>2024</v>
      </c>
      <c r="F111" s="174"/>
      <c r="G111" s="174"/>
      <c r="H111" s="174"/>
      <c r="I111" s="174"/>
      <c r="J111" s="175"/>
      <c r="K111" s="176">
        <v>46149.0</v>
      </c>
      <c r="L111" s="177" t="str">
        <f>IF(K111="","APONTAR DATA",(IF('T&amp;D'!B111="FINALIZADO", "CONCLUÍDO", IF(K111&lt;TODAY(), "VENCIDO", IF(K111=TODAY(), "VENCE HOJE", IF(K111&lt;=TODAY()+5,"VENCENDO", "NO PRAZO"))))))</f>
        <v>CONCLUÍDO</v>
      </c>
      <c r="M111" s="175"/>
      <c r="N111" s="8"/>
      <c r="O111" s="8"/>
      <c r="P111" s="8"/>
      <c r="Q111" s="8"/>
      <c r="R111" s="8"/>
      <c r="S111" s="8"/>
      <c r="T111" s="8"/>
      <c r="U111" s="8"/>
      <c r="V111" s="8"/>
      <c r="W111" s="8"/>
      <c r="X111" s="8"/>
      <c r="Y111" s="8"/>
      <c r="Z111" s="8"/>
    </row>
    <row r="112" ht="15.0" hidden="1" customHeight="1">
      <c r="A112" s="147"/>
      <c r="B112" s="171" t="s">
        <v>276</v>
      </c>
      <c r="C112" s="167" t="s">
        <v>404</v>
      </c>
      <c r="D112" s="149" t="s">
        <v>1921</v>
      </c>
      <c r="E112" s="173" t="s">
        <v>1922</v>
      </c>
      <c r="F112" s="174"/>
      <c r="G112" s="174"/>
      <c r="H112" s="174"/>
      <c r="I112" s="174"/>
      <c r="J112" s="175"/>
      <c r="K112" s="176">
        <v>46149.0</v>
      </c>
      <c r="L112" s="177" t="str">
        <f>IF(K112="","APONTAR DATA",(IF('T&amp;D'!B112="FINALIZADO", "CONCLUÍDO", IF(K112&lt;TODAY(), "VENCIDO", IF(K112=TODAY(), "VENCE HOJE", IF(K112&lt;=TODAY()+5,"VENCENDO", "NO PRAZO"))))))</f>
        <v>CONCLUÍDO</v>
      </c>
      <c r="M112" s="175"/>
      <c r="N112" s="8"/>
      <c r="O112" s="8"/>
      <c r="P112" s="8"/>
      <c r="Q112" s="8"/>
      <c r="R112" s="8"/>
      <c r="S112" s="8"/>
      <c r="T112" s="8"/>
      <c r="U112" s="8"/>
      <c r="V112" s="8"/>
      <c r="W112" s="8"/>
      <c r="X112" s="8"/>
      <c r="Y112" s="8"/>
      <c r="Z112" s="8"/>
    </row>
    <row r="113" ht="15.0" hidden="1" customHeight="1">
      <c r="A113" s="147"/>
      <c r="B113" s="171" t="s">
        <v>276</v>
      </c>
      <c r="C113" s="167" t="s">
        <v>193</v>
      </c>
      <c r="D113" s="149" t="s">
        <v>1921</v>
      </c>
      <c r="E113" s="173" t="s">
        <v>1922</v>
      </c>
      <c r="F113" s="174"/>
      <c r="G113" s="174"/>
      <c r="H113" s="174"/>
      <c r="I113" s="174"/>
      <c r="J113" s="175"/>
      <c r="K113" s="176">
        <v>46149.0</v>
      </c>
      <c r="L113" s="177" t="str">
        <f>IF(K113="","APONTAR DATA",(IF('T&amp;D'!B113="FINALIZADO", "CONCLUÍDO", IF(K113&lt;TODAY(), "VENCIDO", IF(K113=TODAY(), "VENCE HOJE", IF(K113&lt;=TODAY()+5,"VENCENDO", "NO PRAZO"))))))</f>
        <v>CONCLUÍDO</v>
      </c>
      <c r="M113" s="175"/>
      <c r="N113" s="8"/>
      <c r="O113" s="8"/>
      <c r="P113" s="8"/>
      <c r="Q113" s="8"/>
      <c r="R113" s="8"/>
      <c r="S113" s="8"/>
      <c r="T113" s="8"/>
      <c r="U113" s="8"/>
      <c r="V113" s="8"/>
      <c r="W113" s="8"/>
      <c r="X113" s="8"/>
      <c r="Y113" s="8"/>
      <c r="Z113" s="8"/>
    </row>
    <row r="114" ht="15.0" hidden="1" customHeight="1">
      <c r="A114" s="147"/>
      <c r="B114" s="171" t="s">
        <v>276</v>
      </c>
      <c r="C114" s="167" t="s">
        <v>471</v>
      </c>
      <c r="D114" s="149" t="s">
        <v>1921</v>
      </c>
      <c r="E114" s="173" t="s">
        <v>1922</v>
      </c>
      <c r="F114" s="174"/>
      <c r="G114" s="174"/>
      <c r="H114" s="174"/>
      <c r="I114" s="174"/>
      <c r="J114" s="175"/>
      <c r="K114" s="176">
        <v>46155.0</v>
      </c>
      <c r="L114" s="177" t="str">
        <f>IF(K114="","APONTAR DATA",(IF('T&amp;D'!B114="FINALIZADO", "CONCLUÍDO", IF(K114&lt;TODAY(), "VENCIDO", IF(K114=TODAY(), "VENCE HOJE", IF(K114&lt;=TODAY()+5,"VENCENDO", "NO PRAZO"))))))</f>
        <v>CONCLUÍDO</v>
      </c>
      <c r="M114" s="175"/>
      <c r="N114" s="96"/>
      <c r="O114" s="96"/>
      <c r="P114" s="96"/>
      <c r="Q114" s="96"/>
      <c r="R114" s="96"/>
      <c r="S114" s="96"/>
      <c r="T114" s="96"/>
      <c r="U114" s="96"/>
      <c r="V114" s="96"/>
      <c r="W114" s="96"/>
      <c r="X114" s="96"/>
      <c r="Y114" s="96"/>
      <c r="Z114" s="96"/>
    </row>
    <row r="115" ht="15.0" hidden="1" customHeight="1">
      <c r="A115" s="147"/>
      <c r="B115" s="171" t="s">
        <v>276</v>
      </c>
      <c r="C115" s="167" t="s">
        <v>538</v>
      </c>
      <c r="D115" s="149" t="s">
        <v>1921</v>
      </c>
      <c r="E115" s="173" t="s">
        <v>1922</v>
      </c>
      <c r="F115" s="174"/>
      <c r="G115" s="174"/>
      <c r="H115" s="174"/>
      <c r="I115" s="174"/>
      <c r="J115" s="175"/>
      <c r="K115" s="176">
        <v>46149.0</v>
      </c>
      <c r="L115" s="177" t="str">
        <f>IF(K115="","APONTAR DATA",(IF('T&amp;D'!B115="FINALIZADO", "CONCLUÍDO", IF(K115&lt;TODAY(), "VENCIDO", IF(K115=TODAY(), "VENCE HOJE", IF(K115&lt;=TODAY()+5,"VENCENDO", "NO PRAZO"))))))</f>
        <v>CONCLUÍDO</v>
      </c>
      <c r="M115" s="175"/>
      <c r="N115" s="96"/>
      <c r="O115" s="96"/>
      <c r="P115" s="96"/>
      <c r="Q115" s="96"/>
      <c r="R115" s="96"/>
      <c r="S115" s="96"/>
      <c r="T115" s="96"/>
      <c r="U115" s="96"/>
      <c r="V115" s="96"/>
      <c r="W115" s="96"/>
      <c r="X115" s="96"/>
      <c r="Y115" s="96"/>
      <c r="Z115" s="96"/>
    </row>
    <row r="116" ht="15.0" hidden="1" customHeight="1">
      <c r="A116" s="147"/>
      <c r="B116" s="171" t="s">
        <v>276</v>
      </c>
      <c r="C116" s="167" t="s">
        <v>582</v>
      </c>
      <c r="D116" s="149" t="s">
        <v>1921</v>
      </c>
      <c r="E116" s="173" t="s">
        <v>1922</v>
      </c>
      <c r="F116" s="174"/>
      <c r="G116" s="174"/>
      <c r="H116" s="174"/>
      <c r="I116" s="174"/>
      <c r="J116" s="175"/>
      <c r="K116" s="176">
        <v>46149.0</v>
      </c>
      <c r="L116" s="177" t="str">
        <f>IF(K116="","APONTAR DATA",(IF('T&amp;D'!B116="FINALIZADO", "CONCLUÍDO", IF(K116&lt;TODAY(), "VENCIDO", IF(K116=TODAY(), "VENCE HOJE", IF(K116&lt;=TODAY()+5,"VENCENDO", "NO PRAZO"))))))</f>
        <v>CONCLUÍDO</v>
      </c>
      <c r="M116" s="175"/>
      <c r="N116" s="96"/>
      <c r="O116" s="96"/>
      <c r="P116" s="96"/>
      <c r="Q116" s="96"/>
      <c r="R116" s="96"/>
      <c r="S116" s="96"/>
      <c r="T116" s="96"/>
      <c r="U116" s="96"/>
      <c r="V116" s="96"/>
      <c r="W116" s="96"/>
      <c r="X116" s="96"/>
      <c r="Y116" s="96"/>
      <c r="Z116" s="96"/>
    </row>
    <row r="117" ht="15.0" hidden="1" customHeight="1">
      <c r="A117" s="147"/>
      <c r="B117" s="171" t="s">
        <v>276</v>
      </c>
      <c r="C117" s="167" t="s">
        <v>819</v>
      </c>
      <c r="D117" s="149" t="s">
        <v>1921</v>
      </c>
      <c r="E117" s="173" t="s">
        <v>2006</v>
      </c>
      <c r="F117" s="174"/>
      <c r="G117" s="174"/>
      <c r="H117" s="174"/>
      <c r="I117" s="174"/>
      <c r="J117" s="175"/>
      <c r="K117" s="176">
        <v>46164.0</v>
      </c>
      <c r="L117" s="177" t="str">
        <f>IF(K117="","APONTAR DATA",(IF('T&amp;D'!B117="FINALIZADO", "CONCLUÍDO", IF(K117&lt;TODAY(), "VENCIDO", IF(K117=TODAY(), "VENCE HOJE", IF(K117&lt;=TODAY()+5,"VENCENDO", "NO PRAZO"))))))</f>
        <v>CONCLUÍDO</v>
      </c>
      <c r="M117" s="175"/>
      <c r="N117" s="96"/>
      <c r="O117" s="96"/>
      <c r="P117" s="96"/>
      <c r="Q117" s="96"/>
      <c r="R117" s="96"/>
      <c r="S117" s="96"/>
      <c r="T117" s="96"/>
      <c r="U117" s="96"/>
      <c r="V117" s="96"/>
      <c r="W117" s="96"/>
      <c r="X117" s="96"/>
      <c r="Y117" s="96"/>
      <c r="Z117" s="96"/>
    </row>
    <row r="118" ht="15.0" hidden="1" customHeight="1">
      <c r="A118" s="147"/>
      <c r="B118" s="171" t="s">
        <v>276</v>
      </c>
      <c r="C118" s="167" t="s">
        <v>362</v>
      </c>
      <c r="D118" s="149" t="s">
        <v>1921</v>
      </c>
      <c r="E118" s="173" t="s">
        <v>1922</v>
      </c>
      <c r="F118" s="174"/>
      <c r="G118" s="174"/>
      <c r="H118" s="174"/>
      <c r="I118" s="174"/>
      <c r="J118" s="175"/>
      <c r="K118" s="176">
        <v>46149.0</v>
      </c>
      <c r="L118" s="177" t="str">
        <f>IF(K118="","APONTAR DATA",(IF('T&amp;D'!B118="FINALIZADO", "CONCLUÍDO", IF(K118&lt;TODAY(), "VENCIDO", IF(K118=TODAY(), "VENCE HOJE", IF(K118&lt;=TODAY()+5,"VENCENDO", "NO PRAZO"))))))</f>
        <v>CONCLUÍDO</v>
      </c>
      <c r="M118" s="175"/>
      <c r="N118" s="96"/>
      <c r="O118" s="96"/>
      <c r="P118" s="96"/>
      <c r="Q118" s="96"/>
      <c r="R118" s="96"/>
      <c r="S118" s="96"/>
      <c r="T118" s="96"/>
      <c r="U118" s="96"/>
      <c r="V118" s="96"/>
      <c r="W118" s="96"/>
      <c r="X118" s="96"/>
      <c r="Y118" s="96"/>
      <c r="Z118" s="96"/>
    </row>
    <row r="119" ht="15.0" hidden="1" customHeight="1">
      <c r="A119" s="147"/>
      <c r="B119" s="171" t="s">
        <v>276</v>
      </c>
      <c r="C119" s="167" t="s">
        <v>387</v>
      </c>
      <c r="D119" s="149" t="s">
        <v>1921</v>
      </c>
      <c r="E119" s="173" t="s">
        <v>2006</v>
      </c>
      <c r="F119" s="174"/>
      <c r="G119" s="174"/>
      <c r="H119" s="174"/>
      <c r="I119" s="174"/>
      <c r="J119" s="175"/>
      <c r="K119" s="176">
        <v>46161.0</v>
      </c>
      <c r="L119" s="177" t="str">
        <f>IF(K119="","APONTAR DATA",(IF('T&amp;D'!B119="FINALIZADO", "CONCLUÍDO", IF(K119&lt;TODAY(), "VENCIDO", IF(K119=TODAY(), "VENCE HOJE", IF(K119&lt;=TODAY()+5,"VENCENDO", "NO PRAZO"))))))</f>
        <v>CONCLUÍDO</v>
      </c>
      <c r="M119" s="175"/>
      <c r="N119" s="96"/>
      <c r="O119" s="96"/>
      <c r="P119" s="96"/>
      <c r="Q119" s="96"/>
      <c r="R119" s="96"/>
      <c r="S119" s="96"/>
      <c r="T119" s="96"/>
      <c r="U119" s="96"/>
      <c r="V119" s="96"/>
      <c r="W119" s="96"/>
      <c r="X119" s="96"/>
      <c r="Y119" s="96"/>
      <c r="Z119" s="96"/>
    </row>
    <row r="120" ht="15.0" hidden="1" customHeight="1">
      <c r="A120" s="147"/>
      <c r="B120" s="171" t="s">
        <v>276</v>
      </c>
      <c r="C120" s="167" t="s">
        <v>642</v>
      </c>
      <c r="D120" s="149" t="s">
        <v>1921</v>
      </c>
      <c r="E120" s="173" t="s">
        <v>1922</v>
      </c>
      <c r="F120" s="174"/>
      <c r="G120" s="174"/>
      <c r="H120" s="174"/>
      <c r="I120" s="174"/>
      <c r="J120" s="175"/>
      <c r="K120" s="176">
        <v>46149.0</v>
      </c>
      <c r="L120" s="177" t="str">
        <f>IF(K120="","APONTAR DATA",(IF('T&amp;D'!B120="FINALIZADO", "CONCLUÍDO", IF(K120&lt;TODAY(), "VENCIDO", IF(K120=TODAY(), "VENCE HOJE", IF(K120&lt;=TODAY()+5,"VENCENDO", "NO PRAZO"))))))</f>
        <v>CONCLUÍDO</v>
      </c>
      <c r="M120" s="175"/>
      <c r="N120" s="96"/>
      <c r="O120" s="96"/>
      <c r="P120" s="96"/>
      <c r="Q120" s="96"/>
      <c r="R120" s="96"/>
      <c r="S120" s="96"/>
      <c r="T120" s="96"/>
      <c r="U120" s="96"/>
      <c r="V120" s="96"/>
      <c r="W120" s="96"/>
      <c r="X120" s="96"/>
      <c r="Y120" s="96"/>
      <c r="Z120" s="96"/>
    </row>
    <row r="121" ht="15.0" hidden="1" customHeight="1">
      <c r="A121" s="147"/>
      <c r="B121" s="171" t="s">
        <v>276</v>
      </c>
      <c r="C121" s="167" t="s">
        <v>831</v>
      </c>
      <c r="D121" s="149" t="s">
        <v>1921</v>
      </c>
      <c r="E121" s="173" t="s">
        <v>1986</v>
      </c>
      <c r="F121" s="174"/>
      <c r="G121" s="174"/>
      <c r="H121" s="174"/>
      <c r="I121" s="174"/>
      <c r="J121" s="175"/>
      <c r="K121" s="176">
        <v>46149.0</v>
      </c>
      <c r="L121" s="177" t="str">
        <f>IF(K121="","APONTAR DATA",(IF('T&amp;D'!B121="FINALIZADO", "CONCLUÍDO", IF(K121&lt;TODAY(), "VENCIDO", IF(K121=TODAY(), "VENCE HOJE", IF(K121&lt;=TODAY()+5,"VENCENDO", "NO PRAZO"))))))</f>
        <v>CONCLUÍDO</v>
      </c>
      <c r="M121" s="175"/>
      <c r="N121" s="96"/>
      <c r="O121" s="96"/>
      <c r="P121" s="96"/>
      <c r="Q121" s="96"/>
      <c r="R121" s="96"/>
      <c r="S121" s="96"/>
      <c r="T121" s="96"/>
      <c r="U121" s="96"/>
      <c r="V121" s="96"/>
      <c r="W121" s="96"/>
      <c r="X121" s="96"/>
      <c r="Y121" s="96"/>
      <c r="Z121" s="96"/>
    </row>
    <row r="122" ht="15.0" hidden="1" customHeight="1">
      <c r="A122" s="147"/>
      <c r="B122" s="171" t="s">
        <v>276</v>
      </c>
      <c r="C122" s="167" t="s">
        <v>754</v>
      </c>
      <c r="D122" s="149" t="s">
        <v>1921</v>
      </c>
      <c r="E122" s="194" t="s">
        <v>2255</v>
      </c>
      <c r="F122" s="174"/>
      <c r="G122" s="174"/>
      <c r="H122" s="174"/>
      <c r="I122" s="174"/>
      <c r="J122" s="175"/>
      <c r="K122" s="176">
        <v>46156.0</v>
      </c>
      <c r="L122" s="177" t="str">
        <f>IF(K122="","APONTAR DATA",(IF('T&amp;D'!B122="FINALIZADO", "CONCLUÍDO", IF(K122&lt;TODAY(), "VENCIDO", IF(K122=TODAY(), "VENCE HOJE", IF(K122&lt;=TODAY()+5,"VENCENDO", "NO PRAZO"))))))</f>
        <v>CONCLUÍDO</v>
      </c>
      <c r="M122" s="175"/>
      <c r="N122" s="96"/>
      <c r="O122" s="96"/>
      <c r="P122" s="96"/>
      <c r="Q122" s="96"/>
      <c r="R122" s="96"/>
      <c r="S122" s="96"/>
      <c r="T122" s="96"/>
      <c r="U122" s="96"/>
      <c r="V122" s="96"/>
      <c r="W122" s="96"/>
      <c r="X122" s="96"/>
      <c r="Y122" s="96"/>
      <c r="Z122" s="96"/>
    </row>
    <row r="123" ht="15.0" hidden="1" customHeight="1">
      <c r="A123" s="147"/>
      <c r="B123" s="171" t="s">
        <v>276</v>
      </c>
      <c r="C123" s="167" t="s">
        <v>404</v>
      </c>
      <c r="D123" s="149" t="s">
        <v>1718</v>
      </c>
      <c r="E123" s="173" t="s">
        <v>2276</v>
      </c>
      <c r="F123" s="174"/>
      <c r="G123" s="174"/>
      <c r="H123" s="174"/>
      <c r="I123" s="174"/>
      <c r="J123" s="175"/>
      <c r="K123" s="176">
        <v>46155.0</v>
      </c>
      <c r="L123" s="177" t="str">
        <f>IF(K123="","APONTAR DATA",(IF('T&amp;D'!B123="FINALIZADO", "CONCLUÍDO", IF(K123&lt;TODAY(), "VENCIDO", IF(K123=TODAY(), "VENCE HOJE", IF(K123&lt;=TODAY()+5,"VENCENDO", "NO PRAZO"))))))</f>
        <v>CONCLUÍDO</v>
      </c>
      <c r="M123" s="175"/>
      <c r="N123" s="96"/>
      <c r="O123" s="96"/>
      <c r="P123" s="96"/>
      <c r="Q123" s="96"/>
      <c r="R123" s="96"/>
      <c r="S123" s="96"/>
      <c r="T123" s="96"/>
      <c r="U123" s="96"/>
      <c r="V123" s="96"/>
      <c r="W123" s="96"/>
      <c r="X123" s="96"/>
      <c r="Y123" s="96"/>
      <c r="Z123" s="96"/>
    </row>
    <row r="124" ht="15.0" hidden="1" customHeight="1">
      <c r="A124" s="147"/>
      <c r="B124" s="171" t="s">
        <v>276</v>
      </c>
      <c r="C124" s="167" t="s">
        <v>715</v>
      </c>
      <c r="D124" s="149" t="s">
        <v>1718</v>
      </c>
      <c r="E124" s="173" t="s">
        <v>2294</v>
      </c>
      <c r="F124" s="174"/>
      <c r="G124" s="174"/>
      <c r="H124" s="174"/>
      <c r="I124" s="174"/>
      <c r="J124" s="175"/>
      <c r="K124" s="176">
        <v>46178.0</v>
      </c>
      <c r="L124" s="177" t="str">
        <f>IF(K124="","APONTAR DATA",(IF('T&amp;D'!B124="FINALIZADO", "CONCLUÍDO", IF(K124&lt;TODAY(), "VENCIDO", IF(K124=TODAY(), "VENCE HOJE", IF(K124&lt;=TODAY()+5,"VENCENDO", "NO PRAZO"))))))</f>
        <v>CONCLUÍDO</v>
      </c>
      <c r="M124" s="175"/>
      <c r="N124" s="96"/>
      <c r="O124" s="96"/>
      <c r="P124" s="96"/>
      <c r="Q124" s="96"/>
      <c r="R124" s="96"/>
      <c r="S124" s="96"/>
      <c r="T124" s="96"/>
      <c r="U124" s="96"/>
      <c r="V124" s="96"/>
      <c r="W124" s="96"/>
      <c r="X124" s="96"/>
      <c r="Y124" s="96"/>
      <c r="Z124" s="96"/>
    </row>
    <row r="125" ht="15.0" hidden="1" customHeight="1">
      <c r="A125" s="147"/>
      <c r="B125" s="171" t="s">
        <v>276</v>
      </c>
      <c r="C125" s="167" t="s">
        <v>836</v>
      </c>
      <c r="D125" s="149" t="s">
        <v>1921</v>
      </c>
      <c r="E125" s="194" t="s">
        <v>2306</v>
      </c>
      <c r="F125" s="174"/>
      <c r="G125" s="174"/>
      <c r="H125" s="174"/>
      <c r="I125" s="174"/>
      <c r="J125" s="175"/>
      <c r="K125" s="176">
        <v>46157.0</v>
      </c>
      <c r="L125" s="177" t="str">
        <f>IF(K125="","APONTAR DATA",(IF('T&amp;D'!B125="FINALIZADO", "CONCLUÍDO", IF(K125&lt;TODAY(), "VENCIDO", IF(K125=TODAY(), "VENCE HOJE", IF(K125&lt;=TODAY()+5,"VENCENDO", "NO PRAZO"))))))</f>
        <v>CONCLUÍDO</v>
      </c>
      <c r="M125" s="175"/>
      <c r="N125" s="96"/>
      <c r="O125" s="96"/>
      <c r="P125" s="96"/>
      <c r="Q125" s="96"/>
      <c r="R125" s="96"/>
      <c r="S125" s="96"/>
      <c r="T125" s="96"/>
      <c r="U125" s="96"/>
      <c r="V125" s="96"/>
      <c r="W125" s="96"/>
      <c r="X125" s="96"/>
      <c r="Y125" s="96"/>
      <c r="Z125" s="96"/>
    </row>
    <row r="126" ht="15.0" hidden="1" customHeight="1">
      <c r="A126" s="147"/>
      <c r="B126" s="171" t="s">
        <v>276</v>
      </c>
      <c r="C126" s="167" t="s">
        <v>715</v>
      </c>
      <c r="D126" s="149" t="s">
        <v>1718</v>
      </c>
      <c r="E126" s="173" t="s">
        <v>2318</v>
      </c>
      <c r="F126" s="174"/>
      <c r="G126" s="174"/>
      <c r="H126" s="174"/>
      <c r="I126" s="174"/>
      <c r="J126" s="175"/>
      <c r="K126" s="176">
        <v>46169.0</v>
      </c>
      <c r="L126" s="177" t="str">
        <f>IF(K126="","APONTAR DATA",(IF('T&amp;D'!B126="FINALIZADO", "CONCLUÍDO", IF(K126&lt;TODAY(), "VENCIDO", IF(K126=TODAY(), "VENCE HOJE", IF(K126&lt;=TODAY()+5,"VENCENDO", "NO PRAZO"))))))</f>
        <v>CONCLUÍDO</v>
      </c>
      <c r="M126" s="175"/>
      <c r="N126" s="96"/>
      <c r="O126" s="96"/>
      <c r="P126" s="96"/>
      <c r="Q126" s="96"/>
      <c r="R126" s="96"/>
      <c r="S126" s="96"/>
      <c r="T126" s="96"/>
      <c r="U126" s="96"/>
      <c r="V126" s="96"/>
      <c r="W126" s="96"/>
      <c r="X126" s="96"/>
      <c r="Y126" s="96"/>
      <c r="Z126" s="96"/>
    </row>
    <row r="127" ht="15.0" hidden="1" customHeight="1">
      <c r="A127" s="147"/>
      <c r="B127" s="171" t="s">
        <v>276</v>
      </c>
      <c r="C127" s="167" t="s">
        <v>715</v>
      </c>
      <c r="D127" s="149" t="s">
        <v>1718</v>
      </c>
      <c r="E127" s="173" t="s">
        <v>2329</v>
      </c>
      <c r="F127" s="174"/>
      <c r="G127" s="174"/>
      <c r="H127" s="174"/>
      <c r="I127" s="174"/>
      <c r="J127" s="175"/>
      <c r="K127" s="176">
        <v>46164.0</v>
      </c>
      <c r="L127" s="177" t="str">
        <f>IF(K127="","APONTAR DATA",(IF('T&amp;D'!B127="FINALIZADO", "CONCLUÍDO", IF(K127&lt;TODAY(), "VENCIDO", IF(K127=TODAY(), "VENCE HOJE", IF(K127&lt;=TODAY()+5,"VENCENDO", "NO PRAZO"))))))</f>
        <v>CONCLUÍDO</v>
      </c>
      <c r="M127" s="175"/>
      <c r="N127" s="96"/>
      <c r="O127" s="96"/>
      <c r="P127" s="96"/>
      <c r="Q127" s="96"/>
      <c r="R127" s="96"/>
      <c r="S127" s="96"/>
      <c r="T127" s="96"/>
      <c r="U127" s="96"/>
      <c r="V127" s="96"/>
      <c r="W127" s="96"/>
      <c r="X127" s="96"/>
      <c r="Y127" s="96"/>
      <c r="Z127" s="96"/>
    </row>
    <row r="128" ht="15.0" hidden="1" customHeight="1">
      <c r="A128" s="147"/>
      <c r="B128" s="171" t="s">
        <v>276</v>
      </c>
      <c r="C128" s="167" t="s">
        <v>1248</v>
      </c>
      <c r="D128" s="149" t="s">
        <v>1718</v>
      </c>
      <c r="E128" s="173" t="s">
        <v>2341</v>
      </c>
      <c r="F128" s="174"/>
      <c r="G128" s="174"/>
      <c r="H128" s="174"/>
      <c r="I128" s="174"/>
      <c r="J128" s="175"/>
      <c r="K128" s="176">
        <v>46167.0</v>
      </c>
      <c r="L128" s="177" t="str">
        <f>IF(K128="","APONTAR DATA",(IF('T&amp;D'!B128="FINALIZADO", "CONCLUÍDO", IF(K128&lt;TODAY(), "VENCIDO", IF(K128=TODAY(), "VENCE HOJE", IF(K128&lt;=TODAY()+5,"VENCENDO", "NO PRAZO"))))))</f>
        <v>CONCLUÍDO</v>
      </c>
      <c r="M128" s="175"/>
      <c r="N128" s="96"/>
      <c r="O128" s="96"/>
      <c r="P128" s="96"/>
      <c r="Q128" s="96"/>
      <c r="R128" s="96"/>
      <c r="S128" s="96"/>
      <c r="T128" s="96"/>
      <c r="U128" s="96"/>
      <c r="V128" s="96"/>
      <c r="W128" s="96"/>
      <c r="X128" s="96"/>
      <c r="Y128" s="96"/>
      <c r="Z128" s="96"/>
    </row>
    <row r="129" ht="15.0" hidden="1" customHeight="1">
      <c r="A129" s="147"/>
      <c r="B129" s="171" t="s">
        <v>276</v>
      </c>
      <c r="C129" s="167" t="s">
        <v>471</v>
      </c>
      <c r="D129" s="149" t="s">
        <v>1718</v>
      </c>
      <c r="E129" s="173" t="s">
        <v>2348</v>
      </c>
      <c r="F129" s="174"/>
      <c r="G129" s="174"/>
      <c r="H129" s="174"/>
      <c r="I129" s="174"/>
      <c r="J129" s="175"/>
      <c r="K129" s="176">
        <v>46174.0</v>
      </c>
      <c r="L129" s="177" t="str">
        <f>IF(K129="","APONTAR DATA",(IF('T&amp;D'!B129="FINALIZADO", "CONCLUÍDO", IF(K129&lt;TODAY(), "VENCIDO", IF(K129=TODAY(), "VENCE HOJE", IF(K129&lt;=TODAY()+5,"VENCENDO", "NO PRAZO"))))))</f>
        <v>CONCLUÍDO</v>
      </c>
      <c r="M129" s="175"/>
      <c r="N129" s="96"/>
      <c r="O129" s="96"/>
      <c r="P129" s="96"/>
      <c r="Q129" s="96"/>
      <c r="R129" s="96"/>
      <c r="S129" s="96"/>
      <c r="T129" s="96"/>
      <c r="U129" s="96"/>
      <c r="V129" s="96"/>
      <c r="W129" s="96"/>
      <c r="X129" s="96"/>
      <c r="Y129" s="96"/>
      <c r="Z129" s="96"/>
    </row>
    <row r="130" ht="15.0" hidden="1" customHeight="1">
      <c r="A130" s="147"/>
      <c r="B130" s="171" t="s">
        <v>276</v>
      </c>
      <c r="C130" s="149" t="s">
        <v>571</v>
      </c>
      <c r="D130" s="149" t="s">
        <v>1718</v>
      </c>
      <c r="E130" s="173" t="s">
        <v>2358</v>
      </c>
      <c r="F130" s="174"/>
      <c r="G130" s="174"/>
      <c r="H130" s="174"/>
      <c r="I130" s="174"/>
      <c r="J130" s="175"/>
      <c r="K130" s="176">
        <v>46160.0</v>
      </c>
      <c r="L130" s="177" t="str">
        <f>IF(K130="","APONTAR DATA",(IF('T&amp;D'!B130="FINALIZADO", "CONCLUÍDO", IF(K130&lt;TODAY(), "VENCIDO", IF(K130=TODAY(), "VENCE HOJE", IF(K130&lt;=TODAY()+5,"VENCENDO", "NO PRAZO"))))))</f>
        <v>CONCLUÍDO</v>
      </c>
      <c r="M130" s="175"/>
      <c r="N130" s="96"/>
      <c r="O130" s="96"/>
      <c r="P130" s="96"/>
      <c r="Q130" s="96"/>
      <c r="R130" s="96"/>
      <c r="S130" s="96"/>
      <c r="T130" s="96"/>
      <c r="U130" s="96"/>
      <c r="V130" s="96"/>
      <c r="W130" s="96"/>
      <c r="X130" s="96"/>
      <c r="Y130" s="96"/>
      <c r="Z130" s="96"/>
    </row>
    <row r="131" ht="15.0" hidden="1" customHeight="1">
      <c r="A131" s="147"/>
      <c r="B131" s="171" t="s">
        <v>276</v>
      </c>
      <c r="C131" s="167" t="s">
        <v>715</v>
      </c>
      <c r="D131" s="149" t="s">
        <v>1718</v>
      </c>
      <c r="E131" s="173" t="s">
        <v>2348</v>
      </c>
      <c r="F131" s="174"/>
      <c r="G131" s="174"/>
      <c r="H131" s="174"/>
      <c r="I131" s="174"/>
      <c r="J131" s="175"/>
      <c r="K131" s="176">
        <v>46167.0</v>
      </c>
      <c r="L131" s="177" t="str">
        <f>IF(K131="","APONTAR DATA",(IF('T&amp;D'!B131="FINALIZADO", "CONCLUÍDO", IF(K131&lt;TODAY(), "VENCIDO", IF(K131=TODAY(), "VENCE HOJE", IF(K131&lt;=TODAY()+5,"VENCENDO", "NO PRAZO"))))))</f>
        <v>CONCLUÍDO</v>
      </c>
      <c r="M131" s="175"/>
      <c r="N131" s="96"/>
      <c r="O131" s="96"/>
      <c r="P131" s="96"/>
      <c r="Q131" s="96"/>
      <c r="R131" s="96"/>
      <c r="S131" s="96"/>
      <c r="T131" s="96"/>
      <c r="U131" s="96"/>
      <c r="V131" s="96"/>
      <c r="W131" s="96"/>
      <c r="X131" s="96"/>
      <c r="Y131" s="96"/>
      <c r="Z131" s="96"/>
    </row>
    <row r="132" ht="15.0" hidden="1" customHeight="1">
      <c r="A132" s="147"/>
      <c r="B132" s="171" t="s">
        <v>276</v>
      </c>
      <c r="C132" s="167" t="s">
        <v>819</v>
      </c>
      <c r="D132" s="149" t="s">
        <v>1718</v>
      </c>
      <c r="E132" s="173" t="s">
        <v>2348</v>
      </c>
      <c r="F132" s="174"/>
      <c r="G132" s="174"/>
      <c r="H132" s="174"/>
      <c r="I132" s="174"/>
      <c r="J132" s="175"/>
      <c r="K132" s="176">
        <v>46181.0</v>
      </c>
      <c r="L132" s="177" t="str">
        <f>IF(K132="","APONTAR DATA",(IF('T&amp;D'!B132="FINALIZADO", "CONCLUÍDO", IF(K132&lt;TODAY(), "VENCIDO", IF(K132=TODAY(), "VENCE HOJE", IF(K132&lt;=TODAY()+5,"VENCENDO", "NO PRAZO"))))))</f>
        <v>CONCLUÍDO</v>
      </c>
      <c r="M132" s="175"/>
      <c r="N132" s="96"/>
      <c r="O132" s="96"/>
      <c r="P132" s="96"/>
      <c r="Q132" s="96"/>
      <c r="R132" s="96"/>
      <c r="S132" s="96"/>
      <c r="T132" s="96"/>
      <c r="U132" s="96"/>
      <c r="V132" s="96"/>
      <c r="W132" s="96"/>
      <c r="X132" s="96"/>
      <c r="Y132" s="96"/>
      <c r="Z132" s="96"/>
    </row>
    <row r="133" ht="15.0" hidden="1" customHeight="1">
      <c r="A133" s="147"/>
      <c r="B133" s="171" t="s">
        <v>276</v>
      </c>
      <c r="C133" s="167" t="s">
        <v>271</v>
      </c>
      <c r="D133" s="149" t="s">
        <v>1718</v>
      </c>
      <c r="E133" s="173" t="s">
        <v>2388</v>
      </c>
      <c r="F133" s="174"/>
      <c r="G133" s="174"/>
      <c r="H133" s="174"/>
      <c r="I133" s="174"/>
      <c r="J133" s="175"/>
      <c r="K133" s="176">
        <v>46167.0</v>
      </c>
      <c r="L133" s="177" t="str">
        <f>IF(K133="","APONTAR DATA",(IF('T&amp;D'!B133="FINALIZADO", "CONCLUÍDO", IF(K133&lt;TODAY(), "VENCIDO", IF(K133=TODAY(), "VENCE HOJE", IF(K133&lt;=TODAY()+5,"VENCENDO", "NO PRAZO"))))))</f>
        <v>CONCLUÍDO</v>
      </c>
      <c r="M133" s="175"/>
      <c r="N133" s="96"/>
      <c r="O133" s="96"/>
      <c r="P133" s="96"/>
      <c r="Q133" s="96"/>
      <c r="R133" s="96"/>
      <c r="S133" s="96"/>
      <c r="T133" s="96"/>
      <c r="U133" s="96"/>
      <c r="V133" s="96"/>
      <c r="W133" s="96"/>
      <c r="X133" s="96"/>
      <c r="Y133" s="96"/>
      <c r="Z133" s="96"/>
    </row>
    <row r="134" ht="15.0" hidden="1" customHeight="1">
      <c r="A134" s="147"/>
      <c r="B134" s="171" t="s">
        <v>276</v>
      </c>
      <c r="C134" s="167" t="s">
        <v>271</v>
      </c>
      <c r="D134" s="149" t="s">
        <v>1718</v>
      </c>
      <c r="E134" s="173" t="s">
        <v>2400</v>
      </c>
      <c r="F134" s="174"/>
      <c r="G134" s="174"/>
      <c r="H134" s="174"/>
      <c r="I134" s="174"/>
      <c r="J134" s="175"/>
      <c r="K134" s="176">
        <v>46167.0</v>
      </c>
      <c r="L134" s="177" t="str">
        <f>IF(K134="","APONTAR DATA",(IF('T&amp;D'!B134="FINALIZADO", "CONCLUÍDO", IF(K134&lt;TODAY(), "VENCIDO", IF(K134=TODAY(), "VENCE HOJE", IF(K134&lt;=TODAY()+5,"VENCENDO", "NO PRAZO"))))))</f>
        <v>CONCLUÍDO</v>
      </c>
      <c r="M134" s="175"/>
      <c r="N134" s="96"/>
      <c r="O134" s="96"/>
      <c r="P134" s="96"/>
      <c r="Q134" s="96"/>
      <c r="R134" s="96"/>
      <c r="S134" s="96"/>
      <c r="T134" s="96"/>
      <c r="U134" s="96"/>
      <c r="V134" s="96"/>
      <c r="W134" s="96"/>
      <c r="X134" s="96"/>
      <c r="Y134" s="96"/>
      <c r="Z134" s="96"/>
    </row>
    <row r="135" ht="15.0" hidden="1" customHeight="1">
      <c r="A135" s="147"/>
      <c r="B135" s="171" t="s">
        <v>276</v>
      </c>
      <c r="C135" s="167" t="s">
        <v>271</v>
      </c>
      <c r="D135" s="149" t="s">
        <v>1718</v>
      </c>
      <c r="E135" s="173" t="s">
        <v>2410</v>
      </c>
      <c r="F135" s="174"/>
      <c r="G135" s="174"/>
      <c r="H135" s="174"/>
      <c r="I135" s="174"/>
      <c r="J135" s="175"/>
      <c r="K135" s="176">
        <v>46167.0</v>
      </c>
      <c r="L135" s="177" t="str">
        <f>IF(K135="","APONTAR DATA",(IF('T&amp;D'!B135="FINALIZADO", "CONCLUÍDO", IF(K135&lt;TODAY(), "VENCIDO", IF(K135=TODAY(), "VENCE HOJE", IF(K135&lt;=TODAY()+5,"VENCENDO", "NO PRAZO"))))))</f>
        <v>CONCLUÍDO</v>
      </c>
      <c r="M135" s="175"/>
      <c r="N135" s="96"/>
      <c r="O135" s="96"/>
      <c r="P135" s="96"/>
      <c r="Q135" s="96"/>
      <c r="R135" s="96"/>
      <c r="S135" s="96"/>
      <c r="T135" s="96"/>
      <c r="U135" s="96"/>
      <c r="V135" s="96"/>
      <c r="W135" s="96"/>
      <c r="X135" s="96"/>
      <c r="Y135" s="96"/>
      <c r="Z135" s="96"/>
    </row>
    <row r="136" ht="15.0" hidden="1" customHeight="1">
      <c r="A136" s="147"/>
      <c r="B136" s="171" t="s">
        <v>276</v>
      </c>
      <c r="C136" s="167" t="s">
        <v>538</v>
      </c>
      <c r="D136" s="149" t="s">
        <v>1718</v>
      </c>
      <c r="E136" s="173" t="s">
        <v>2348</v>
      </c>
      <c r="F136" s="174"/>
      <c r="G136" s="174"/>
      <c r="H136" s="174"/>
      <c r="I136" s="174"/>
      <c r="J136" s="175"/>
      <c r="K136" s="176">
        <v>46181.0</v>
      </c>
      <c r="L136" s="177" t="str">
        <f>IF(K136="","APONTAR DATA",(IF('T&amp;D'!B136="FINALIZADO", "CONCLUÍDO", IF(K136&lt;TODAY(), "VENCIDO", IF(K136=TODAY(), "VENCE HOJE", IF(K136&lt;=TODAY()+5,"VENCENDO", "NO PRAZO"))))))</f>
        <v>CONCLUÍDO</v>
      </c>
      <c r="M136" s="175"/>
      <c r="N136" s="96"/>
      <c r="O136" s="96"/>
      <c r="P136" s="96"/>
      <c r="Q136" s="96"/>
      <c r="R136" s="96"/>
      <c r="S136" s="96"/>
      <c r="T136" s="96"/>
      <c r="U136" s="96"/>
      <c r="V136" s="96"/>
      <c r="W136" s="96"/>
      <c r="X136" s="96"/>
      <c r="Y136" s="96"/>
      <c r="Z136" s="96"/>
    </row>
    <row r="137" ht="15.0" hidden="1" customHeight="1">
      <c r="A137" s="147"/>
      <c r="B137" s="171" t="s">
        <v>276</v>
      </c>
      <c r="C137" s="167" t="s">
        <v>404</v>
      </c>
      <c r="D137" s="149" t="s">
        <v>1718</v>
      </c>
      <c r="E137" s="173" t="s">
        <v>2426</v>
      </c>
      <c r="F137" s="174"/>
      <c r="G137" s="174"/>
      <c r="H137" s="174"/>
      <c r="I137" s="174"/>
      <c r="J137" s="175"/>
      <c r="K137" s="176">
        <v>46174.0</v>
      </c>
      <c r="L137" s="177" t="str">
        <f>IF(K137="","APONTAR DATA",(IF('T&amp;D'!B137="FINALIZADO", "CONCLUÍDO", IF(K137&lt;TODAY(), "VENCIDO", IF(K137=TODAY(), "VENCE HOJE", IF(K137&lt;=TODAY()+5,"VENCENDO", "NO PRAZO"))))))</f>
        <v>CONCLUÍDO</v>
      </c>
      <c r="M137" s="175"/>
      <c r="N137" s="96"/>
      <c r="O137" s="96"/>
      <c r="P137" s="96"/>
      <c r="Q137" s="96"/>
      <c r="R137" s="96"/>
      <c r="S137" s="96"/>
      <c r="T137" s="96"/>
      <c r="U137" s="96"/>
      <c r="V137" s="96"/>
      <c r="W137" s="96"/>
      <c r="X137" s="96"/>
      <c r="Y137" s="96"/>
      <c r="Z137" s="96"/>
    </row>
    <row r="138" ht="15.0" hidden="1" customHeight="1">
      <c r="A138" s="147"/>
      <c r="B138" s="171" t="s">
        <v>276</v>
      </c>
      <c r="C138" s="149" t="s">
        <v>571</v>
      </c>
      <c r="D138" s="149" t="s">
        <v>1921</v>
      </c>
      <c r="E138" s="173" t="s">
        <v>2437</v>
      </c>
      <c r="F138" s="174"/>
      <c r="G138" s="174"/>
      <c r="H138" s="174"/>
      <c r="I138" s="174"/>
      <c r="J138" s="175"/>
      <c r="K138" s="176">
        <v>46174.0</v>
      </c>
      <c r="L138" s="177" t="str">
        <f>IF(K138="","APONTAR DATA",(IF('T&amp;D'!B138="FINALIZADO", "CONCLUÍDO", IF(K138&lt;TODAY(), "VENCIDO", IF(K138=TODAY(), "VENCE HOJE", IF(K138&lt;=TODAY()+5,"VENCENDO", "NO PRAZO"))))))</f>
        <v>CONCLUÍDO</v>
      </c>
      <c r="M138" s="175"/>
      <c r="N138" s="96"/>
      <c r="O138" s="96"/>
      <c r="P138" s="96"/>
      <c r="Q138" s="96"/>
      <c r="R138" s="96"/>
      <c r="S138" s="96"/>
      <c r="T138" s="96"/>
      <c r="U138" s="96"/>
      <c r="V138" s="96"/>
      <c r="W138" s="96"/>
      <c r="X138" s="96"/>
      <c r="Y138" s="96"/>
      <c r="Z138" s="96"/>
    </row>
    <row r="139" ht="15.0" hidden="1" customHeight="1">
      <c r="A139" s="147"/>
      <c r="B139" s="171" t="s">
        <v>276</v>
      </c>
      <c r="C139" s="149" t="s">
        <v>571</v>
      </c>
      <c r="D139" s="149" t="s">
        <v>1718</v>
      </c>
      <c r="E139" s="173" t="s">
        <v>2444</v>
      </c>
      <c r="F139" s="174"/>
      <c r="G139" s="174"/>
      <c r="H139" s="174"/>
      <c r="I139" s="174"/>
      <c r="J139" s="175"/>
      <c r="K139" s="176">
        <v>46164.0</v>
      </c>
      <c r="L139" s="177" t="str">
        <f>IF(K139="","APONTAR DATA",(IF('T&amp;D'!B139="FINALIZADO", "CONCLUÍDO", IF(K139&lt;TODAY(), "VENCIDO", IF(K139=TODAY(), "VENCE HOJE", IF(K139&lt;=TODAY()+5,"VENCENDO", "NO PRAZO"))))))</f>
        <v>CONCLUÍDO</v>
      </c>
      <c r="M139" s="175"/>
      <c r="N139" s="96"/>
      <c r="O139" s="96"/>
      <c r="P139" s="96"/>
      <c r="Q139" s="96"/>
      <c r="R139" s="96"/>
      <c r="S139" s="96"/>
      <c r="T139" s="96"/>
      <c r="U139" s="96"/>
      <c r="V139" s="96"/>
      <c r="W139" s="96"/>
      <c r="X139" s="96"/>
      <c r="Y139" s="96"/>
      <c r="Z139" s="96"/>
    </row>
    <row r="140" ht="15.0" hidden="1" customHeight="1">
      <c r="A140" s="147"/>
      <c r="B140" s="171" t="s">
        <v>276</v>
      </c>
      <c r="C140" s="149" t="s">
        <v>571</v>
      </c>
      <c r="D140" s="149" t="s">
        <v>1718</v>
      </c>
      <c r="E140" s="173" t="s">
        <v>2453</v>
      </c>
      <c r="F140" s="174"/>
      <c r="G140" s="174"/>
      <c r="H140" s="174"/>
      <c r="I140" s="174"/>
      <c r="J140" s="175"/>
      <c r="K140" s="176">
        <v>46164.0</v>
      </c>
      <c r="L140" s="177" t="str">
        <f>IF(K140="","APONTAR DATA",(IF('T&amp;D'!B140="FINALIZADO", "CONCLUÍDO", IF(K140&lt;TODAY(), "VENCIDO", IF(K140=TODAY(), "VENCE HOJE", IF(K140&lt;=TODAY()+5,"VENCENDO", "NO PRAZO"))))))</f>
        <v>CONCLUÍDO</v>
      </c>
      <c r="M140" s="175"/>
      <c r="N140" s="96"/>
      <c r="O140" s="96"/>
      <c r="P140" s="96"/>
      <c r="Q140" s="96"/>
      <c r="R140" s="96"/>
      <c r="S140" s="96"/>
      <c r="T140" s="96"/>
      <c r="U140" s="96"/>
      <c r="V140" s="96"/>
      <c r="W140" s="96"/>
      <c r="X140" s="96"/>
      <c r="Y140" s="96"/>
      <c r="Z140" s="96"/>
    </row>
    <row r="141" ht="15.0" hidden="1" customHeight="1">
      <c r="A141" s="147"/>
      <c r="B141" s="171" t="s">
        <v>276</v>
      </c>
      <c r="C141" s="167" t="s">
        <v>715</v>
      </c>
      <c r="D141" s="149" t="s">
        <v>1718</v>
      </c>
      <c r="E141" s="173" t="s">
        <v>2459</v>
      </c>
      <c r="F141" s="174"/>
      <c r="G141" s="174"/>
      <c r="H141" s="174"/>
      <c r="I141" s="174"/>
      <c r="J141" s="175"/>
      <c r="K141" s="176">
        <v>46155.0</v>
      </c>
      <c r="L141" s="177" t="str">
        <f>IF(K141="","APONTAR DATA",(IF('T&amp;D'!B141="FINALIZADO", "CONCLUÍDO", IF(K141&lt;TODAY(), "VENCIDO", IF(K141=TODAY(), "VENCE HOJE", IF(K141&lt;=TODAY()+5,"VENCENDO", "NO PRAZO"))))))</f>
        <v>CONCLUÍDO</v>
      </c>
      <c r="M141" s="175"/>
      <c r="N141" s="96"/>
      <c r="O141" s="96"/>
      <c r="P141" s="96"/>
      <c r="Q141" s="96"/>
      <c r="R141" s="96"/>
      <c r="S141" s="96"/>
      <c r="T141" s="96"/>
      <c r="U141" s="96"/>
      <c r="V141" s="96"/>
      <c r="W141" s="96"/>
      <c r="X141" s="96"/>
      <c r="Y141" s="96"/>
      <c r="Z141" s="96"/>
    </row>
    <row r="142" ht="15.0" hidden="1" customHeight="1">
      <c r="A142" s="147"/>
      <c r="B142" s="171" t="s">
        <v>276</v>
      </c>
      <c r="C142" s="167" t="s">
        <v>715</v>
      </c>
      <c r="D142" s="149" t="s">
        <v>1718</v>
      </c>
      <c r="E142" s="173" t="s">
        <v>2466</v>
      </c>
      <c r="F142" s="174"/>
      <c r="G142" s="174"/>
      <c r="H142" s="174"/>
      <c r="I142" s="174"/>
      <c r="J142" s="175"/>
      <c r="K142" s="176">
        <v>46164.0</v>
      </c>
      <c r="L142" s="177" t="str">
        <f>IF(K142="","APONTAR DATA",(IF('T&amp;D'!B142="FINALIZADO", "CONCLUÍDO", IF(K142&lt;TODAY(), "VENCIDO", IF(K142=TODAY(), "VENCE HOJE", IF(K142&lt;=TODAY()+5,"VENCENDO", "NO PRAZO"))))))</f>
        <v>CONCLUÍDO</v>
      </c>
      <c r="M142" s="175"/>
      <c r="N142" s="96"/>
      <c r="O142" s="96"/>
      <c r="P142" s="96"/>
      <c r="Q142" s="96"/>
      <c r="R142" s="96"/>
      <c r="S142" s="96"/>
      <c r="T142" s="96"/>
      <c r="U142" s="96"/>
      <c r="V142" s="96"/>
      <c r="W142" s="96"/>
      <c r="X142" s="96"/>
      <c r="Y142" s="96"/>
      <c r="Z142" s="96"/>
    </row>
    <row r="143" ht="15.0" hidden="1" customHeight="1">
      <c r="A143" s="147"/>
      <c r="B143" s="171" t="s">
        <v>276</v>
      </c>
      <c r="C143" s="167" t="s">
        <v>715</v>
      </c>
      <c r="D143" s="149" t="s">
        <v>1718</v>
      </c>
      <c r="E143" s="173" t="s">
        <v>2474</v>
      </c>
      <c r="F143" s="174"/>
      <c r="G143" s="174"/>
      <c r="H143" s="174"/>
      <c r="I143" s="174"/>
      <c r="J143" s="175"/>
      <c r="K143" s="176">
        <v>46161.0</v>
      </c>
      <c r="L143" s="177" t="str">
        <f>IF(K143="","APONTAR DATA",(IF('T&amp;D'!B143="FINALIZADO", "CONCLUÍDO", IF(K143&lt;TODAY(), "VENCIDO", IF(K143=TODAY(), "VENCE HOJE", IF(K143&lt;=TODAY()+5,"VENCENDO", "NO PRAZO"))))))</f>
        <v>CONCLUÍDO</v>
      </c>
      <c r="M143" s="175"/>
      <c r="N143" s="96"/>
      <c r="O143" s="96"/>
      <c r="P143" s="96"/>
      <c r="Q143" s="96"/>
      <c r="R143" s="96"/>
      <c r="S143" s="96"/>
      <c r="T143" s="96"/>
      <c r="U143" s="96"/>
      <c r="V143" s="96"/>
      <c r="W143" s="96"/>
      <c r="X143" s="96"/>
      <c r="Y143" s="96"/>
      <c r="Z143" s="96"/>
    </row>
    <row r="144" ht="15.0" hidden="1" customHeight="1">
      <c r="A144" s="147"/>
      <c r="B144" s="171" t="s">
        <v>276</v>
      </c>
      <c r="C144" s="167" t="s">
        <v>538</v>
      </c>
      <c r="D144" s="149" t="s">
        <v>1718</v>
      </c>
      <c r="E144" s="173" t="s">
        <v>2486</v>
      </c>
      <c r="F144" s="174"/>
      <c r="G144" s="174"/>
      <c r="H144" s="174"/>
      <c r="I144" s="174"/>
      <c r="J144" s="175"/>
      <c r="K144" s="176">
        <v>46160.0</v>
      </c>
      <c r="L144" s="177" t="str">
        <f>IF(K144="","APONTAR DATA",(IF('T&amp;D'!B144="FINALIZADO", "CONCLUÍDO", IF(K144&lt;TODAY(), "VENCIDO", IF(K144=TODAY(), "VENCE HOJE", IF(K144&lt;=TODAY()+5,"VENCENDO", "NO PRAZO"))))))</f>
        <v>CONCLUÍDO</v>
      </c>
      <c r="M144" s="175"/>
      <c r="N144" s="96"/>
      <c r="O144" s="96"/>
      <c r="P144" s="96"/>
      <c r="Q144" s="96"/>
      <c r="R144" s="96"/>
      <c r="S144" s="96"/>
      <c r="T144" s="96"/>
      <c r="U144" s="96"/>
      <c r="V144" s="96"/>
      <c r="W144" s="96"/>
      <c r="X144" s="96"/>
      <c r="Y144" s="96"/>
      <c r="Z144" s="96"/>
    </row>
    <row r="145" ht="15.0" hidden="1" customHeight="1">
      <c r="A145" s="147"/>
      <c r="B145" s="171" t="s">
        <v>276</v>
      </c>
      <c r="C145" s="167" t="s">
        <v>621</v>
      </c>
      <c r="D145" s="149" t="s">
        <v>1718</v>
      </c>
      <c r="E145" s="173" t="s">
        <v>2498</v>
      </c>
      <c r="F145" s="174"/>
      <c r="G145" s="174"/>
      <c r="H145" s="174"/>
      <c r="I145" s="174"/>
      <c r="J145" s="175"/>
      <c r="K145" s="176">
        <v>46161.0</v>
      </c>
      <c r="L145" s="177" t="str">
        <f>IF(K145="","APONTAR DATA",(IF('T&amp;D'!B145="FINALIZADO", "CONCLUÍDO", IF(K145&lt;TODAY(), "VENCIDO", IF(K145=TODAY(), "VENCE HOJE", IF(K145&lt;=TODAY()+5,"VENCENDO", "NO PRAZO"))))))</f>
        <v>CONCLUÍDO</v>
      </c>
      <c r="M145" s="175"/>
      <c r="N145" s="96"/>
      <c r="O145" s="96"/>
      <c r="P145" s="96"/>
      <c r="Q145" s="96"/>
      <c r="R145" s="96"/>
      <c r="S145" s="96"/>
      <c r="T145" s="96"/>
      <c r="U145" s="96"/>
      <c r="V145" s="96"/>
      <c r="W145" s="96"/>
      <c r="X145" s="96"/>
      <c r="Y145" s="96"/>
      <c r="Z145" s="96"/>
    </row>
    <row r="146" ht="15.0" hidden="1" customHeight="1">
      <c r="A146" s="147"/>
      <c r="B146" s="171" t="s">
        <v>276</v>
      </c>
      <c r="C146" s="149" t="s">
        <v>571</v>
      </c>
      <c r="D146" s="149" t="s">
        <v>1718</v>
      </c>
      <c r="E146" s="173" t="s">
        <v>2504</v>
      </c>
      <c r="F146" s="174"/>
      <c r="G146" s="174"/>
      <c r="H146" s="174"/>
      <c r="I146" s="174"/>
      <c r="J146" s="175"/>
      <c r="K146" s="176">
        <v>46174.0</v>
      </c>
      <c r="L146" s="177" t="str">
        <f>IF(K146="","APONTAR DATA",(IF('T&amp;D'!B146="FINALIZADO", "CONCLUÍDO", IF(K146&lt;TODAY(), "VENCIDO", IF(K146=TODAY(), "VENCE HOJE", IF(K146&lt;=TODAY()+5,"VENCENDO", "NO PRAZO"))))))</f>
        <v>CONCLUÍDO</v>
      </c>
      <c r="M146" s="175"/>
      <c r="N146" s="96"/>
      <c r="O146" s="96"/>
      <c r="P146" s="96"/>
      <c r="Q146" s="96"/>
      <c r="R146" s="96"/>
      <c r="S146" s="96"/>
      <c r="T146" s="96"/>
      <c r="U146" s="96"/>
      <c r="V146" s="96"/>
      <c r="W146" s="96"/>
      <c r="X146" s="96"/>
      <c r="Y146" s="96"/>
      <c r="Z146" s="96"/>
    </row>
    <row r="147" ht="15.0" hidden="1" customHeight="1">
      <c r="A147" s="147"/>
      <c r="B147" s="171" t="s">
        <v>276</v>
      </c>
      <c r="C147" s="149" t="s">
        <v>571</v>
      </c>
      <c r="D147" s="149" t="s">
        <v>1921</v>
      </c>
      <c r="E147" s="173" t="s">
        <v>2516</v>
      </c>
      <c r="F147" s="174"/>
      <c r="G147" s="174"/>
      <c r="H147" s="174"/>
      <c r="I147" s="174"/>
      <c r="J147" s="175"/>
      <c r="K147" s="176">
        <v>46161.0</v>
      </c>
      <c r="L147" s="177" t="str">
        <f>IF(K147="","APONTAR DATA",(IF('T&amp;D'!B147="FINALIZADO", "CONCLUÍDO", IF(K147&lt;TODAY(), "VENCIDO", IF(K147=TODAY(), "VENCE HOJE", IF(K147&lt;=TODAY()+5,"VENCENDO", "NO PRAZO"))))))</f>
        <v>CONCLUÍDO</v>
      </c>
      <c r="M147" s="175"/>
      <c r="N147" s="96"/>
      <c r="O147" s="96"/>
      <c r="P147" s="96"/>
      <c r="Q147" s="96"/>
      <c r="R147" s="96"/>
      <c r="S147" s="96"/>
      <c r="T147" s="96"/>
      <c r="U147" s="96"/>
      <c r="V147" s="96"/>
      <c r="W147" s="96"/>
      <c r="X147" s="96"/>
      <c r="Y147" s="96"/>
      <c r="Z147" s="96"/>
    </row>
    <row r="148" ht="15.0" hidden="1" customHeight="1">
      <c r="A148" s="147"/>
      <c r="B148" s="171" t="s">
        <v>276</v>
      </c>
      <c r="C148" s="149" t="s">
        <v>571</v>
      </c>
      <c r="D148" s="149" t="s">
        <v>1921</v>
      </c>
      <c r="E148" s="173" t="s">
        <v>2530</v>
      </c>
      <c r="F148" s="174"/>
      <c r="G148" s="174"/>
      <c r="H148" s="174"/>
      <c r="I148" s="174"/>
      <c r="J148" s="175"/>
      <c r="K148" s="176">
        <v>46167.0</v>
      </c>
      <c r="L148" s="177" t="str">
        <f>IF(K148="","APONTAR DATA",(IF('T&amp;D'!B148="FINALIZADO", "CONCLUÍDO", IF(K148&lt;TODAY(), "VENCIDO", IF(K148=TODAY(), "VENCE HOJE", IF(K148&lt;=TODAY()+5,"VENCENDO", "NO PRAZO"))))))</f>
        <v>CONCLUÍDO</v>
      </c>
      <c r="M148" s="175"/>
      <c r="N148" s="96"/>
      <c r="O148" s="96"/>
      <c r="P148" s="96"/>
      <c r="Q148" s="96"/>
      <c r="R148" s="96"/>
      <c r="S148" s="96"/>
      <c r="T148" s="96"/>
      <c r="U148" s="96"/>
      <c r="V148" s="96"/>
      <c r="W148" s="96"/>
      <c r="X148" s="96"/>
      <c r="Y148" s="96"/>
      <c r="Z148" s="96"/>
    </row>
    <row r="149" ht="15.0" hidden="1" customHeight="1">
      <c r="A149" s="147"/>
      <c r="B149" s="171" t="s">
        <v>276</v>
      </c>
      <c r="C149" s="167" t="s">
        <v>819</v>
      </c>
      <c r="D149" s="149" t="s">
        <v>1921</v>
      </c>
      <c r="E149" s="173" t="s">
        <v>2541</v>
      </c>
      <c r="F149" s="174"/>
      <c r="G149" s="174"/>
      <c r="H149" s="174"/>
      <c r="I149" s="174"/>
      <c r="J149" s="175"/>
      <c r="K149" s="176">
        <v>46168.0</v>
      </c>
      <c r="L149" s="177" t="str">
        <f>IF(K149="","APONTAR DATA",(IF('T&amp;D'!B149="FINALIZADO", "CONCLUÍDO", IF(K149&lt;TODAY(), "VENCIDO", IF(K149=TODAY(), "VENCE HOJE", IF(K149&lt;=TODAY()+5,"VENCENDO", "NO PRAZO"))))))</f>
        <v>CONCLUÍDO</v>
      </c>
      <c r="M149" s="175"/>
      <c r="N149" s="96"/>
      <c r="O149" s="96"/>
      <c r="P149" s="96"/>
      <c r="Q149" s="96"/>
      <c r="R149" s="96"/>
      <c r="S149" s="96"/>
      <c r="T149" s="96"/>
      <c r="U149" s="96"/>
      <c r="V149" s="96"/>
      <c r="W149" s="96"/>
      <c r="X149" s="96"/>
      <c r="Y149" s="96"/>
      <c r="Z149" s="96"/>
    </row>
    <row r="150" ht="15.0" hidden="1" customHeight="1">
      <c r="A150" s="147"/>
      <c r="B150" s="171" t="s">
        <v>276</v>
      </c>
      <c r="C150" s="167" t="s">
        <v>519</v>
      </c>
      <c r="D150" s="149" t="s">
        <v>1921</v>
      </c>
      <c r="E150" s="194" t="s">
        <v>2306</v>
      </c>
      <c r="F150" s="174"/>
      <c r="G150" s="174"/>
      <c r="H150" s="174"/>
      <c r="I150" s="174"/>
      <c r="J150" s="175"/>
      <c r="K150" s="176">
        <v>46181.0</v>
      </c>
      <c r="L150" s="177" t="str">
        <f>IF(K150="","APONTAR DATA",(IF('T&amp;D'!B150="FINALIZADO", "CONCLUÍDO", IF(K150&lt;TODAY(), "VENCIDO", IF(K150=TODAY(), "VENCE HOJE", IF(K150&lt;=TODAY()+5,"VENCENDO", "NO PRAZO"))))))</f>
        <v>CONCLUÍDO</v>
      </c>
      <c r="M150" s="175"/>
      <c r="N150" s="96"/>
      <c r="O150" s="96"/>
      <c r="P150" s="96"/>
      <c r="Q150" s="96"/>
      <c r="R150" s="96"/>
      <c r="S150" s="96"/>
      <c r="T150" s="96"/>
      <c r="U150" s="96"/>
      <c r="V150" s="96"/>
      <c r="W150" s="96"/>
      <c r="X150" s="96"/>
      <c r="Y150" s="96"/>
      <c r="Z150" s="96"/>
    </row>
    <row r="151" ht="15.0" hidden="1" customHeight="1">
      <c r="A151" s="147"/>
      <c r="B151" s="171" t="s">
        <v>276</v>
      </c>
      <c r="C151" s="167" t="s">
        <v>754</v>
      </c>
      <c r="D151" s="149" t="s">
        <v>1921</v>
      </c>
      <c r="E151" s="194" t="s">
        <v>2306</v>
      </c>
      <c r="F151" s="174"/>
      <c r="G151" s="174"/>
      <c r="H151" s="174"/>
      <c r="I151" s="174"/>
      <c r="J151" s="175"/>
      <c r="K151" s="176">
        <v>46181.0</v>
      </c>
      <c r="L151" s="177" t="str">
        <f>IF(K151="","APONTAR DATA",(IF('T&amp;D'!B151="FINALIZADO", "CONCLUÍDO", IF(K151&lt;TODAY(), "VENCIDO", IF(K151=TODAY(), "VENCE HOJE", IF(K151&lt;=TODAY()+5,"VENCENDO", "NO PRAZO"))))))</f>
        <v>CONCLUÍDO</v>
      </c>
      <c r="M151" s="175"/>
      <c r="N151" s="96"/>
      <c r="O151" s="96"/>
      <c r="P151" s="96"/>
      <c r="Q151" s="96"/>
      <c r="R151" s="96"/>
      <c r="S151" s="96"/>
      <c r="T151" s="96"/>
      <c r="U151" s="96"/>
      <c r="V151" s="96"/>
      <c r="W151" s="96"/>
      <c r="X151" s="96"/>
      <c r="Y151" s="96"/>
      <c r="Z151" s="96"/>
    </row>
    <row r="152" ht="15.0" hidden="1" customHeight="1">
      <c r="A152" s="147"/>
      <c r="B152" s="171" t="s">
        <v>276</v>
      </c>
      <c r="C152" s="149" t="s">
        <v>571</v>
      </c>
      <c r="D152" s="149" t="s">
        <v>1718</v>
      </c>
      <c r="E152" s="173" t="s">
        <v>2571</v>
      </c>
      <c r="F152" s="174"/>
      <c r="G152" s="174"/>
      <c r="H152" s="174"/>
      <c r="I152" s="174"/>
      <c r="J152" s="175"/>
      <c r="K152" s="176">
        <v>46167.0</v>
      </c>
      <c r="L152" s="177" t="str">
        <f>IF(K152="","APONTAR DATA",(IF('T&amp;D'!B152="FINALIZADO", "CONCLUÍDO", IF(K152&lt;TODAY(), "VENCIDO", IF(K152=TODAY(), "VENCE HOJE", IF(K152&lt;=TODAY()+5,"VENCENDO", "NO PRAZO"))))))</f>
        <v>CONCLUÍDO</v>
      </c>
      <c r="M152" s="175"/>
      <c r="N152" s="96"/>
      <c r="O152" s="96"/>
      <c r="P152" s="96"/>
      <c r="Q152" s="96"/>
      <c r="R152" s="96"/>
      <c r="S152" s="96"/>
      <c r="T152" s="96"/>
      <c r="U152" s="96"/>
      <c r="V152" s="96"/>
      <c r="W152" s="96"/>
      <c r="X152" s="96"/>
      <c r="Y152" s="96"/>
      <c r="Z152" s="96"/>
    </row>
    <row r="153" ht="15.0" hidden="1" customHeight="1">
      <c r="A153" s="147"/>
      <c r="B153" s="171" t="s">
        <v>276</v>
      </c>
      <c r="C153" s="167" t="s">
        <v>538</v>
      </c>
      <c r="D153" s="149" t="s">
        <v>1718</v>
      </c>
      <c r="E153" s="173" t="s">
        <v>2579</v>
      </c>
      <c r="F153" s="174"/>
      <c r="G153" s="174"/>
      <c r="H153" s="174"/>
      <c r="I153" s="174"/>
      <c r="J153" s="175"/>
      <c r="K153" s="176">
        <v>46170.0</v>
      </c>
      <c r="L153" s="177" t="str">
        <f>IF(K153="","APONTAR DATA",(IF('T&amp;D'!B153="FINALIZADO", "CONCLUÍDO", IF(K153&lt;TODAY(), "VENCIDO", IF(K153=TODAY(), "VENCE HOJE", IF(K153&lt;=TODAY()+5,"VENCENDO", "NO PRAZO"))))))</f>
        <v>CONCLUÍDO</v>
      </c>
      <c r="M153" s="175"/>
      <c r="N153" s="96"/>
      <c r="O153" s="96"/>
      <c r="P153" s="96"/>
      <c r="Q153" s="96"/>
      <c r="R153" s="96"/>
      <c r="S153" s="96"/>
      <c r="T153" s="96"/>
      <c r="U153" s="96"/>
      <c r="V153" s="96"/>
      <c r="W153" s="96"/>
      <c r="X153" s="96"/>
      <c r="Y153" s="96"/>
      <c r="Z153" s="96"/>
    </row>
    <row r="154" ht="15.0" hidden="1" customHeight="1">
      <c r="A154" s="147"/>
      <c r="B154" s="171" t="s">
        <v>276</v>
      </c>
      <c r="C154" s="167" t="s">
        <v>404</v>
      </c>
      <c r="D154" s="149" t="s">
        <v>1718</v>
      </c>
      <c r="E154" s="173" t="s">
        <v>2589</v>
      </c>
      <c r="F154" s="174"/>
      <c r="G154" s="174"/>
      <c r="H154" s="174"/>
      <c r="I154" s="174"/>
      <c r="J154" s="175"/>
      <c r="K154" s="176">
        <v>46204.0</v>
      </c>
      <c r="L154" s="177" t="str">
        <f>IF(K154="","APONTAR DATA",(IF('T&amp;D'!B154="FINALIZADO", "CONCLUÍDO", IF(K154&lt;TODAY(), "VENCIDO", IF(K154=TODAY(), "VENCE HOJE", IF(K154&lt;=TODAY()+5,"VENCENDO", "NO PRAZO"))))))</f>
        <v>CONCLUÍDO</v>
      </c>
      <c r="M154" s="175"/>
      <c r="N154" s="96"/>
      <c r="O154" s="96"/>
      <c r="P154" s="96"/>
      <c r="Q154" s="96"/>
      <c r="R154" s="96"/>
      <c r="S154" s="96"/>
      <c r="T154" s="96"/>
      <c r="U154" s="96"/>
      <c r="V154" s="96"/>
      <c r="W154" s="96"/>
      <c r="X154" s="96"/>
      <c r="Y154" s="96"/>
      <c r="Z154" s="96"/>
    </row>
    <row r="155" ht="15.0" hidden="1" customHeight="1">
      <c r="A155" s="147"/>
      <c r="B155" s="171" t="s">
        <v>276</v>
      </c>
      <c r="C155" s="167" t="s">
        <v>538</v>
      </c>
      <c r="D155" s="149" t="s">
        <v>1718</v>
      </c>
      <c r="E155" s="173" t="s">
        <v>2589</v>
      </c>
      <c r="F155" s="174"/>
      <c r="G155" s="174"/>
      <c r="H155" s="174"/>
      <c r="I155" s="174"/>
      <c r="J155" s="175"/>
      <c r="K155" s="176">
        <v>46204.0</v>
      </c>
      <c r="L155" s="177" t="str">
        <f>IF(K155="","APONTAR DATA",(IF('T&amp;D'!B155="FINALIZADO", "CONCLUÍDO", IF(K155&lt;TODAY(), "VENCIDO", IF(K155=TODAY(), "VENCE HOJE", IF(K155&lt;=TODAY()+5,"VENCENDO", "NO PRAZO"))))))</f>
        <v>CONCLUÍDO</v>
      </c>
      <c r="M155" s="175"/>
      <c r="N155" s="96"/>
      <c r="O155" s="96"/>
      <c r="P155" s="96"/>
      <c r="Q155" s="96"/>
      <c r="R155" s="96"/>
      <c r="S155" s="96"/>
      <c r="T155" s="96"/>
      <c r="U155" s="96"/>
      <c r="V155" s="96"/>
      <c r="W155" s="96"/>
      <c r="X155" s="96"/>
      <c r="Y155" s="96"/>
      <c r="Z155" s="96"/>
    </row>
    <row r="156" ht="15.0" hidden="1" customHeight="1">
      <c r="A156" s="147"/>
      <c r="B156" s="171" t="s">
        <v>276</v>
      </c>
      <c r="C156" s="167" t="s">
        <v>836</v>
      </c>
      <c r="D156" s="149" t="s">
        <v>1718</v>
      </c>
      <c r="E156" s="173" t="s">
        <v>2589</v>
      </c>
      <c r="F156" s="174"/>
      <c r="G156" s="174"/>
      <c r="H156" s="174"/>
      <c r="I156" s="174"/>
      <c r="J156" s="175"/>
      <c r="K156" s="176">
        <v>46184.0</v>
      </c>
      <c r="L156" s="177" t="str">
        <f>IF(K156="","APONTAR DATA",(IF('T&amp;D'!B156="FINALIZADO", "CONCLUÍDO", IF(K156&lt;TODAY(), "VENCIDO", IF(K156=TODAY(), "VENCE HOJE", IF(K156&lt;=TODAY()+5,"VENCENDO", "NO PRAZO"))))))</f>
        <v>CONCLUÍDO</v>
      </c>
      <c r="M156" s="175"/>
      <c r="N156" s="96"/>
      <c r="O156" s="96"/>
      <c r="P156" s="96"/>
      <c r="Q156" s="96"/>
      <c r="R156" s="96"/>
      <c r="S156" s="96"/>
      <c r="T156" s="96"/>
      <c r="U156" s="96"/>
      <c r="V156" s="96"/>
      <c r="W156" s="96"/>
      <c r="X156" s="96"/>
      <c r="Y156" s="96"/>
      <c r="Z156" s="96"/>
    </row>
    <row r="157" ht="15.0" hidden="1" customHeight="1">
      <c r="A157" s="147"/>
      <c r="B157" s="171" t="s">
        <v>276</v>
      </c>
      <c r="C157" s="167" t="s">
        <v>519</v>
      </c>
      <c r="D157" s="149" t="s">
        <v>1718</v>
      </c>
      <c r="E157" s="173" t="s">
        <v>2589</v>
      </c>
      <c r="F157" s="174"/>
      <c r="G157" s="174"/>
      <c r="H157" s="174"/>
      <c r="I157" s="174"/>
      <c r="J157" s="175"/>
      <c r="K157" s="176">
        <v>46181.0</v>
      </c>
      <c r="L157" s="177" t="str">
        <f>IF(K157="","APONTAR DATA",(IF('T&amp;D'!B157="FINALIZADO", "CONCLUÍDO", IF(K157&lt;TODAY(), "VENCIDO", IF(K157=TODAY(), "VENCE HOJE", IF(K157&lt;=TODAY()+5,"VENCENDO", "NO PRAZO"))))))</f>
        <v>CONCLUÍDO</v>
      </c>
      <c r="M157" s="175"/>
      <c r="N157" s="96"/>
      <c r="O157" s="96"/>
      <c r="P157" s="96"/>
      <c r="Q157" s="96"/>
      <c r="R157" s="96"/>
      <c r="S157" s="96"/>
      <c r="T157" s="96"/>
      <c r="U157" s="96"/>
      <c r="V157" s="96"/>
      <c r="W157" s="96"/>
      <c r="X157" s="96"/>
      <c r="Y157" s="96"/>
      <c r="Z157" s="96"/>
    </row>
    <row r="158" ht="15.0" hidden="1" customHeight="1">
      <c r="A158" s="147"/>
      <c r="B158" s="171" t="s">
        <v>276</v>
      </c>
      <c r="C158" s="149" t="s">
        <v>571</v>
      </c>
      <c r="D158" s="149" t="s">
        <v>1921</v>
      </c>
      <c r="E158" s="173" t="s">
        <v>2635</v>
      </c>
      <c r="F158" s="174"/>
      <c r="G158" s="174"/>
      <c r="H158" s="174"/>
      <c r="I158" s="174"/>
      <c r="J158" s="175"/>
      <c r="K158" s="176">
        <v>46182.0</v>
      </c>
      <c r="L158" s="177" t="str">
        <f>IF(K158="","APONTAR DATA",(IF('T&amp;D'!B158="FINALIZADO", "CONCLUÍDO", IF(K158&lt;TODAY(), "VENCIDO", IF(K158=TODAY(), "VENCE HOJE", IF(K158&lt;=TODAY()+5,"VENCENDO", "NO PRAZO"))))))</f>
        <v>CONCLUÍDO</v>
      </c>
      <c r="M158" s="175"/>
      <c r="N158" s="96"/>
      <c r="O158" s="96"/>
      <c r="P158" s="96"/>
      <c r="Q158" s="96"/>
      <c r="R158" s="96"/>
      <c r="S158" s="96"/>
      <c r="T158" s="96"/>
      <c r="U158" s="96"/>
      <c r="V158" s="96"/>
      <c r="W158" s="96"/>
      <c r="X158" s="96"/>
      <c r="Y158" s="96"/>
      <c r="Z158" s="96"/>
    </row>
    <row r="159" ht="15.0" hidden="1" customHeight="1">
      <c r="A159" s="147"/>
      <c r="B159" s="171" t="s">
        <v>276</v>
      </c>
      <c r="C159" s="167" t="s">
        <v>706</v>
      </c>
      <c r="D159" s="149" t="s">
        <v>1921</v>
      </c>
      <c r="E159" s="173" t="s">
        <v>2652</v>
      </c>
      <c r="F159" s="174"/>
      <c r="G159" s="174"/>
      <c r="H159" s="174"/>
      <c r="I159" s="174"/>
      <c r="J159" s="175"/>
      <c r="K159" s="176">
        <v>46181.0</v>
      </c>
      <c r="L159" s="177" t="str">
        <f>IF(K159="","APONTAR DATA",(IF('T&amp;D'!B159="FINALIZADO", "CONCLUÍDO", IF(K159&lt;TODAY(), "VENCIDO", IF(K159=TODAY(), "VENCE HOJE", IF(K159&lt;=TODAY()+5,"VENCENDO", "NO PRAZO"))))))</f>
        <v>CONCLUÍDO</v>
      </c>
      <c r="M159" s="175"/>
      <c r="N159" s="96"/>
      <c r="O159" s="96"/>
      <c r="P159" s="96"/>
      <c r="Q159" s="96"/>
      <c r="R159" s="96"/>
      <c r="S159" s="96"/>
      <c r="T159" s="96"/>
      <c r="U159" s="96"/>
      <c r="V159" s="96"/>
      <c r="W159" s="96"/>
      <c r="X159" s="96"/>
      <c r="Y159" s="96"/>
      <c r="Z159" s="96"/>
    </row>
    <row r="160" ht="15.0" hidden="1" customHeight="1">
      <c r="A160" s="147"/>
      <c r="B160" s="171" t="s">
        <v>276</v>
      </c>
      <c r="C160" s="167" t="s">
        <v>271</v>
      </c>
      <c r="D160" s="149" t="s">
        <v>1921</v>
      </c>
      <c r="E160" s="173" t="s">
        <v>2665</v>
      </c>
      <c r="F160" s="174"/>
      <c r="G160" s="174"/>
      <c r="H160" s="174"/>
      <c r="I160" s="174"/>
      <c r="J160" s="175"/>
      <c r="K160" s="176">
        <v>46174.0</v>
      </c>
      <c r="L160" s="177" t="str">
        <f>IF(K160="","APONTAR DATA",(IF('T&amp;D'!B160="FINALIZADO", "CONCLUÍDO", IF(K160&lt;TODAY(), "VENCIDO", IF(K160=TODAY(), "VENCE HOJE", IF(K160&lt;=TODAY()+5,"VENCENDO", "NO PRAZO"))))))</f>
        <v>CONCLUÍDO</v>
      </c>
      <c r="M160" s="175"/>
      <c r="N160" s="96"/>
      <c r="O160" s="96"/>
      <c r="P160" s="96"/>
      <c r="Q160" s="96"/>
      <c r="R160" s="96"/>
      <c r="S160" s="96"/>
      <c r="T160" s="96"/>
      <c r="U160" s="96"/>
      <c r="V160" s="96"/>
      <c r="W160" s="96"/>
      <c r="X160" s="96"/>
      <c r="Y160" s="96"/>
      <c r="Z160" s="96"/>
    </row>
    <row r="161" ht="15.0" hidden="1" customHeight="1">
      <c r="A161" s="147"/>
      <c r="B161" s="171" t="s">
        <v>276</v>
      </c>
      <c r="C161" s="167" t="s">
        <v>378</v>
      </c>
      <c r="D161" s="149" t="s">
        <v>1718</v>
      </c>
      <c r="E161" s="194" t="s">
        <v>2677</v>
      </c>
      <c r="F161" s="174"/>
      <c r="G161" s="174"/>
      <c r="H161" s="174"/>
      <c r="I161" s="174"/>
      <c r="J161" s="175"/>
      <c r="K161" s="176">
        <v>46181.0</v>
      </c>
      <c r="L161" s="177" t="str">
        <f>IF(K161="","APONTAR DATA",(IF('T&amp;D'!B161="FINALIZADO", "CONCLUÍDO", IF(K161&lt;TODAY(), "VENCIDO", IF(K161=TODAY(), "VENCE HOJE", IF(K161&lt;=TODAY()+5,"VENCENDO", "NO PRAZO"))))))</f>
        <v>CONCLUÍDO</v>
      </c>
      <c r="M161" s="175"/>
      <c r="N161" s="96"/>
      <c r="O161" s="96"/>
      <c r="P161" s="96"/>
      <c r="Q161" s="96"/>
      <c r="R161" s="96"/>
      <c r="S161" s="96"/>
      <c r="T161" s="96"/>
      <c r="U161" s="96"/>
      <c r="V161" s="96"/>
      <c r="W161" s="96"/>
      <c r="X161" s="96"/>
      <c r="Y161" s="96"/>
      <c r="Z161" s="96"/>
    </row>
    <row r="162" ht="15.0" hidden="1" customHeight="1">
      <c r="A162" s="147"/>
      <c r="B162" s="171" t="s">
        <v>276</v>
      </c>
      <c r="C162" s="167" t="s">
        <v>608</v>
      </c>
      <c r="D162" s="149" t="s">
        <v>1921</v>
      </c>
      <c r="E162" s="173" t="s">
        <v>2688</v>
      </c>
      <c r="F162" s="174"/>
      <c r="G162" s="174"/>
      <c r="H162" s="174"/>
      <c r="I162" s="174"/>
      <c r="J162" s="175"/>
      <c r="K162" s="176">
        <v>46182.0</v>
      </c>
      <c r="L162" s="177" t="str">
        <f>IF(K162="","APONTAR DATA",(IF('T&amp;D'!B162="FINALIZADO", "CONCLUÍDO", IF(K162&lt;TODAY(), "VENCIDO", IF(K162=TODAY(), "VENCE HOJE", IF(K162&lt;=TODAY()+5,"VENCENDO", "NO PRAZO"))))))</f>
        <v>CONCLUÍDO</v>
      </c>
      <c r="M162" s="175"/>
      <c r="N162" s="96"/>
      <c r="O162" s="96"/>
      <c r="P162" s="96"/>
      <c r="Q162" s="96"/>
      <c r="R162" s="96"/>
      <c r="S162" s="96"/>
      <c r="T162" s="96"/>
      <c r="U162" s="96"/>
      <c r="V162" s="96"/>
      <c r="W162" s="96"/>
      <c r="X162" s="96"/>
      <c r="Y162" s="96"/>
      <c r="Z162" s="96"/>
    </row>
    <row r="163" ht="15.0" hidden="1" customHeight="1">
      <c r="A163" s="147"/>
      <c r="B163" s="171" t="s">
        <v>276</v>
      </c>
      <c r="C163" s="167" t="s">
        <v>193</v>
      </c>
      <c r="D163" s="149" t="s">
        <v>1921</v>
      </c>
      <c r="E163" s="173" t="s">
        <v>2688</v>
      </c>
      <c r="F163" s="174"/>
      <c r="G163" s="174"/>
      <c r="H163" s="174"/>
      <c r="I163" s="174"/>
      <c r="J163" s="175"/>
      <c r="K163" s="176">
        <v>46182.0</v>
      </c>
      <c r="L163" s="177" t="str">
        <f>IF(K163="","APONTAR DATA",(IF('T&amp;D'!B163="FINALIZADO", "CONCLUÍDO", IF(K163&lt;TODAY(), "VENCIDO", IF(K163=TODAY(), "VENCE HOJE", IF(K163&lt;=TODAY()+5,"VENCENDO", "NO PRAZO"))))))</f>
        <v>CONCLUÍDO</v>
      </c>
      <c r="M163" s="175"/>
      <c r="N163" s="155"/>
      <c r="O163" s="155"/>
      <c r="P163" s="155"/>
      <c r="Q163" s="155"/>
      <c r="R163" s="155"/>
      <c r="S163" s="155"/>
      <c r="T163" s="155"/>
      <c r="U163" s="155"/>
      <c r="V163" s="155"/>
      <c r="W163" s="155"/>
      <c r="X163" s="155"/>
      <c r="Y163" s="155"/>
      <c r="Z163" s="155"/>
    </row>
    <row r="164" ht="15.0" hidden="1" customHeight="1">
      <c r="A164" s="147"/>
      <c r="B164" s="171" t="s">
        <v>276</v>
      </c>
      <c r="C164" s="167" t="s">
        <v>230</v>
      </c>
      <c r="D164" s="149" t="s">
        <v>1921</v>
      </c>
      <c r="E164" s="173" t="s">
        <v>2688</v>
      </c>
      <c r="F164" s="174"/>
      <c r="G164" s="174"/>
      <c r="H164" s="174"/>
      <c r="I164" s="174"/>
      <c r="J164" s="175"/>
      <c r="K164" s="176">
        <v>46184.0</v>
      </c>
      <c r="L164" s="177" t="str">
        <f>IF(K164="","APONTAR DATA",(IF('T&amp;D'!B164="FINALIZADO", "CONCLUÍDO", IF(K164&lt;TODAY(), "VENCIDO", IF(K164=TODAY(), "VENCE HOJE", IF(K164&lt;=TODAY()+5,"VENCENDO", "NO PRAZO"))))))</f>
        <v>CONCLUÍDO</v>
      </c>
      <c r="M164" s="175"/>
      <c r="N164" s="155"/>
      <c r="O164" s="155"/>
      <c r="P164" s="155"/>
      <c r="Q164" s="155"/>
      <c r="R164" s="155"/>
      <c r="S164" s="155"/>
      <c r="T164" s="155"/>
      <c r="U164" s="155"/>
      <c r="V164" s="155"/>
      <c r="W164" s="155"/>
      <c r="X164" s="155"/>
      <c r="Y164" s="155"/>
      <c r="Z164" s="155"/>
    </row>
    <row r="165" ht="15.0" hidden="1" customHeight="1">
      <c r="A165" s="147"/>
      <c r="B165" s="171" t="s">
        <v>276</v>
      </c>
      <c r="C165" s="167" t="s">
        <v>245</v>
      </c>
      <c r="D165" s="149" t="s">
        <v>1921</v>
      </c>
      <c r="E165" s="173" t="s">
        <v>2688</v>
      </c>
      <c r="F165" s="174"/>
      <c r="G165" s="174"/>
      <c r="H165" s="174"/>
      <c r="I165" s="174"/>
      <c r="J165" s="175"/>
      <c r="K165" s="176">
        <v>46185.0</v>
      </c>
      <c r="L165" s="177" t="str">
        <f>IF(K165="","APONTAR DATA",(IF('T&amp;D'!B165="FINALIZADO", "CONCLUÍDO", IF(K165&lt;TODAY(), "VENCIDO", IF(K165=TODAY(), "VENCE HOJE", IF(K165&lt;=TODAY()+5,"VENCENDO", "NO PRAZO"))))))</f>
        <v>CONCLUÍDO</v>
      </c>
      <c r="M165" s="175"/>
      <c r="N165" s="155"/>
      <c r="O165" s="155"/>
      <c r="P165" s="155"/>
      <c r="Q165" s="155"/>
      <c r="R165" s="155"/>
      <c r="S165" s="155"/>
      <c r="T165" s="155"/>
      <c r="U165" s="155"/>
      <c r="V165" s="155"/>
      <c r="W165" s="155"/>
      <c r="X165" s="155"/>
      <c r="Y165" s="155"/>
      <c r="Z165" s="155"/>
    </row>
    <row r="166" ht="15.0" hidden="1" customHeight="1">
      <c r="A166" s="147"/>
      <c r="B166" s="171" t="s">
        <v>276</v>
      </c>
      <c r="C166" s="167" t="s">
        <v>271</v>
      </c>
      <c r="D166" s="149" t="s">
        <v>1921</v>
      </c>
      <c r="E166" s="194" t="s">
        <v>2724</v>
      </c>
      <c r="F166" s="174"/>
      <c r="G166" s="174"/>
      <c r="H166" s="174"/>
      <c r="I166" s="174"/>
      <c r="J166" s="175"/>
      <c r="K166" s="176">
        <v>46182.0</v>
      </c>
      <c r="L166" s="177" t="str">
        <f>IF(K166="","APONTAR DATA",(IF('T&amp;D'!B166="FINALIZADO", "CONCLUÍDO", IF(K166&lt;TODAY(), "VENCIDO", IF(K166=TODAY(), "VENCE HOJE", IF(K166&lt;=TODAY()+5,"VENCENDO", "NO PRAZO"))))))</f>
        <v>CONCLUÍDO</v>
      </c>
      <c r="M166" s="175"/>
      <c r="N166" s="155"/>
      <c r="O166" s="155"/>
      <c r="P166" s="155"/>
      <c r="Q166" s="155"/>
      <c r="R166" s="155"/>
      <c r="S166" s="155"/>
      <c r="T166" s="155"/>
      <c r="U166" s="155"/>
      <c r="V166" s="155"/>
      <c r="W166" s="155"/>
      <c r="X166" s="155"/>
      <c r="Y166" s="155"/>
      <c r="Z166" s="155"/>
    </row>
    <row r="167" ht="15.0" hidden="1" customHeight="1">
      <c r="A167" s="147"/>
      <c r="B167" s="171" t="s">
        <v>276</v>
      </c>
      <c r="C167" s="167" t="s">
        <v>362</v>
      </c>
      <c r="D167" s="149" t="s">
        <v>1921</v>
      </c>
      <c r="E167" s="194" t="s">
        <v>2733</v>
      </c>
      <c r="F167" s="174"/>
      <c r="G167" s="174"/>
      <c r="H167" s="174"/>
      <c r="I167" s="174"/>
      <c r="J167" s="175"/>
      <c r="K167" s="176">
        <v>46182.0</v>
      </c>
      <c r="L167" s="177" t="str">
        <f>IF(K167="","APONTAR DATA",(IF('T&amp;D'!B167="FINALIZADO", "CONCLUÍDO", IF(K167&lt;TODAY(), "VENCIDO", IF(K167=TODAY(), "VENCE HOJE", IF(K167&lt;=TODAY()+5,"VENCENDO", "NO PRAZO"))))))</f>
        <v>CONCLUÍDO</v>
      </c>
      <c r="M167" s="175"/>
      <c r="N167" s="155"/>
      <c r="O167" s="155"/>
      <c r="P167" s="155"/>
      <c r="Q167" s="155"/>
      <c r="R167" s="155"/>
      <c r="S167" s="155"/>
      <c r="T167" s="155"/>
      <c r="U167" s="155"/>
      <c r="V167" s="155"/>
      <c r="W167" s="155"/>
      <c r="X167" s="155"/>
      <c r="Y167" s="155"/>
      <c r="Z167" s="155"/>
    </row>
    <row r="168" ht="15.0" hidden="1" customHeight="1">
      <c r="A168" s="147"/>
      <c r="B168" s="171" t="s">
        <v>276</v>
      </c>
      <c r="C168" s="167" t="s">
        <v>715</v>
      </c>
      <c r="D168" s="149" t="s">
        <v>1718</v>
      </c>
      <c r="E168" s="194" t="s">
        <v>2741</v>
      </c>
      <c r="F168" s="174"/>
      <c r="G168" s="174"/>
      <c r="H168" s="174"/>
      <c r="I168" s="174"/>
      <c r="J168" s="175"/>
      <c r="K168" s="176">
        <v>46183.0</v>
      </c>
      <c r="L168" s="177" t="str">
        <f>IF(K168="","APONTAR DATA",(IF('T&amp;D'!B168="FINALIZADO", "CONCLUÍDO", IF(K168&lt;TODAY(), "VENCIDO", IF(K168=TODAY(), "VENCE HOJE", IF(K168&lt;=TODAY()+5,"VENCENDO", "NO PRAZO"))))))</f>
        <v>CONCLUÍDO</v>
      </c>
      <c r="M168" s="175"/>
      <c r="N168" s="155"/>
      <c r="O168" s="155"/>
      <c r="P168" s="155"/>
      <c r="Q168" s="155"/>
      <c r="R168" s="155"/>
      <c r="S168" s="155"/>
      <c r="T168" s="155"/>
      <c r="U168" s="155"/>
      <c r="V168" s="155"/>
      <c r="W168" s="155"/>
      <c r="X168" s="155"/>
      <c r="Y168" s="155"/>
      <c r="Z168" s="155"/>
    </row>
    <row r="169" ht="15.0" hidden="1" customHeight="1">
      <c r="A169" s="147"/>
      <c r="B169" s="171" t="s">
        <v>276</v>
      </c>
      <c r="C169" s="167" t="s">
        <v>642</v>
      </c>
      <c r="D169" s="149" t="s">
        <v>1921</v>
      </c>
      <c r="E169" s="194" t="s">
        <v>2748</v>
      </c>
      <c r="F169" s="174"/>
      <c r="G169" s="174"/>
      <c r="H169" s="174"/>
      <c r="I169" s="174"/>
      <c r="J169" s="175"/>
      <c r="K169" s="176">
        <v>46198.0</v>
      </c>
      <c r="L169" s="177" t="str">
        <f>IF(K169="","APONTAR DATA",(IF('T&amp;D'!B169="FINALIZADO", "CONCLUÍDO", IF(K169&lt;TODAY(), "VENCIDO", IF(K169=TODAY(), "VENCE HOJE", IF(K169&lt;=TODAY()+5,"VENCENDO", "NO PRAZO"))))))</f>
        <v>CONCLUÍDO</v>
      </c>
      <c r="M169" s="175"/>
      <c r="N169" s="155"/>
      <c r="O169" s="155"/>
      <c r="P169" s="155"/>
      <c r="Q169" s="155"/>
      <c r="R169" s="155"/>
      <c r="S169" s="155"/>
      <c r="T169" s="155"/>
      <c r="U169" s="155"/>
      <c r="V169" s="155"/>
      <c r="W169" s="155"/>
      <c r="X169" s="155"/>
      <c r="Y169" s="155"/>
      <c r="Z169" s="155"/>
    </row>
    <row r="170" ht="15.0" hidden="1" customHeight="1">
      <c r="A170" s="147"/>
      <c r="B170" s="171" t="s">
        <v>276</v>
      </c>
      <c r="C170" s="167" t="s">
        <v>642</v>
      </c>
      <c r="D170" s="149" t="s">
        <v>1921</v>
      </c>
      <c r="E170" s="194" t="s">
        <v>2755</v>
      </c>
      <c r="F170" s="174"/>
      <c r="G170" s="174"/>
      <c r="H170" s="174"/>
      <c r="I170" s="174"/>
      <c r="J170" s="175"/>
      <c r="K170" s="176">
        <v>46198.0</v>
      </c>
      <c r="L170" s="177" t="str">
        <f>IF(K170="","APONTAR DATA",(IF('T&amp;D'!B170="FINALIZADO", "CONCLUÍDO", IF(K170&lt;TODAY(), "VENCIDO", IF(K170=TODAY(), "VENCE HOJE", IF(K170&lt;=TODAY()+5,"VENCENDO", "NO PRAZO"))))))</f>
        <v>CONCLUÍDO</v>
      </c>
      <c r="M170" s="175"/>
      <c r="N170" s="155"/>
      <c r="O170" s="155"/>
      <c r="P170" s="155"/>
      <c r="Q170" s="155"/>
      <c r="R170" s="155"/>
      <c r="S170" s="155"/>
      <c r="T170" s="155"/>
      <c r="U170" s="155"/>
      <c r="V170" s="155"/>
      <c r="W170" s="155"/>
      <c r="X170" s="155"/>
      <c r="Y170" s="155"/>
      <c r="Z170" s="155"/>
    </row>
    <row r="171" ht="15.0" hidden="1" customHeight="1">
      <c r="A171" s="147"/>
      <c r="B171" s="171" t="s">
        <v>276</v>
      </c>
      <c r="C171" s="167" t="s">
        <v>519</v>
      </c>
      <c r="D171" s="149" t="s">
        <v>1073</v>
      </c>
      <c r="E171" s="194" t="s">
        <v>2764</v>
      </c>
      <c r="F171" s="174"/>
      <c r="G171" s="174"/>
      <c r="H171" s="174"/>
      <c r="I171" s="174"/>
      <c r="J171" s="175"/>
      <c r="K171" s="176">
        <v>46184.0</v>
      </c>
      <c r="L171" s="177" t="str">
        <f>IF(K171="","APONTAR DATA",(IF('T&amp;D'!B171="FINALIZADO", "CONCLUÍDO", IF(K171&lt;TODAY(), "VENCIDO", IF(K171=TODAY(), "VENCE HOJE", IF(K171&lt;=TODAY()+5,"VENCENDO", "NO PRAZO"))))))</f>
        <v>CONCLUÍDO</v>
      </c>
      <c r="M171" s="175"/>
      <c r="N171" s="155"/>
      <c r="O171" s="155"/>
      <c r="P171" s="155"/>
      <c r="Q171" s="155"/>
      <c r="R171" s="155"/>
      <c r="S171" s="155"/>
      <c r="T171" s="155"/>
      <c r="U171" s="155"/>
      <c r="V171" s="155"/>
      <c r="W171" s="155"/>
      <c r="X171" s="155"/>
      <c r="Y171" s="155"/>
      <c r="Z171" s="155"/>
    </row>
    <row r="172" ht="15.0" hidden="1" customHeight="1">
      <c r="A172" s="147"/>
      <c r="B172" s="171" t="s">
        <v>276</v>
      </c>
      <c r="C172" s="167" t="s">
        <v>715</v>
      </c>
      <c r="D172" s="149" t="s">
        <v>1718</v>
      </c>
      <c r="E172" s="194" t="s">
        <v>2772</v>
      </c>
      <c r="F172" s="174"/>
      <c r="G172" s="174"/>
      <c r="H172" s="174"/>
      <c r="I172" s="174"/>
      <c r="J172" s="175"/>
      <c r="K172" s="176">
        <v>46188.0</v>
      </c>
      <c r="L172" s="177" t="str">
        <f>IF(K172="","APONTAR DATA",(IF('T&amp;D'!B172="FINALIZADO", "CONCLUÍDO", IF(K172&lt;TODAY(), "VENCIDO", IF(K172=TODAY(), "VENCE HOJE", IF(K172&lt;=TODAY()+5,"VENCENDO", "NO PRAZO"))))))</f>
        <v>CONCLUÍDO</v>
      </c>
      <c r="M172" s="175"/>
      <c r="N172" s="155"/>
      <c r="O172" s="155"/>
      <c r="P172" s="155"/>
      <c r="Q172" s="155"/>
      <c r="R172" s="155"/>
      <c r="S172" s="155"/>
      <c r="T172" s="155"/>
      <c r="U172" s="155"/>
      <c r="V172" s="155"/>
      <c r="W172" s="155"/>
      <c r="X172" s="155"/>
      <c r="Y172" s="155"/>
      <c r="Z172" s="155"/>
    </row>
    <row r="173" ht="15.0" hidden="1" customHeight="1">
      <c r="A173" s="147"/>
      <c r="B173" s="171" t="s">
        <v>276</v>
      </c>
      <c r="C173" s="167" t="s">
        <v>715</v>
      </c>
      <c r="D173" s="149" t="s">
        <v>1921</v>
      </c>
      <c r="E173" s="194" t="s">
        <v>2780</v>
      </c>
      <c r="F173" s="174"/>
      <c r="G173" s="174"/>
      <c r="H173" s="174"/>
      <c r="I173" s="174"/>
      <c r="J173" s="175"/>
      <c r="K173" s="176">
        <v>46183.0</v>
      </c>
      <c r="L173" s="177" t="str">
        <f>IF(K173="","APONTAR DATA",(IF('T&amp;D'!B173="FINALIZADO", "CONCLUÍDO", IF(K173&lt;TODAY(), "VENCIDO", IF(K173=TODAY(), "VENCE HOJE", IF(K173&lt;=TODAY()+5,"VENCENDO", "NO PRAZO"))))))</f>
        <v>CONCLUÍDO</v>
      </c>
      <c r="M173" s="175"/>
      <c r="N173" s="155"/>
      <c r="O173" s="155"/>
      <c r="P173" s="155"/>
      <c r="Q173" s="155"/>
      <c r="R173" s="155"/>
      <c r="S173" s="155"/>
      <c r="T173" s="155"/>
      <c r="U173" s="155"/>
      <c r="V173" s="155"/>
      <c r="W173" s="155"/>
      <c r="X173" s="155"/>
      <c r="Y173" s="155"/>
      <c r="Z173" s="155"/>
    </row>
    <row r="174" ht="15.0" hidden="1" customHeight="1">
      <c r="A174" s="147"/>
      <c r="B174" s="171" t="s">
        <v>276</v>
      </c>
      <c r="C174" s="167" t="s">
        <v>519</v>
      </c>
      <c r="D174" s="149" t="s">
        <v>1921</v>
      </c>
      <c r="E174" s="194" t="s">
        <v>2790</v>
      </c>
      <c r="F174" s="174"/>
      <c r="G174" s="174"/>
      <c r="H174" s="174"/>
      <c r="I174" s="174"/>
      <c r="J174" s="175"/>
      <c r="K174" s="176">
        <v>46184.0</v>
      </c>
      <c r="L174" s="177" t="str">
        <f>IF(K174="","APONTAR DATA",(IF('T&amp;D'!B174="FINALIZADO", "CONCLUÍDO", IF(K174&lt;TODAY(), "VENCIDO", IF(K174=TODAY(), "VENCE HOJE", IF(K174&lt;=TODAY()+5,"VENCENDO", "NO PRAZO"))))))</f>
        <v>CONCLUÍDO</v>
      </c>
      <c r="M174" s="175"/>
      <c r="N174" s="155"/>
      <c r="O174" s="155"/>
      <c r="P174" s="155"/>
      <c r="Q174" s="155"/>
      <c r="R174" s="155"/>
      <c r="S174" s="155"/>
      <c r="T174" s="155"/>
      <c r="U174" s="155"/>
      <c r="V174" s="155"/>
      <c r="W174" s="155"/>
      <c r="X174" s="155"/>
      <c r="Y174" s="155"/>
      <c r="Z174" s="155"/>
    </row>
    <row r="175" ht="15.0" hidden="1" customHeight="1">
      <c r="A175" s="147"/>
      <c r="B175" s="171" t="s">
        <v>276</v>
      </c>
      <c r="C175" s="167" t="s">
        <v>754</v>
      </c>
      <c r="D175" s="149" t="s">
        <v>1921</v>
      </c>
      <c r="E175" s="194" t="s">
        <v>2790</v>
      </c>
      <c r="F175" s="174"/>
      <c r="G175" s="174"/>
      <c r="H175" s="174"/>
      <c r="I175" s="174"/>
      <c r="J175" s="175"/>
      <c r="K175" s="176">
        <v>46184.0</v>
      </c>
      <c r="L175" s="177" t="str">
        <f>IF(K175="","APONTAR DATA",(IF('T&amp;D'!B175="FINALIZADO", "CONCLUÍDO", IF(K175&lt;TODAY(), "VENCIDO", IF(K175=TODAY(), "VENCE HOJE", IF(K175&lt;=TODAY()+5,"VENCENDO", "NO PRAZO"))))))</f>
        <v>CONCLUÍDO</v>
      </c>
      <c r="M175" s="175"/>
      <c r="N175" s="155"/>
      <c r="O175" s="155"/>
      <c r="P175" s="155"/>
      <c r="Q175" s="155"/>
      <c r="R175" s="155"/>
      <c r="S175" s="155"/>
      <c r="T175" s="155"/>
      <c r="U175" s="155"/>
      <c r="V175" s="155"/>
      <c r="W175" s="155"/>
      <c r="X175" s="155"/>
      <c r="Y175" s="155"/>
      <c r="Z175" s="155"/>
    </row>
    <row r="176" ht="15.0" hidden="1" customHeight="1">
      <c r="A176" s="147"/>
      <c r="B176" s="171" t="s">
        <v>276</v>
      </c>
      <c r="C176" s="167" t="s">
        <v>519</v>
      </c>
      <c r="D176" s="149" t="s">
        <v>1921</v>
      </c>
      <c r="E176" s="194" t="s">
        <v>2814</v>
      </c>
      <c r="F176" s="174"/>
      <c r="G176" s="174"/>
      <c r="H176" s="174"/>
      <c r="I176" s="174"/>
      <c r="J176" s="175"/>
      <c r="K176" s="176">
        <v>46185.0</v>
      </c>
      <c r="L176" s="177" t="str">
        <f>IF(K176="","APONTAR DATA",(IF('T&amp;D'!B176="FINALIZADO", "CONCLUÍDO", IF(K176&lt;TODAY(), "VENCIDO", IF(K176=TODAY(), "VENCE HOJE", IF(K176&lt;=TODAY()+5,"VENCENDO", "NO PRAZO"))))))</f>
        <v>CONCLUÍDO</v>
      </c>
      <c r="M176" s="175"/>
      <c r="N176" s="155"/>
      <c r="O176" s="155"/>
      <c r="P176" s="155"/>
      <c r="Q176" s="155"/>
      <c r="R176" s="155"/>
      <c r="S176" s="155"/>
      <c r="T176" s="155"/>
      <c r="U176" s="155"/>
      <c r="V176" s="155"/>
      <c r="W176" s="155"/>
      <c r="X176" s="155"/>
      <c r="Y176" s="155"/>
      <c r="Z176" s="155"/>
    </row>
    <row r="177" ht="15.0" hidden="1" customHeight="1">
      <c r="A177" s="147"/>
      <c r="B177" s="171" t="s">
        <v>276</v>
      </c>
      <c r="C177" s="167" t="s">
        <v>754</v>
      </c>
      <c r="D177" s="149" t="s">
        <v>1921</v>
      </c>
      <c r="E177" s="194" t="s">
        <v>2814</v>
      </c>
      <c r="F177" s="174"/>
      <c r="G177" s="174"/>
      <c r="H177" s="174"/>
      <c r="I177" s="174"/>
      <c r="J177" s="175"/>
      <c r="K177" s="176">
        <v>46184.0</v>
      </c>
      <c r="L177" s="177" t="str">
        <f>IF(K177="","APONTAR DATA",(IF('T&amp;D'!B177="FINALIZADO", "CONCLUÍDO", IF(K177&lt;TODAY(), "VENCIDO", IF(K177=TODAY(), "VENCE HOJE", IF(K177&lt;=TODAY()+5,"VENCENDO", "NO PRAZO"))))))</f>
        <v>CONCLUÍDO</v>
      </c>
      <c r="M177" s="175"/>
      <c r="N177" s="155"/>
      <c r="O177" s="155"/>
      <c r="P177" s="155"/>
      <c r="Q177" s="155"/>
      <c r="R177" s="155"/>
      <c r="S177" s="155"/>
      <c r="T177" s="155"/>
      <c r="U177" s="155"/>
      <c r="V177" s="155"/>
      <c r="W177" s="155"/>
      <c r="X177" s="155"/>
      <c r="Y177" s="155"/>
      <c r="Z177" s="155"/>
    </row>
    <row r="178" ht="15.0" hidden="1" customHeight="1">
      <c r="A178" s="147"/>
      <c r="B178" s="171" t="s">
        <v>276</v>
      </c>
      <c r="C178" s="149" t="s">
        <v>571</v>
      </c>
      <c r="D178" s="149" t="s">
        <v>1921</v>
      </c>
      <c r="E178" s="194" t="s">
        <v>2834</v>
      </c>
      <c r="F178" s="174"/>
      <c r="G178" s="174"/>
      <c r="H178" s="174"/>
      <c r="I178" s="174"/>
      <c r="J178" s="175"/>
      <c r="K178" s="176">
        <v>46185.0</v>
      </c>
      <c r="L178" s="177" t="str">
        <f>IF(K178="","APONTAR DATA",(IF('T&amp;D'!B178="FINALIZADO", "CONCLUÍDO", IF(K178&lt;TODAY(), "VENCIDO", IF(K178=TODAY(), "VENCE HOJE", IF(K178&lt;=TODAY()+5,"VENCENDO", "NO PRAZO"))))))</f>
        <v>CONCLUÍDO</v>
      </c>
      <c r="M178" s="175"/>
      <c r="N178" s="155"/>
      <c r="O178" s="155"/>
      <c r="P178" s="155"/>
      <c r="Q178" s="155"/>
      <c r="R178" s="155"/>
      <c r="S178" s="155"/>
      <c r="T178" s="155"/>
      <c r="U178" s="155"/>
      <c r="V178" s="155"/>
      <c r="W178" s="155"/>
      <c r="X178" s="155"/>
      <c r="Y178" s="155"/>
      <c r="Z178" s="155"/>
    </row>
    <row r="179" ht="15.0" hidden="1" customHeight="1">
      <c r="A179" s="147"/>
      <c r="B179" s="171" t="s">
        <v>276</v>
      </c>
      <c r="C179" s="167" t="s">
        <v>642</v>
      </c>
      <c r="D179" s="149" t="s">
        <v>1921</v>
      </c>
      <c r="E179" s="194" t="s">
        <v>2847</v>
      </c>
      <c r="F179" s="174"/>
      <c r="G179" s="174"/>
      <c r="H179" s="174"/>
      <c r="I179" s="174"/>
      <c r="J179" s="175"/>
      <c r="K179" s="176">
        <v>46185.0</v>
      </c>
      <c r="L179" s="177" t="str">
        <f>IF(K179="","APONTAR DATA",(IF('T&amp;D'!B179="FINALIZADO", "CONCLUÍDO", IF(K179&lt;TODAY(), "VENCIDO", IF(K179=TODAY(), "VENCE HOJE", IF(K179&lt;=TODAY()+5,"VENCENDO", "NO PRAZO"))))))</f>
        <v>CONCLUÍDO</v>
      </c>
      <c r="M179" s="175"/>
      <c r="N179" s="155"/>
      <c r="O179" s="155"/>
      <c r="P179" s="155"/>
      <c r="Q179" s="155"/>
      <c r="R179" s="155"/>
      <c r="S179" s="155"/>
      <c r="T179" s="155"/>
      <c r="U179" s="155"/>
      <c r="V179" s="155"/>
      <c r="W179" s="155"/>
      <c r="X179" s="155"/>
      <c r="Y179" s="155"/>
      <c r="Z179" s="155"/>
    </row>
    <row r="180" ht="15.0" hidden="1" customHeight="1">
      <c r="A180" s="147"/>
      <c r="B180" s="171" t="s">
        <v>276</v>
      </c>
      <c r="C180" s="167" t="s">
        <v>754</v>
      </c>
      <c r="D180" s="149" t="s">
        <v>1921</v>
      </c>
      <c r="E180" s="194" t="s">
        <v>2859</v>
      </c>
      <c r="F180" s="174"/>
      <c r="G180" s="174"/>
      <c r="H180" s="174"/>
      <c r="I180" s="174"/>
      <c r="J180" s="175"/>
      <c r="K180" s="176">
        <v>46198.0</v>
      </c>
      <c r="L180" s="177" t="str">
        <f>IF(K180="","APONTAR DATA",(IF('T&amp;D'!B180="FINALIZADO", "CONCLUÍDO", IF(K180&lt;TODAY(), "VENCIDO", IF(K180=TODAY(), "VENCE HOJE", IF(K180&lt;=TODAY()+5,"VENCENDO", "NO PRAZO"))))))</f>
        <v>CONCLUÍDO</v>
      </c>
      <c r="M180" s="175"/>
      <c r="N180" s="155"/>
      <c r="O180" s="155"/>
      <c r="P180" s="155"/>
      <c r="Q180" s="155"/>
      <c r="R180" s="155"/>
      <c r="S180" s="155"/>
      <c r="T180" s="155"/>
      <c r="U180" s="155"/>
      <c r="V180" s="155"/>
      <c r="W180" s="155"/>
      <c r="X180" s="155"/>
      <c r="Y180" s="155"/>
      <c r="Z180" s="155"/>
    </row>
    <row r="181" ht="15.0" hidden="1" customHeight="1">
      <c r="A181" s="147"/>
      <c r="B181" s="171" t="s">
        <v>276</v>
      </c>
      <c r="C181" s="167" t="s">
        <v>519</v>
      </c>
      <c r="D181" s="149" t="s">
        <v>1073</v>
      </c>
      <c r="E181" s="173" t="s">
        <v>1194</v>
      </c>
      <c r="F181" s="174"/>
      <c r="G181" s="174"/>
      <c r="H181" s="174"/>
      <c r="I181" s="174"/>
      <c r="J181" s="175"/>
      <c r="K181" s="176">
        <v>46189.0</v>
      </c>
      <c r="L181" s="177" t="str">
        <f>IF(K181="","APONTAR DATA",(IF('T&amp;D'!B181="FINALIZADO", "CONCLUÍDO", IF(K181&lt;TODAY(), "VENCIDO", IF(K181=TODAY(), "VENCE HOJE", IF(K181&lt;=TODAY()+5,"VENCENDO", "NO PRAZO"))))))</f>
        <v>CONCLUÍDO</v>
      </c>
      <c r="M181" s="175"/>
      <c r="N181" s="155"/>
      <c r="O181" s="155"/>
      <c r="P181" s="155"/>
      <c r="Q181" s="155"/>
      <c r="R181" s="155"/>
      <c r="S181" s="155"/>
      <c r="T181" s="155"/>
      <c r="U181" s="155"/>
      <c r="V181" s="155"/>
      <c r="W181" s="155"/>
      <c r="X181" s="155"/>
      <c r="Y181" s="155"/>
      <c r="Z181" s="155"/>
    </row>
    <row r="182" ht="15.0" hidden="1" customHeight="1">
      <c r="A182" s="147"/>
      <c r="B182" s="171" t="s">
        <v>276</v>
      </c>
      <c r="C182" s="167" t="s">
        <v>519</v>
      </c>
      <c r="D182" s="149" t="s">
        <v>1073</v>
      </c>
      <c r="E182" s="173" t="s">
        <v>1194</v>
      </c>
      <c r="F182" s="174"/>
      <c r="G182" s="174"/>
      <c r="H182" s="174"/>
      <c r="I182" s="174"/>
      <c r="J182" s="175"/>
      <c r="K182" s="176">
        <v>46196.0</v>
      </c>
      <c r="L182" s="177" t="str">
        <f>IF(K182="","APONTAR DATA",(IF('T&amp;D'!B182="FINALIZADO", "CONCLUÍDO", IF(K182&lt;TODAY(), "VENCIDO", IF(K182=TODAY(), "VENCE HOJE", IF(K182&lt;=TODAY()+5,"VENCENDO", "NO PRAZO"))))))</f>
        <v>CONCLUÍDO</v>
      </c>
      <c r="M182" s="175"/>
      <c r="N182" s="155"/>
      <c r="O182" s="155"/>
      <c r="P182" s="155"/>
      <c r="Q182" s="155"/>
      <c r="R182" s="155"/>
      <c r="S182" s="155"/>
      <c r="T182" s="155"/>
      <c r="U182" s="155"/>
      <c r="V182" s="155"/>
      <c r="W182" s="155"/>
      <c r="X182" s="155"/>
      <c r="Y182" s="155"/>
      <c r="Z182" s="155"/>
    </row>
    <row r="183" ht="15.0" hidden="1" customHeight="1">
      <c r="A183" s="147"/>
      <c r="B183" s="171" t="s">
        <v>276</v>
      </c>
      <c r="C183" s="167" t="s">
        <v>519</v>
      </c>
      <c r="D183" s="149" t="s">
        <v>1073</v>
      </c>
      <c r="E183" s="173" t="s">
        <v>1194</v>
      </c>
      <c r="F183" s="174"/>
      <c r="G183" s="174"/>
      <c r="H183" s="174"/>
      <c r="I183" s="174"/>
      <c r="J183" s="175"/>
      <c r="K183" s="176">
        <v>46203.0</v>
      </c>
      <c r="L183" s="177" t="str">
        <f>IF(K183="","APONTAR DATA",(IF('T&amp;D'!B183="FINALIZADO", "CONCLUÍDO", IF(K183&lt;TODAY(), "VENCIDO", IF(K183=TODAY(), "VENCE HOJE", IF(K183&lt;=TODAY()+5,"VENCENDO", "NO PRAZO"))))))</f>
        <v>CONCLUÍDO</v>
      </c>
      <c r="M183" s="175"/>
      <c r="N183" s="155"/>
      <c r="O183" s="155"/>
      <c r="P183" s="155"/>
      <c r="Q183" s="155"/>
      <c r="R183" s="155"/>
      <c r="S183" s="155"/>
      <c r="T183" s="155"/>
      <c r="U183" s="155"/>
      <c r="V183" s="155"/>
      <c r="W183" s="155"/>
      <c r="X183" s="155"/>
      <c r="Y183" s="155"/>
      <c r="Z183" s="155"/>
    </row>
    <row r="184" ht="15.0" hidden="1" customHeight="1">
      <c r="A184" s="147"/>
      <c r="B184" s="171" t="s">
        <v>276</v>
      </c>
      <c r="C184" s="167" t="s">
        <v>715</v>
      </c>
      <c r="D184" s="149" t="s">
        <v>1073</v>
      </c>
      <c r="E184" s="173" t="s">
        <v>1194</v>
      </c>
      <c r="F184" s="174"/>
      <c r="G184" s="174"/>
      <c r="H184" s="174"/>
      <c r="I184" s="174"/>
      <c r="J184" s="175"/>
      <c r="K184" s="176">
        <v>46190.0</v>
      </c>
      <c r="L184" s="177" t="str">
        <f>IF(K184="","APONTAR DATA",(IF('T&amp;D'!B184="FINALIZADO", "CONCLUÍDO", IF(K184&lt;TODAY(), "VENCIDO", IF(K184=TODAY(), "VENCE HOJE", IF(K184&lt;=TODAY()+5,"VENCENDO", "NO PRAZO"))))))</f>
        <v>CONCLUÍDO</v>
      </c>
      <c r="M184" s="175"/>
      <c r="N184" s="155"/>
      <c r="O184" s="155"/>
      <c r="P184" s="155"/>
      <c r="Q184" s="155"/>
      <c r="R184" s="155"/>
      <c r="S184" s="155"/>
      <c r="T184" s="155"/>
      <c r="U184" s="155"/>
      <c r="V184" s="155"/>
      <c r="W184" s="155"/>
      <c r="X184" s="155"/>
      <c r="Y184" s="155"/>
      <c r="Z184" s="155"/>
    </row>
    <row r="185" ht="15.0" hidden="1" customHeight="1">
      <c r="A185" s="147"/>
      <c r="B185" s="171" t="s">
        <v>276</v>
      </c>
      <c r="C185" s="167" t="s">
        <v>230</v>
      </c>
      <c r="D185" s="149" t="s">
        <v>1921</v>
      </c>
      <c r="E185" s="194" t="s">
        <v>2927</v>
      </c>
      <c r="F185" s="174"/>
      <c r="G185" s="174"/>
      <c r="H185" s="174"/>
      <c r="I185" s="174"/>
      <c r="J185" s="175"/>
      <c r="K185" s="176">
        <v>46192.0</v>
      </c>
      <c r="L185" s="177" t="str">
        <f>IF(K185="","APONTAR DATA",(IF('T&amp;D'!B185="FINALIZADO", "CONCLUÍDO", IF(K185&lt;TODAY(), "VENCIDO", IF(K185=TODAY(), "VENCE HOJE", IF(K185&lt;=TODAY()+5,"VENCENDO", "NO PRAZO"))))))</f>
        <v>CONCLUÍDO</v>
      </c>
      <c r="M185" s="175"/>
      <c r="N185" s="155"/>
      <c r="O185" s="155"/>
      <c r="P185" s="155"/>
      <c r="Q185" s="155"/>
      <c r="R185" s="155"/>
      <c r="S185" s="155"/>
      <c r="T185" s="155"/>
      <c r="U185" s="155"/>
      <c r="V185" s="155"/>
      <c r="W185" s="155"/>
      <c r="X185" s="155"/>
      <c r="Y185" s="155"/>
      <c r="Z185" s="155"/>
    </row>
    <row r="186" ht="15.0" hidden="1" customHeight="1">
      <c r="A186" s="147"/>
      <c r="B186" s="171" t="s">
        <v>276</v>
      </c>
      <c r="C186" s="149" t="s">
        <v>571</v>
      </c>
      <c r="D186" s="149" t="s">
        <v>1921</v>
      </c>
      <c r="E186" s="194" t="s">
        <v>2943</v>
      </c>
      <c r="F186" s="174"/>
      <c r="G186" s="174"/>
      <c r="H186" s="174"/>
      <c r="I186" s="174"/>
      <c r="J186" s="175"/>
      <c r="K186" s="176">
        <v>46205.0</v>
      </c>
      <c r="L186" s="177" t="str">
        <f>IF(K186="","APONTAR DATA",(IF('T&amp;D'!B186="FINALIZADO", "CONCLUÍDO", IF(K186&lt;TODAY(), "VENCIDO", IF(K186=TODAY(), "VENCE HOJE", IF(K186&lt;=TODAY()+5,"VENCENDO", "NO PRAZO"))))))</f>
        <v>CONCLUÍDO</v>
      </c>
      <c r="M186" s="175"/>
      <c r="N186" s="155"/>
      <c r="O186" s="155"/>
      <c r="P186" s="155"/>
      <c r="Q186" s="155"/>
      <c r="R186" s="155"/>
      <c r="S186" s="155"/>
      <c r="T186" s="155"/>
      <c r="U186" s="155"/>
      <c r="V186" s="155"/>
      <c r="W186" s="155"/>
      <c r="X186" s="155"/>
      <c r="Y186" s="155"/>
      <c r="Z186" s="155"/>
    </row>
    <row r="187" ht="15.0" hidden="1" customHeight="1">
      <c r="A187" s="147"/>
      <c r="B187" s="171" t="s">
        <v>276</v>
      </c>
      <c r="C187" s="167" t="s">
        <v>538</v>
      </c>
      <c r="D187" s="149" t="s">
        <v>1921</v>
      </c>
      <c r="E187" s="194" t="s">
        <v>2956</v>
      </c>
      <c r="F187" s="174"/>
      <c r="G187" s="174"/>
      <c r="H187" s="174"/>
      <c r="I187" s="174"/>
      <c r="J187" s="175"/>
      <c r="K187" s="176">
        <v>46191.0</v>
      </c>
      <c r="L187" s="177" t="str">
        <f>IF(K187="","APONTAR DATA",(IF('T&amp;D'!B187="FINALIZADO", "CONCLUÍDO", IF(K187&lt;TODAY(), "VENCIDO", IF(K187=TODAY(), "VENCE HOJE", IF(K187&lt;=TODAY()+5,"VENCENDO", "NO PRAZO"))))))</f>
        <v>CONCLUÍDO</v>
      </c>
      <c r="M187" s="175"/>
      <c r="N187" s="155"/>
      <c r="O187" s="155"/>
      <c r="P187" s="155"/>
      <c r="Q187" s="155"/>
      <c r="R187" s="155"/>
      <c r="S187" s="155"/>
      <c r="T187" s="155"/>
      <c r="U187" s="155"/>
      <c r="V187" s="155"/>
      <c r="W187" s="155"/>
      <c r="X187" s="155"/>
      <c r="Y187" s="155"/>
      <c r="Z187" s="155"/>
    </row>
    <row r="188" ht="15.0" hidden="1" customHeight="1">
      <c r="A188" s="147"/>
      <c r="B188" s="171" t="s">
        <v>276</v>
      </c>
      <c r="C188" s="167" t="s">
        <v>230</v>
      </c>
      <c r="D188" s="149" t="s">
        <v>1921</v>
      </c>
      <c r="E188" s="194" t="s">
        <v>2970</v>
      </c>
      <c r="F188" s="174"/>
      <c r="G188" s="174"/>
      <c r="H188" s="174"/>
      <c r="I188" s="174"/>
      <c r="J188" s="175"/>
      <c r="K188" s="176">
        <v>46202.0</v>
      </c>
      <c r="L188" s="177" t="str">
        <f>IF(K188="","APONTAR DATA",(IF('T&amp;D'!B188="FINALIZADO", "CONCLUÍDO", IF(K188&lt;TODAY(), "VENCIDO", IF(K188=TODAY(), "VENCE HOJE", IF(K188&lt;=TODAY()+5,"VENCENDO", "NO PRAZO"))))))</f>
        <v>CONCLUÍDO</v>
      </c>
      <c r="M188" s="175"/>
      <c r="N188" s="155"/>
      <c r="O188" s="155"/>
      <c r="P188" s="155"/>
      <c r="Q188" s="155"/>
      <c r="R188" s="155"/>
      <c r="S188" s="155"/>
      <c r="T188" s="155"/>
      <c r="U188" s="155"/>
      <c r="V188" s="155"/>
      <c r="W188" s="155"/>
      <c r="X188" s="155"/>
      <c r="Y188" s="155"/>
      <c r="Z188" s="155"/>
    </row>
    <row r="189" ht="15.0" hidden="1" customHeight="1">
      <c r="A189" s="147"/>
      <c r="B189" s="171" t="s">
        <v>276</v>
      </c>
      <c r="C189" s="167" t="s">
        <v>653</v>
      </c>
      <c r="D189" s="149" t="s">
        <v>1921</v>
      </c>
      <c r="E189" s="194" t="s">
        <v>2688</v>
      </c>
      <c r="F189" s="174"/>
      <c r="G189" s="174"/>
      <c r="H189" s="174"/>
      <c r="I189" s="174"/>
      <c r="J189" s="175"/>
      <c r="K189" s="176">
        <v>46204.0</v>
      </c>
      <c r="L189" s="177" t="str">
        <f>IF(K189="","APONTAR DATA",(IF('T&amp;D'!B189="FINALIZADO", "CONCLUÍDO", IF(K189&lt;TODAY(), "VENCIDO", IF(K189=TODAY(), "VENCE HOJE", IF(K189&lt;=TODAY()+5,"VENCENDO", "NO PRAZO"))))))</f>
        <v>CONCLUÍDO</v>
      </c>
      <c r="M189" s="175"/>
      <c r="N189" s="155"/>
      <c r="O189" s="155"/>
      <c r="P189" s="155"/>
      <c r="Q189" s="155"/>
      <c r="R189" s="155"/>
      <c r="S189" s="155"/>
      <c r="T189" s="155"/>
      <c r="U189" s="155"/>
      <c r="V189" s="155"/>
      <c r="W189" s="155"/>
      <c r="X189" s="155"/>
      <c r="Y189" s="155"/>
      <c r="Z189" s="155"/>
    </row>
    <row r="190" ht="15.0" hidden="1" customHeight="1">
      <c r="A190" s="147"/>
      <c r="B190" s="171" t="s">
        <v>276</v>
      </c>
      <c r="C190" s="167" t="s">
        <v>245</v>
      </c>
      <c r="D190" s="149" t="s">
        <v>1921</v>
      </c>
      <c r="E190" s="194" t="s">
        <v>3011</v>
      </c>
      <c r="F190" s="174"/>
      <c r="G190" s="174"/>
      <c r="H190" s="174"/>
      <c r="I190" s="174"/>
      <c r="J190" s="175"/>
      <c r="K190" s="176">
        <v>46204.0</v>
      </c>
      <c r="L190" s="177" t="str">
        <f>IF(K190="","APONTAR DATA",(IF('T&amp;D'!B190="FINALIZADO", "CONCLUÍDO", IF(K190&lt;TODAY(), "VENCIDO", IF(K190=TODAY(), "VENCE HOJE", IF(K190&lt;=TODAY()+5,"VENCENDO", "NO PRAZO"))))))</f>
        <v>CONCLUÍDO</v>
      </c>
      <c r="M190" s="175"/>
      <c r="N190" s="155"/>
      <c r="O190" s="155"/>
      <c r="P190" s="155"/>
      <c r="Q190" s="155"/>
      <c r="R190" s="155"/>
      <c r="S190" s="155"/>
      <c r="T190" s="155"/>
      <c r="U190" s="155"/>
      <c r="V190" s="155"/>
      <c r="W190" s="155"/>
      <c r="X190" s="155"/>
      <c r="Y190" s="155"/>
      <c r="Z190" s="155"/>
    </row>
    <row r="191" ht="15.0" hidden="1" customHeight="1">
      <c r="A191" s="147"/>
      <c r="B191" s="171" t="s">
        <v>276</v>
      </c>
      <c r="C191" s="167" t="s">
        <v>538</v>
      </c>
      <c r="D191" s="149" t="s">
        <v>1718</v>
      </c>
      <c r="E191" s="194" t="s">
        <v>3018</v>
      </c>
      <c r="F191" s="174"/>
      <c r="G191" s="174"/>
      <c r="H191" s="174"/>
      <c r="I191" s="174"/>
      <c r="J191" s="175"/>
      <c r="K191" s="176">
        <v>46204.0</v>
      </c>
      <c r="L191" s="177" t="str">
        <f>IF(K191="","APONTAR DATA",(IF('T&amp;D'!B191="FINALIZADO", "CONCLUÍDO", IF(K191&lt;TODAY(), "VENCIDO", IF(K191=TODAY(), "VENCE HOJE", IF(K191&lt;=TODAY()+5,"VENCENDO", "NO PRAZO"))))))</f>
        <v>CONCLUÍDO</v>
      </c>
      <c r="M191" s="175"/>
      <c r="N191" s="155"/>
      <c r="O191" s="155"/>
      <c r="P191" s="155"/>
      <c r="Q191" s="155"/>
      <c r="R191" s="155"/>
      <c r="S191" s="155"/>
      <c r="T191" s="155"/>
      <c r="U191" s="155"/>
      <c r="V191" s="155"/>
      <c r="W191" s="155"/>
      <c r="X191" s="155"/>
      <c r="Y191" s="155"/>
      <c r="Z191" s="155"/>
    </row>
    <row r="192" ht="15.0" hidden="1" customHeight="1">
      <c r="A192" s="147"/>
      <c r="B192" s="171" t="s">
        <v>276</v>
      </c>
      <c r="C192" s="149" t="s">
        <v>571</v>
      </c>
      <c r="D192" s="149" t="s">
        <v>1718</v>
      </c>
      <c r="E192" s="194" t="s">
        <v>3027</v>
      </c>
      <c r="F192" s="174"/>
      <c r="G192" s="174"/>
      <c r="H192" s="174"/>
      <c r="I192" s="174"/>
      <c r="J192" s="175"/>
      <c r="K192" s="176">
        <v>46230.0</v>
      </c>
      <c r="L192" s="177" t="str">
        <f>IF(K192="","APONTAR DATA",(IF('T&amp;D'!B192="FINALIZADO", "CONCLUÍDO", IF(K192&lt;TODAY(), "VENCIDO", IF(K192=TODAY(), "VENCE HOJE", IF(K192&lt;=TODAY()+5,"VENCENDO", "NO PRAZO"))))))</f>
        <v>CONCLUÍDO</v>
      </c>
      <c r="M192" s="175"/>
      <c r="N192" s="155"/>
      <c r="O192" s="155"/>
      <c r="P192" s="155"/>
      <c r="Q192" s="155"/>
      <c r="R192" s="155"/>
      <c r="S192" s="155"/>
      <c r="T192" s="155"/>
      <c r="U192" s="155"/>
      <c r="V192" s="155"/>
      <c r="W192" s="155"/>
      <c r="X192" s="155"/>
      <c r="Y192" s="155"/>
      <c r="Z192" s="155"/>
    </row>
    <row r="193" ht="15.0" hidden="1" customHeight="1">
      <c r="A193" s="147"/>
      <c r="B193" s="171" t="s">
        <v>276</v>
      </c>
      <c r="C193" s="167" t="s">
        <v>296</v>
      </c>
      <c r="D193" s="149" t="s">
        <v>1921</v>
      </c>
      <c r="E193" s="194" t="s">
        <v>3036</v>
      </c>
      <c r="F193" s="174"/>
      <c r="G193" s="174"/>
      <c r="H193" s="174"/>
      <c r="I193" s="174"/>
      <c r="J193" s="175"/>
      <c r="K193" s="176">
        <v>46216.0</v>
      </c>
      <c r="L193" s="177" t="str">
        <f>IF(K193="","APONTAR DATA",(IF('T&amp;D'!B193="FINALIZADO", "CONCLUÍDO", IF(K193&lt;TODAY(), "VENCIDO", IF(K193=TODAY(), "VENCE HOJE", IF(K193&lt;=TODAY()+5,"VENCENDO", "NO PRAZO"))))))</f>
        <v>CONCLUÍDO</v>
      </c>
      <c r="M193" s="175"/>
      <c r="N193" s="155"/>
      <c r="O193" s="155"/>
      <c r="P193" s="155"/>
      <c r="Q193" s="155"/>
      <c r="R193" s="155"/>
      <c r="S193" s="155"/>
      <c r="T193" s="155"/>
      <c r="U193" s="155"/>
      <c r="V193" s="155"/>
      <c r="W193" s="155"/>
      <c r="X193" s="155"/>
      <c r="Y193" s="155"/>
      <c r="Z193" s="155"/>
    </row>
    <row r="194" ht="15.0" hidden="1" customHeight="1">
      <c r="A194" s="147"/>
      <c r="B194" s="171" t="s">
        <v>276</v>
      </c>
      <c r="C194" s="167" t="s">
        <v>296</v>
      </c>
      <c r="D194" s="149" t="s">
        <v>1921</v>
      </c>
      <c r="E194" s="194" t="s">
        <v>3047</v>
      </c>
      <c r="F194" s="174"/>
      <c r="G194" s="174"/>
      <c r="H194" s="174"/>
      <c r="I194" s="174"/>
      <c r="J194" s="175"/>
      <c r="K194" s="176">
        <v>46204.0</v>
      </c>
      <c r="L194" s="177" t="str">
        <f>IF(K194="","APONTAR DATA",(IF('T&amp;D'!B194="FINALIZADO", "CONCLUÍDO", IF(K194&lt;TODAY(), "VENCIDO", IF(K194=TODAY(), "VENCE HOJE", IF(K194&lt;=TODAY()+5,"VENCENDO", "NO PRAZO"))))))</f>
        <v>CONCLUÍDO</v>
      </c>
      <c r="M194" s="175"/>
      <c r="N194" s="155"/>
      <c r="O194" s="155"/>
      <c r="P194" s="155"/>
      <c r="Q194" s="155"/>
      <c r="R194" s="155"/>
      <c r="S194" s="155"/>
      <c r="T194" s="155"/>
      <c r="U194" s="155"/>
      <c r="V194" s="155"/>
      <c r="W194" s="155"/>
      <c r="X194" s="155"/>
      <c r="Y194" s="155"/>
      <c r="Z194" s="155"/>
    </row>
    <row r="195" ht="15.0" hidden="1" customHeight="1">
      <c r="A195" s="147"/>
      <c r="B195" s="171" t="s">
        <v>276</v>
      </c>
      <c r="C195" s="149" t="s">
        <v>571</v>
      </c>
      <c r="D195" s="149" t="s">
        <v>1921</v>
      </c>
      <c r="E195" s="194" t="s">
        <v>3055</v>
      </c>
      <c r="F195" s="174"/>
      <c r="G195" s="174"/>
      <c r="H195" s="174"/>
      <c r="I195" s="174"/>
      <c r="J195" s="175"/>
      <c r="K195" s="176">
        <v>46205.0</v>
      </c>
      <c r="L195" s="177" t="str">
        <f>IF(K195="","APONTAR DATA",(IF('T&amp;D'!B195="FINALIZADO", "CONCLUÍDO", IF(K195&lt;TODAY(), "VENCIDO", IF(K195=TODAY(), "VENCE HOJE", IF(K195&lt;=TODAY()+5,"VENCENDO", "NO PRAZO"))))))</f>
        <v>CONCLUÍDO</v>
      </c>
      <c r="M195" s="175"/>
      <c r="N195" s="155"/>
      <c r="O195" s="155"/>
      <c r="P195" s="155"/>
      <c r="Q195" s="155"/>
      <c r="R195" s="155"/>
      <c r="S195" s="155"/>
      <c r="T195" s="155"/>
      <c r="U195" s="155"/>
      <c r="V195" s="155"/>
      <c r="W195" s="155"/>
      <c r="X195" s="155"/>
      <c r="Y195" s="155"/>
      <c r="Z195" s="155"/>
    </row>
    <row r="196" ht="15.0" hidden="1" customHeight="1">
      <c r="A196" s="147"/>
      <c r="B196" s="171" t="s">
        <v>276</v>
      </c>
      <c r="C196" s="167" t="s">
        <v>819</v>
      </c>
      <c r="D196" s="149" t="s">
        <v>1718</v>
      </c>
      <c r="E196" s="194" t="s">
        <v>3062</v>
      </c>
      <c r="F196" s="174"/>
      <c r="G196" s="174"/>
      <c r="H196" s="174"/>
      <c r="I196" s="174"/>
      <c r="J196" s="175"/>
      <c r="K196" s="176">
        <v>46234.0</v>
      </c>
      <c r="L196" s="177" t="str">
        <f>IF(K196="","APONTAR DATA",(IF('T&amp;D'!B196="FINALIZADO", "CONCLUÍDO", IF(K196&lt;TODAY(), "VENCIDO", IF(K196=TODAY(), "VENCE HOJE", IF(K196&lt;=TODAY()+5,"VENCENDO", "NO PRAZO"))))))</f>
        <v>CONCLUÍDO</v>
      </c>
      <c r="M196" s="175"/>
      <c r="N196" s="155"/>
      <c r="O196" s="155"/>
      <c r="P196" s="155"/>
      <c r="Q196" s="155"/>
      <c r="R196" s="155"/>
      <c r="S196" s="155"/>
      <c r="T196" s="155"/>
      <c r="U196" s="155"/>
      <c r="V196" s="155"/>
      <c r="W196" s="155"/>
      <c r="X196" s="155"/>
      <c r="Y196" s="155"/>
      <c r="Z196" s="155"/>
    </row>
    <row r="197" ht="15.0" hidden="1" customHeight="1">
      <c r="A197" s="147"/>
      <c r="B197" s="171" t="s">
        <v>276</v>
      </c>
      <c r="C197" s="167" t="s">
        <v>715</v>
      </c>
      <c r="D197" s="149" t="s">
        <v>1921</v>
      </c>
      <c r="E197" s="194" t="s">
        <v>3067</v>
      </c>
      <c r="F197" s="174"/>
      <c r="G197" s="174"/>
      <c r="H197" s="174"/>
      <c r="I197" s="174"/>
      <c r="J197" s="175"/>
      <c r="K197" s="176">
        <v>46204.0</v>
      </c>
      <c r="L197" s="177" t="str">
        <f>IF(K197="","APONTAR DATA",(IF('T&amp;D'!B197="FINALIZADO", "CONCLUÍDO", IF(K197&lt;TODAY(), "VENCIDO", IF(K197=TODAY(), "VENCE HOJE", IF(K197&lt;=TODAY()+5,"VENCENDO", "NO PRAZO"))))))</f>
        <v>CONCLUÍDO</v>
      </c>
      <c r="M197" s="175"/>
      <c r="N197" s="155"/>
      <c r="O197" s="155"/>
      <c r="P197" s="155"/>
      <c r="Q197" s="155"/>
      <c r="R197" s="155"/>
      <c r="S197" s="155"/>
      <c r="T197" s="155"/>
      <c r="U197" s="155"/>
      <c r="V197" s="155"/>
      <c r="W197" s="155"/>
      <c r="X197" s="155"/>
      <c r="Y197" s="155"/>
      <c r="Z197" s="155"/>
    </row>
    <row r="198" ht="15.0" hidden="1" customHeight="1">
      <c r="A198" s="147"/>
      <c r="B198" s="171" t="s">
        <v>276</v>
      </c>
      <c r="C198" s="167" t="s">
        <v>653</v>
      </c>
      <c r="D198" s="149" t="s">
        <v>1921</v>
      </c>
      <c r="E198" s="194" t="s">
        <v>3072</v>
      </c>
      <c r="F198" s="174"/>
      <c r="G198" s="174"/>
      <c r="H198" s="174"/>
      <c r="I198" s="174"/>
      <c r="J198" s="175"/>
      <c r="K198" s="176">
        <v>46210.0</v>
      </c>
      <c r="L198" s="177" t="str">
        <f>IF(K198="","APONTAR DATA",(IF('T&amp;D'!B198="FINALIZADO", "CONCLUÍDO", IF(K198&lt;TODAY(), "VENCIDO", IF(K198=TODAY(), "VENCE HOJE", IF(K198&lt;=TODAY()+5,"VENCENDO", "NO PRAZO"))))))</f>
        <v>CONCLUÍDO</v>
      </c>
      <c r="M198" s="175"/>
      <c r="N198" s="155"/>
      <c r="O198" s="155"/>
      <c r="P198" s="155"/>
      <c r="Q198" s="155"/>
      <c r="R198" s="155"/>
      <c r="S198" s="155"/>
      <c r="T198" s="155"/>
      <c r="U198" s="155"/>
      <c r="V198" s="155"/>
      <c r="W198" s="155"/>
      <c r="X198" s="155"/>
      <c r="Y198" s="155"/>
      <c r="Z198" s="155"/>
    </row>
    <row r="199" ht="15.0" hidden="1" customHeight="1">
      <c r="A199" s="147"/>
      <c r="B199" s="171" t="s">
        <v>276</v>
      </c>
      <c r="C199" s="167" t="s">
        <v>425</v>
      </c>
      <c r="D199" s="149" t="s">
        <v>1073</v>
      </c>
      <c r="E199" s="194" t="s">
        <v>3076</v>
      </c>
      <c r="F199" s="174"/>
      <c r="G199" s="174"/>
      <c r="H199" s="174"/>
      <c r="I199" s="174"/>
      <c r="J199" s="175"/>
      <c r="K199" s="176">
        <v>46217.0</v>
      </c>
      <c r="L199" s="177" t="str">
        <f>IF(K199="","APONTAR DATA",(IF('T&amp;D'!B199="FINALIZADO", "CONCLUÍDO", IF(K199&lt;TODAY(), "VENCIDO", IF(K199=TODAY(), "VENCE HOJE", IF(K199&lt;=TODAY()+5,"VENCENDO", "NO PRAZO"))))))</f>
        <v>CONCLUÍDO</v>
      </c>
      <c r="M199" s="175"/>
      <c r="N199" s="155"/>
      <c r="O199" s="155"/>
      <c r="P199" s="155"/>
      <c r="Q199" s="155"/>
      <c r="R199" s="155"/>
      <c r="S199" s="155"/>
      <c r="T199" s="155"/>
      <c r="U199" s="155"/>
      <c r="V199" s="155"/>
      <c r="W199" s="155"/>
      <c r="X199" s="155"/>
      <c r="Y199" s="155"/>
      <c r="Z199" s="155"/>
    </row>
    <row r="200" ht="15.0" hidden="1" customHeight="1">
      <c r="A200" s="147"/>
      <c r="B200" s="171" t="s">
        <v>276</v>
      </c>
      <c r="C200" s="149" t="s">
        <v>571</v>
      </c>
      <c r="D200" s="149" t="s">
        <v>1921</v>
      </c>
      <c r="E200" s="194" t="s">
        <v>3080</v>
      </c>
      <c r="F200" s="174"/>
      <c r="G200" s="174"/>
      <c r="H200" s="174"/>
      <c r="I200" s="174"/>
      <c r="J200" s="175"/>
      <c r="K200" s="176">
        <v>46212.0</v>
      </c>
      <c r="L200" s="177" t="str">
        <f>IF(K200="","APONTAR DATA",(IF('T&amp;D'!B200="FINALIZADO", "CONCLUÍDO", IF(K200&lt;TODAY(), "VENCIDO", IF(K200=TODAY(), "VENCE HOJE", IF(K200&lt;=TODAY()+5,"VENCENDO", "NO PRAZO"))))))</f>
        <v>CONCLUÍDO</v>
      </c>
      <c r="M200" s="175"/>
      <c r="N200" s="155"/>
      <c r="O200" s="155"/>
      <c r="P200" s="155"/>
      <c r="Q200" s="155"/>
      <c r="R200" s="155"/>
      <c r="S200" s="155"/>
      <c r="T200" s="155"/>
      <c r="U200" s="155"/>
      <c r="V200" s="155"/>
      <c r="W200" s="155"/>
      <c r="X200" s="155"/>
      <c r="Y200" s="155"/>
      <c r="Z200" s="155"/>
    </row>
    <row r="201" ht="15.0" hidden="1" customHeight="1">
      <c r="A201" s="147"/>
      <c r="B201" s="171" t="s">
        <v>276</v>
      </c>
      <c r="C201" s="167" t="s">
        <v>245</v>
      </c>
      <c r="D201" s="149" t="s">
        <v>1921</v>
      </c>
      <c r="E201" s="194" t="s">
        <v>3086</v>
      </c>
      <c r="F201" s="174"/>
      <c r="G201" s="174"/>
      <c r="H201" s="174"/>
      <c r="I201" s="174"/>
      <c r="J201" s="175"/>
      <c r="K201" s="176">
        <v>46223.0</v>
      </c>
      <c r="L201" s="177" t="str">
        <f>IF(K201="","APONTAR DATA",(IF('T&amp;D'!B201="FINALIZADO", "CONCLUÍDO", IF(K201&lt;TODAY(), "VENCIDO", IF(K201=TODAY(), "VENCE HOJE", IF(K201&lt;=TODAY()+5,"VENCENDO", "NO PRAZO"))))))</f>
        <v>CONCLUÍDO</v>
      </c>
      <c r="M201" s="175"/>
      <c r="N201" s="155"/>
      <c r="O201" s="155"/>
      <c r="P201" s="155"/>
      <c r="Q201" s="155"/>
      <c r="R201" s="155"/>
      <c r="S201" s="155"/>
      <c r="T201" s="155"/>
      <c r="U201" s="155"/>
      <c r="V201" s="155"/>
      <c r="W201" s="155"/>
      <c r="X201" s="155"/>
      <c r="Y201" s="155"/>
      <c r="Z201" s="155"/>
    </row>
    <row r="202" ht="15.0" hidden="1" customHeight="1">
      <c r="A202" s="147"/>
      <c r="B202" s="171" t="s">
        <v>276</v>
      </c>
      <c r="C202" s="167" t="s">
        <v>328</v>
      </c>
      <c r="D202" s="149" t="s">
        <v>1921</v>
      </c>
      <c r="E202" s="194" t="s">
        <v>3093</v>
      </c>
      <c r="F202" s="174"/>
      <c r="G202" s="174"/>
      <c r="H202" s="174"/>
      <c r="I202" s="174"/>
      <c r="J202" s="175"/>
      <c r="K202" s="176">
        <v>46209.0</v>
      </c>
      <c r="L202" s="177" t="str">
        <f>IF(K202="","APONTAR DATA",(IF('T&amp;D'!B202="FINALIZADO", "CONCLUÍDO", IF(K202&lt;TODAY(), "VENCIDO", IF(K202=TODAY(), "VENCE HOJE", IF(K202&lt;=TODAY()+5,"VENCENDO", "NO PRAZO"))))))</f>
        <v>CONCLUÍDO</v>
      </c>
      <c r="M202" s="175"/>
      <c r="N202" s="155"/>
      <c r="O202" s="155"/>
      <c r="P202" s="155"/>
      <c r="Q202" s="155"/>
      <c r="R202" s="155"/>
      <c r="S202" s="155"/>
      <c r="T202" s="155"/>
      <c r="U202" s="155"/>
      <c r="V202" s="155"/>
      <c r="W202" s="155"/>
      <c r="X202" s="155"/>
      <c r="Y202" s="155"/>
      <c r="Z202" s="155"/>
    </row>
    <row r="203" ht="15.0" hidden="1" customHeight="1">
      <c r="A203" s="147"/>
      <c r="B203" s="171" t="s">
        <v>276</v>
      </c>
      <c r="C203" s="167" t="s">
        <v>538</v>
      </c>
      <c r="D203" s="149" t="s">
        <v>1921</v>
      </c>
      <c r="E203" s="194" t="s">
        <v>3098</v>
      </c>
      <c r="F203" s="174"/>
      <c r="G203" s="174"/>
      <c r="H203" s="174"/>
      <c r="I203" s="174"/>
      <c r="J203" s="175"/>
      <c r="K203" s="176">
        <v>46209.0</v>
      </c>
      <c r="L203" s="177" t="str">
        <f>IF(K203="","APONTAR DATA",(IF('T&amp;D'!B203="FINALIZADO", "CONCLUÍDO", IF(K203&lt;TODAY(), "VENCIDO", IF(K203=TODAY(), "VENCE HOJE", IF(K203&lt;=TODAY()+5,"VENCENDO", "NO PRAZO"))))))</f>
        <v>CONCLUÍDO</v>
      </c>
      <c r="M203" s="175"/>
      <c r="N203" s="155"/>
      <c r="O203" s="155"/>
      <c r="P203" s="155"/>
      <c r="Q203" s="155"/>
      <c r="R203" s="155"/>
      <c r="S203" s="155"/>
      <c r="T203" s="155"/>
      <c r="U203" s="155"/>
      <c r="V203" s="155"/>
      <c r="W203" s="155"/>
      <c r="X203" s="155"/>
      <c r="Y203" s="155"/>
      <c r="Z203" s="155"/>
    </row>
    <row r="204" ht="15.0" hidden="1" customHeight="1">
      <c r="A204" s="147"/>
      <c r="B204" s="171" t="s">
        <v>276</v>
      </c>
      <c r="C204" s="149" t="s">
        <v>571</v>
      </c>
      <c r="D204" s="149" t="s">
        <v>1921</v>
      </c>
      <c r="E204" s="194" t="s">
        <v>3107</v>
      </c>
      <c r="F204" s="174"/>
      <c r="G204" s="174"/>
      <c r="H204" s="174"/>
      <c r="I204" s="174"/>
      <c r="J204" s="175"/>
      <c r="K204" s="176">
        <v>46210.0</v>
      </c>
      <c r="L204" s="177" t="str">
        <f>IF(K204="","APONTAR DATA",(IF('T&amp;D'!B204="FINALIZADO", "CONCLUÍDO", IF(K204&lt;TODAY(), "VENCIDO", IF(K204=TODAY(), "VENCE HOJE", IF(K204&lt;=TODAY()+5,"VENCENDO", "NO PRAZO"))))))</f>
        <v>CONCLUÍDO</v>
      </c>
      <c r="M204" s="175"/>
      <c r="N204" s="155"/>
      <c r="O204" s="155"/>
      <c r="P204" s="155"/>
      <c r="Q204" s="155"/>
      <c r="R204" s="155"/>
      <c r="S204" s="155"/>
      <c r="T204" s="155"/>
      <c r="U204" s="155"/>
      <c r="V204" s="155"/>
      <c r="W204" s="155"/>
      <c r="X204" s="155"/>
      <c r="Y204" s="155"/>
      <c r="Z204" s="155"/>
    </row>
    <row r="205" ht="15.0" hidden="1" customHeight="1">
      <c r="A205" s="147"/>
      <c r="B205" s="171" t="s">
        <v>276</v>
      </c>
      <c r="C205" s="149" t="s">
        <v>571</v>
      </c>
      <c r="D205" s="149" t="s">
        <v>1921</v>
      </c>
      <c r="E205" s="194" t="s">
        <v>3112</v>
      </c>
      <c r="F205" s="174"/>
      <c r="G205" s="174"/>
      <c r="H205" s="174"/>
      <c r="I205" s="174"/>
      <c r="J205" s="175"/>
      <c r="K205" s="176">
        <v>46213.0</v>
      </c>
      <c r="L205" s="177" t="str">
        <f>IF(K205="","APONTAR DATA",(IF('T&amp;D'!B205="FINALIZADO", "CONCLUÍDO", IF(K205&lt;TODAY(), "VENCIDO", IF(K205=TODAY(), "VENCE HOJE", IF(K205&lt;=TODAY()+5,"VENCENDO", "NO PRAZO"))))))</f>
        <v>CONCLUÍDO</v>
      </c>
      <c r="M205" s="175"/>
      <c r="N205" s="155"/>
      <c r="O205" s="155"/>
      <c r="P205" s="155"/>
      <c r="Q205" s="155"/>
      <c r="R205" s="155"/>
      <c r="S205" s="155"/>
      <c r="T205" s="155"/>
      <c r="U205" s="155"/>
      <c r="V205" s="155"/>
      <c r="W205" s="155"/>
      <c r="X205" s="155"/>
      <c r="Y205" s="155"/>
      <c r="Z205" s="155"/>
    </row>
    <row r="206" ht="15.0" hidden="1" customHeight="1">
      <c r="A206" s="147"/>
      <c r="B206" s="171" t="s">
        <v>276</v>
      </c>
      <c r="C206" s="149" t="s">
        <v>571</v>
      </c>
      <c r="D206" s="149" t="s">
        <v>1921</v>
      </c>
      <c r="E206" s="194" t="s">
        <v>3116</v>
      </c>
      <c r="F206" s="174"/>
      <c r="G206" s="174"/>
      <c r="H206" s="174"/>
      <c r="I206" s="174"/>
      <c r="J206" s="175"/>
      <c r="K206" s="176">
        <v>46213.0</v>
      </c>
      <c r="L206" s="177" t="str">
        <f>IF(K206="","APONTAR DATA",(IF('T&amp;D'!B206="FINALIZADO", "CONCLUÍDO", IF(K206&lt;TODAY(), "VENCIDO", IF(K206=TODAY(), "VENCE HOJE", IF(K206&lt;=TODAY()+5,"VENCENDO", "NO PRAZO"))))))</f>
        <v>CONCLUÍDO</v>
      </c>
      <c r="M206" s="175"/>
      <c r="N206" s="155"/>
      <c r="O206" s="155"/>
      <c r="P206" s="155"/>
      <c r="Q206" s="155"/>
      <c r="R206" s="155"/>
      <c r="S206" s="155"/>
      <c r="T206" s="155"/>
      <c r="U206" s="155"/>
      <c r="V206" s="155"/>
      <c r="W206" s="155"/>
      <c r="X206" s="155"/>
      <c r="Y206" s="155"/>
      <c r="Z206" s="155"/>
    </row>
    <row r="207" ht="15.0" hidden="1" customHeight="1">
      <c r="A207" s="147"/>
      <c r="B207" s="171" t="s">
        <v>276</v>
      </c>
      <c r="C207" s="167" t="s">
        <v>715</v>
      </c>
      <c r="D207" s="149" t="s">
        <v>1921</v>
      </c>
      <c r="E207" s="194" t="s">
        <v>3122</v>
      </c>
      <c r="F207" s="174"/>
      <c r="G207" s="174"/>
      <c r="H207" s="174"/>
      <c r="I207" s="174"/>
      <c r="J207" s="175"/>
      <c r="K207" s="176">
        <v>46233.0</v>
      </c>
      <c r="L207" s="177" t="str">
        <f>IF(K207="","APONTAR DATA",(IF('T&amp;D'!B207="FINALIZADO", "CONCLUÍDO", IF(K207&lt;TODAY(), "VENCIDO", IF(K207=TODAY(), "VENCE HOJE", IF(K207&lt;=TODAY()+5,"VENCENDO", "NO PRAZO"))))))</f>
        <v>CONCLUÍDO</v>
      </c>
      <c r="M207" s="175"/>
      <c r="N207" s="155"/>
      <c r="O207" s="155"/>
      <c r="P207" s="155"/>
      <c r="Q207" s="155"/>
      <c r="R207" s="155"/>
      <c r="S207" s="155"/>
      <c r="T207" s="155"/>
      <c r="U207" s="155"/>
      <c r="V207" s="155"/>
      <c r="W207" s="155"/>
      <c r="X207" s="155"/>
      <c r="Y207" s="155"/>
      <c r="Z207" s="155"/>
    </row>
    <row r="208" ht="15.0" hidden="1" customHeight="1">
      <c r="A208" s="147"/>
      <c r="B208" s="171" t="s">
        <v>276</v>
      </c>
      <c r="C208" s="167" t="s">
        <v>519</v>
      </c>
      <c r="D208" s="149" t="s">
        <v>1073</v>
      </c>
      <c r="E208" s="194" t="s">
        <v>1194</v>
      </c>
      <c r="F208" s="174"/>
      <c r="G208" s="174"/>
      <c r="H208" s="174"/>
      <c r="I208" s="174"/>
      <c r="J208" s="175"/>
      <c r="K208" s="176">
        <v>46211.0</v>
      </c>
      <c r="L208" s="177" t="str">
        <f>IF(K208="","APONTAR DATA",(IF('T&amp;D'!B208="FINALIZADO", "CONCLUÍDO", IF(K208&lt;TODAY(), "VENCIDO", IF(K208=TODAY(), "VENCE HOJE", IF(K208&lt;=TODAY()+5,"VENCENDO", "NO PRAZO"))))))</f>
        <v>CONCLUÍDO</v>
      </c>
      <c r="M208" s="175"/>
      <c r="N208" s="155"/>
      <c r="O208" s="155"/>
      <c r="P208" s="155"/>
      <c r="Q208" s="155"/>
      <c r="R208" s="155"/>
      <c r="S208" s="155"/>
      <c r="T208" s="155"/>
      <c r="U208" s="155"/>
      <c r="V208" s="155"/>
      <c r="W208" s="155"/>
      <c r="X208" s="155"/>
      <c r="Y208" s="155"/>
      <c r="Z208" s="155"/>
    </row>
    <row r="209" ht="15.0" hidden="1" customHeight="1">
      <c r="A209" s="147"/>
      <c r="B209" s="171" t="s">
        <v>276</v>
      </c>
      <c r="C209" s="167" t="s">
        <v>715</v>
      </c>
      <c r="D209" s="149" t="s">
        <v>1921</v>
      </c>
      <c r="E209" s="194" t="s">
        <v>3130</v>
      </c>
      <c r="F209" s="174"/>
      <c r="G209" s="174"/>
      <c r="H209" s="174"/>
      <c r="I209" s="174"/>
      <c r="J209" s="175"/>
      <c r="K209" s="176">
        <v>46220.0</v>
      </c>
      <c r="L209" s="177" t="str">
        <f>IF(K209="","APONTAR DATA",(IF('T&amp;D'!B209="FINALIZADO", "CONCLUÍDO", IF(K209&lt;TODAY(), "VENCIDO", IF(K209=TODAY(), "VENCE HOJE", IF(K209&lt;=TODAY()+5,"VENCENDO", "NO PRAZO"))))))</f>
        <v>CONCLUÍDO</v>
      </c>
      <c r="M209" s="175"/>
      <c r="N209" s="155"/>
      <c r="O209" s="155"/>
      <c r="P209" s="155"/>
      <c r="Q209" s="155"/>
      <c r="R209" s="155"/>
      <c r="S209" s="155"/>
      <c r="T209" s="155"/>
      <c r="U209" s="155"/>
      <c r="V209" s="155"/>
      <c r="W209" s="155"/>
      <c r="X209" s="155"/>
      <c r="Y209" s="155"/>
      <c r="Z209" s="155"/>
    </row>
    <row r="210" ht="15.0" hidden="1" customHeight="1">
      <c r="A210" s="147"/>
      <c r="B210" s="171" t="s">
        <v>276</v>
      </c>
      <c r="C210" s="149" t="s">
        <v>571</v>
      </c>
      <c r="D210" s="149" t="s">
        <v>1921</v>
      </c>
      <c r="E210" s="194" t="s">
        <v>3134</v>
      </c>
      <c r="F210" s="174"/>
      <c r="G210" s="174"/>
      <c r="H210" s="174"/>
      <c r="I210" s="174"/>
      <c r="J210" s="175"/>
      <c r="K210" s="176">
        <v>46220.0</v>
      </c>
      <c r="L210" s="177" t="str">
        <f>IF(K210="","APONTAR DATA",(IF('T&amp;D'!B210="FINALIZADO", "CONCLUÍDO", IF(K210&lt;TODAY(), "VENCIDO", IF(K210=TODAY(), "VENCE HOJE", IF(K210&lt;=TODAY()+5,"VENCENDO", "NO PRAZO"))))))</f>
        <v>CONCLUÍDO</v>
      </c>
      <c r="M210" s="175"/>
      <c r="N210" s="155"/>
      <c r="O210" s="155"/>
      <c r="P210" s="155"/>
      <c r="Q210" s="155"/>
      <c r="R210" s="155"/>
      <c r="S210" s="155"/>
      <c r="T210" s="155"/>
      <c r="U210" s="155"/>
      <c r="V210" s="155"/>
      <c r="W210" s="155"/>
      <c r="X210" s="155"/>
      <c r="Y210" s="155"/>
      <c r="Z210" s="155"/>
    </row>
    <row r="211" ht="15.0" hidden="1" customHeight="1">
      <c r="A211" s="147"/>
      <c r="B211" s="171" t="s">
        <v>276</v>
      </c>
      <c r="C211" s="167" t="s">
        <v>538</v>
      </c>
      <c r="D211" s="149" t="s">
        <v>1073</v>
      </c>
      <c r="E211" s="194" t="s">
        <v>3139</v>
      </c>
      <c r="F211" s="174"/>
      <c r="G211" s="174"/>
      <c r="H211" s="174"/>
      <c r="I211" s="174"/>
      <c r="J211" s="175"/>
      <c r="K211" s="176">
        <v>46218.0</v>
      </c>
      <c r="L211" s="177" t="str">
        <f>IF(K211="","APONTAR DATA",(IF('T&amp;D'!B211="FINALIZADO", "CONCLUÍDO", IF(K211&lt;TODAY(), "VENCIDO", IF(K211=TODAY(), "VENCE HOJE", IF(K211&lt;=TODAY()+5,"VENCENDO", "NO PRAZO"))))))</f>
        <v>CONCLUÍDO</v>
      </c>
      <c r="M211" s="175"/>
      <c r="N211" s="155"/>
      <c r="O211" s="155"/>
      <c r="P211" s="155"/>
      <c r="Q211" s="155"/>
      <c r="R211" s="155"/>
      <c r="S211" s="155"/>
      <c r="T211" s="155"/>
      <c r="U211" s="155"/>
      <c r="V211" s="155"/>
      <c r="W211" s="155"/>
      <c r="X211" s="155"/>
      <c r="Y211" s="155"/>
      <c r="Z211" s="155"/>
    </row>
    <row r="212" ht="15.0" customHeight="1">
      <c r="A212" s="147"/>
      <c r="B212" s="171" t="s">
        <v>3143</v>
      </c>
      <c r="C212" s="167" t="s">
        <v>642</v>
      </c>
      <c r="D212" s="149" t="s">
        <v>1921</v>
      </c>
      <c r="E212" s="194" t="s">
        <v>3145</v>
      </c>
      <c r="F212" s="174"/>
      <c r="G212" s="174"/>
      <c r="H212" s="174"/>
      <c r="I212" s="174"/>
      <c r="J212" s="175"/>
      <c r="K212" s="176">
        <v>46251.0</v>
      </c>
      <c r="L212" s="177" t="str">
        <f>IF(K212="","APONTAR DATA",(IF('T&amp;D'!B212="FINALIZADO", "CONCLUÍDO", IF(K212&lt;TODAY(), "VENCIDO", IF(K212=TODAY(), "VENCE HOJE", IF(K212&lt;=TODAY()+5,"VENCENDO", "NO PRAZO"))))))</f>
        <v>VENCIDO</v>
      </c>
      <c r="M212" s="175"/>
      <c r="N212" s="155"/>
      <c r="O212" s="155"/>
      <c r="P212" s="155"/>
      <c r="Q212" s="155"/>
      <c r="R212" s="155"/>
      <c r="S212" s="155"/>
      <c r="T212" s="155"/>
      <c r="U212" s="155"/>
      <c r="V212" s="155"/>
      <c r="W212" s="155"/>
      <c r="X212" s="155"/>
      <c r="Y212" s="155"/>
      <c r="Z212" s="155"/>
    </row>
    <row r="213" ht="15.0" hidden="1" customHeight="1">
      <c r="A213" s="147"/>
      <c r="B213" s="171" t="s">
        <v>276</v>
      </c>
      <c r="C213" s="167" t="s">
        <v>471</v>
      </c>
      <c r="D213" s="149" t="s">
        <v>1718</v>
      </c>
      <c r="E213" s="194" t="s">
        <v>3151</v>
      </c>
      <c r="F213" s="174"/>
      <c r="G213" s="174"/>
      <c r="H213" s="174"/>
      <c r="I213" s="174"/>
      <c r="J213" s="175"/>
      <c r="K213" s="176">
        <v>46245.0</v>
      </c>
      <c r="L213" s="177" t="str">
        <f>IF(K213="","APONTAR DATA",(IF('T&amp;D'!B213="FINALIZADO", "CONCLUÍDO", IF(K213&lt;TODAY(), "VENCIDO", IF(K213=TODAY(), "VENCE HOJE", IF(K213&lt;=TODAY()+5,"VENCENDO", "NO PRAZO"))))))</f>
        <v>CONCLUÍDO</v>
      </c>
      <c r="M213" s="175"/>
      <c r="N213" s="155"/>
      <c r="O213" s="155"/>
      <c r="P213" s="155"/>
      <c r="Q213" s="155"/>
      <c r="R213" s="155"/>
      <c r="S213" s="155"/>
      <c r="T213" s="155"/>
      <c r="U213" s="155"/>
      <c r="V213" s="155"/>
      <c r="W213" s="155"/>
      <c r="X213" s="155"/>
      <c r="Y213" s="155"/>
      <c r="Z213" s="155"/>
    </row>
    <row r="214" ht="15.0" hidden="1" customHeight="1">
      <c r="A214" s="147"/>
      <c r="B214" s="171" t="s">
        <v>276</v>
      </c>
      <c r="C214" s="167" t="s">
        <v>715</v>
      </c>
      <c r="D214" s="149" t="s">
        <v>1718</v>
      </c>
      <c r="E214" s="194" t="s">
        <v>3156</v>
      </c>
      <c r="F214" s="174"/>
      <c r="G214" s="174"/>
      <c r="H214" s="174"/>
      <c r="I214" s="174"/>
      <c r="J214" s="175"/>
      <c r="K214" s="176">
        <v>46220.0</v>
      </c>
      <c r="L214" s="177" t="str">
        <f>IF(K214="","APONTAR DATA",(IF('T&amp;D'!B214="FINALIZADO", "CONCLUÍDO", IF(K214&lt;TODAY(), "VENCIDO", IF(K214=TODAY(), "VENCE HOJE", IF(K214&lt;=TODAY()+5,"VENCENDO", "NO PRAZO"))))))</f>
        <v>CONCLUÍDO</v>
      </c>
      <c r="M214" s="175"/>
      <c r="N214" s="155"/>
      <c r="O214" s="155"/>
      <c r="P214" s="155"/>
      <c r="Q214" s="155"/>
      <c r="R214" s="155"/>
      <c r="S214" s="155"/>
      <c r="T214" s="155"/>
      <c r="U214" s="155"/>
      <c r="V214" s="155"/>
      <c r="W214" s="155"/>
      <c r="X214" s="155"/>
      <c r="Y214" s="155"/>
      <c r="Z214" s="155"/>
    </row>
    <row r="215" ht="15.0" hidden="1" customHeight="1">
      <c r="A215" s="147"/>
      <c r="B215" s="171" t="s">
        <v>276</v>
      </c>
      <c r="C215" s="167" t="s">
        <v>538</v>
      </c>
      <c r="D215" s="149" t="s">
        <v>1718</v>
      </c>
      <c r="E215" s="194" t="s">
        <v>3161</v>
      </c>
      <c r="F215" s="174"/>
      <c r="G215" s="174"/>
      <c r="H215" s="174"/>
      <c r="I215" s="174"/>
      <c r="J215" s="175"/>
      <c r="K215" s="176">
        <v>46226.0</v>
      </c>
      <c r="L215" s="177" t="str">
        <f>IF(K215="","APONTAR DATA",(IF('T&amp;D'!B215="FINALIZADO", "CONCLUÍDO", IF(K215&lt;TODAY(), "VENCIDO", IF(K215=TODAY(), "VENCE HOJE", IF(K215&lt;=TODAY()+5,"VENCENDO", "NO PRAZO"))))))</f>
        <v>CONCLUÍDO</v>
      </c>
      <c r="M215" s="175"/>
      <c r="N215" s="155"/>
      <c r="O215" s="155"/>
      <c r="P215" s="155"/>
      <c r="Q215" s="155"/>
      <c r="R215" s="155"/>
      <c r="S215" s="155"/>
      <c r="T215" s="155"/>
      <c r="U215" s="155"/>
      <c r="V215" s="155"/>
      <c r="W215" s="155"/>
      <c r="X215" s="155"/>
      <c r="Y215" s="155"/>
      <c r="Z215" s="155"/>
    </row>
    <row r="216" ht="15.0" hidden="1" customHeight="1">
      <c r="A216" s="147"/>
      <c r="B216" s="171" t="s">
        <v>276</v>
      </c>
      <c r="C216" s="167" t="s">
        <v>538</v>
      </c>
      <c r="D216" s="149" t="s">
        <v>1073</v>
      </c>
      <c r="E216" s="194" t="s">
        <v>3139</v>
      </c>
      <c r="F216" s="174"/>
      <c r="G216" s="174"/>
      <c r="H216" s="174"/>
      <c r="I216" s="174"/>
      <c r="J216" s="175"/>
      <c r="K216" s="176">
        <v>46225.0</v>
      </c>
      <c r="L216" s="177" t="str">
        <f>IF(K216="","APONTAR DATA",(IF('T&amp;D'!B216="FINALIZADO", "CONCLUÍDO", IF(K216&lt;TODAY(), "VENCIDO", IF(K216=TODAY(), "VENCE HOJE", IF(K216&lt;=TODAY()+5,"VENCENDO", "NO PRAZO"))))))</f>
        <v>CONCLUÍDO</v>
      </c>
      <c r="M216" s="175"/>
      <c r="N216" s="155"/>
      <c r="O216" s="155"/>
      <c r="P216" s="155"/>
      <c r="Q216" s="155"/>
      <c r="R216" s="155"/>
      <c r="S216" s="155"/>
      <c r="T216" s="155"/>
      <c r="U216" s="155"/>
      <c r="V216" s="155"/>
      <c r="W216" s="155"/>
      <c r="X216" s="155"/>
      <c r="Y216" s="155"/>
      <c r="Z216" s="155"/>
    </row>
    <row r="217" ht="15.0" hidden="1" customHeight="1">
      <c r="A217" s="147"/>
      <c r="B217" s="171" t="s">
        <v>276</v>
      </c>
      <c r="C217" s="167" t="s">
        <v>519</v>
      </c>
      <c r="D217" s="149" t="s">
        <v>1073</v>
      </c>
      <c r="E217" s="194" t="s">
        <v>3171</v>
      </c>
      <c r="F217" s="174"/>
      <c r="G217" s="174"/>
      <c r="H217" s="174"/>
      <c r="I217" s="174"/>
      <c r="J217" s="175"/>
      <c r="K217" s="176">
        <v>46231.0</v>
      </c>
      <c r="L217" s="177" t="str">
        <f>IF(K217="","APONTAR DATA",(IF('T&amp;D'!B217="FINALIZADO", "CONCLUÍDO", IF(K217&lt;TODAY(), "VENCIDO", IF(K217=TODAY(), "VENCE HOJE", IF(K217&lt;=TODAY()+5,"VENCENDO", "NO PRAZO"))))))</f>
        <v>CONCLUÍDO</v>
      </c>
      <c r="M217" s="175"/>
      <c r="N217" s="155"/>
      <c r="O217" s="155"/>
      <c r="P217" s="155"/>
      <c r="Q217" s="155"/>
      <c r="R217" s="155"/>
      <c r="S217" s="155"/>
      <c r="T217" s="155"/>
      <c r="U217" s="155"/>
      <c r="V217" s="155"/>
      <c r="W217" s="155"/>
      <c r="X217" s="155"/>
      <c r="Y217" s="155"/>
      <c r="Z217" s="155"/>
    </row>
    <row r="218" ht="15.0" hidden="1" customHeight="1">
      <c r="A218" s="147"/>
      <c r="B218" s="171" t="s">
        <v>276</v>
      </c>
      <c r="C218" s="167" t="s">
        <v>538</v>
      </c>
      <c r="D218" s="149" t="s">
        <v>1073</v>
      </c>
      <c r="E218" s="194" t="s">
        <v>3139</v>
      </c>
      <c r="F218" s="174"/>
      <c r="G218" s="174"/>
      <c r="H218" s="174"/>
      <c r="I218" s="174"/>
      <c r="J218" s="175"/>
      <c r="K218" s="176">
        <v>46232.0</v>
      </c>
      <c r="L218" s="177" t="str">
        <f>IF(K218="","APONTAR DATA",(IF('T&amp;D'!B218="FINALIZADO", "CONCLUÍDO", IF(K218&lt;TODAY(), "VENCIDO", IF(K218=TODAY(), "VENCE HOJE", IF(K218&lt;=TODAY()+5,"VENCENDO", "NO PRAZO"))))))</f>
        <v>CONCLUÍDO</v>
      </c>
      <c r="M218" s="175"/>
      <c r="N218" s="155"/>
      <c r="O218" s="155"/>
      <c r="P218" s="155"/>
      <c r="Q218" s="155"/>
      <c r="R218" s="155"/>
      <c r="S218" s="155"/>
      <c r="T218" s="155"/>
      <c r="U218" s="155"/>
      <c r="V218" s="155"/>
      <c r="W218" s="155"/>
      <c r="X218" s="155"/>
      <c r="Y218" s="155"/>
      <c r="Z218" s="155"/>
    </row>
    <row r="219" ht="15.0" hidden="1" customHeight="1">
      <c r="A219" s="147"/>
      <c r="B219" s="171" t="s">
        <v>276</v>
      </c>
      <c r="C219" s="167" t="s">
        <v>538</v>
      </c>
      <c r="D219" s="149" t="s">
        <v>1073</v>
      </c>
      <c r="E219" s="194" t="s">
        <v>3139</v>
      </c>
      <c r="F219" s="174"/>
      <c r="G219" s="174"/>
      <c r="H219" s="174"/>
      <c r="I219" s="174"/>
      <c r="J219" s="175"/>
      <c r="K219" s="176">
        <v>46240.0</v>
      </c>
      <c r="L219" s="177" t="str">
        <f>IF(K219="","APONTAR DATA",(IF('T&amp;D'!B219="FINALIZADO", "CONCLUÍDO", IF(K219&lt;TODAY(), "VENCIDO", IF(K219=TODAY(), "VENCE HOJE", IF(K219&lt;=TODAY()+5,"VENCENDO", "NO PRAZO"))))))</f>
        <v>CONCLUÍDO</v>
      </c>
      <c r="M219" s="175"/>
      <c r="N219" s="155"/>
      <c r="O219" s="155"/>
      <c r="P219" s="155"/>
      <c r="Q219" s="155"/>
      <c r="R219" s="155"/>
      <c r="S219" s="155"/>
      <c r="T219" s="155"/>
      <c r="U219" s="155"/>
      <c r="V219" s="155"/>
      <c r="W219" s="155"/>
      <c r="X219" s="155"/>
      <c r="Y219" s="155"/>
      <c r="Z219" s="155"/>
    </row>
    <row r="220" ht="15.0" hidden="1" customHeight="1">
      <c r="A220" s="147"/>
      <c r="B220" s="171" t="s">
        <v>276</v>
      </c>
      <c r="C220" s="167" t="s">
        <v>538</v>
      </c>
      <c r="D220" s="149" t="s">
        <v>1073</v>
      </c>
      <c r="E220" s="194" t="s">
        <v>3139</v>
      </c>
      <c r="F220" s="174"/>
      <c r="G220" s="174"/>
      <c r="H220" s="174"/>
      <c r="I220" s="174"/>
      <c r="J220" s="175"/>
      <c r="K220" s="176">
        <v>46246.0</v>
      </c>
      <c r="L220" s="177" t="str">
        <f>IF(K220="","APONTAR DATA",(IF('T&amp;D'!B220="FINALIZADO", "CONCLUÍDO", IF(K220&lt;TODAY(), "VENCIDO", IF(K220=TODAY(), "VENCE HOJE", IF(K220&lt;=TODAY()+5,"VENCENDO", "NO PRAZO"))))))</f>
        <v>CONCLUÍDO</v>
      </c>
      <c r="M220" s="175"/>
      <c r="N220" s="155"/>
      <c r="O220" s="155"/>
      <c r="P220" s="155"/>
      <c r="Q220" s="155"/>
      <c r="R220" s="155"/>
      <c r="S220" s="155"/>
      <c r="T220" s="155"/>
      <c r="U220" s="155"/>
      <c r="V220" s="155"/>
      <c r="W220" s="155"/>
      <c r="X220" s="155"/>
      <c r="Y220" s="155"/>
      <c r="Z220" s="155"/>
    </row>
    <row r="221" ht="15.0" customHeight="1">
      <c r="A221" s="147"/>
      <c r="B221" s="171" t="s">
        <v>3186</v>
      </c>
      <c r="C221" s="167" t="s">
        <v>538</v>
      </c>
      <c r="D221" s="149" t="s">
        <v>1073</v>
      </c>
      <c r="E221" s="194" t="s">
        <v>3139</v>
      </c>
      <c r="F221" s="174"/>
      <c r="G221" s="174"/>
      <c r="H221" s="174"/>
      <c r="I221" s="174"/>
      <c r="J221" s="175"/>
      <c r="K221" s="176">
        <v>46253.0</v>
      </c>
      <c r="L221" s="177" t="str">
        <f>IF(K221="","APONTAR DATA",(IF('T&amp;D'!B221="FINALIZADO", "CONCLUÍDO", IF(K221&lt;TODAY(), "VENCIDO", IF(K221=TODAY(), "VENCE HOJE", IF(K221&lt;=TODAY()+5,"VENCENDO", "NO PRAZO"))))))</f>
        <v>VENCENDO</v>
      </c>
      <c r="M221" s="175"/>
      <c r="N221" s="155"/>
      <c r="O221" s="155"/>
      <c r="P221" s="155"/>
      <c r="Q221" s="155"/>
      <c r="R221" s="155"/>
      <c r="S221" s="155"/>
      <c r="T221" s="155"/>
      <c r="U221" s="155"/>
      <c r="V221" s="155"/>
      <c r="W221" s="155"/>
      <c r="X221" s="155"/>
      <c r="Y221" s="155"/>
      <c r="Z221" s="155"/>
    </row>
    <row r="222" ht="15.0" customHeight="1">
      <c r="A222" s="147"/>
      <c r="B222" s="171" t="s">
        <v>3186</v>
      </c>
      <c r="C222" s="167" t="s">
        <v>538</v>
      </c>
      <c r="D222" s="149" t="s">
        <v>1073</v>
      </c>
      <c r="E222" s="194" t="s">
        <v>3139</v>
      </c>
      <c r="F222" s="174"/>
      <c r="G222" s="174"/>
      <c r="H222" s="174"/>
      <c r="I222" s="174"/>
      <c r="J222" s="175"/>
      <c r="K222" s="176">
        <v>46260.0</v>
      </c>
      <c r="L222" s="177" t="str">
        <f>IF(K222="","APONTAR DATA",(IF('T&amp;D'!B222="FINALIZADO", "CONCLUÍDO", IF(K222&lt;TODAY(), "VENCIDO", IF(K222=TODAY(), "VENCE HOJE", IF(K222&lt;=TODAY()+5,"VENCENDO", "NO PRAZO"))))))</f>
        <v>NO PRAZO</v>
      </c>
      <c r="M222" s="175"/>
      <c r="N222" s="155"/>
      <c r="O222" s="155"/>
      <c r="P222" s="155"/>
      <c r="Q222" s="155"/>
      <c r="R222" s="155"/>
      <c r="S222" s="155"/>
      <c r="T222" s="155"/>
      <c r="U222" s="155"/>
      <c r="V222" s="155"/>
      <c r="W222" s="155"/>
      <c r="X222" s="155"/>
      <c r="Y222" s="155"/>
      <c r="Z222" s="155"/>
    </row>
    <row r="223" ht="15.0" hidden="1" customHeight="1">
      <c r="A223" s="147"/>
      <c r="B223" s="171" t="s">
        <v>276</v>
      </c>
      <c r="C223" s="167" t="s">
        <v>296</v>
      </c>
      <c r="D223" s="149" t="s">
        <v>1073</v>
      </c>
      <c r="E223" s="194" t="s">
        <v>1176</v>
      </c>
      <c r="F223" s="174"/>
      <c r="G223" s="174"/>
      <c r="H223" s="174"/>
      <c r="I223" s="174"/>
      <c r="J223" s="175"/>
      <c r="K223" s="176">
        <v>46240.0</v>
      </c>
      <c r="L223" s="177" t="str">
        <f>IF(K223="","APONTAR DATA",(IF('T&amp;D'!B223="FINALIZADO", "CONCLUÍDO", IF(K223&lt;TODAY(), "VENCIDO", IF(K223=TODAY(), "VENCE HOJE", IF(K223&lt;=TODAY()+5,"VENCENDO", "NO PRAZO"))))))</f>
        <v>CONCLUÍDO</v>
      </c>
      <c r="M223" s="175"/>
      <c r="N223" s="155"/>
      <c r="O223" s="155"/>
      <c r="P223" s="155"/>
      <c r="Q223" s="155"/>
      <c r="R223" s="155"/>
      <c r="S223" s="155"/>
      <c r="T223" s="155"/>
      <c r="U223" s="155"/>
      <c r="V223" s="155"/>
      <c r="W223" s="155"/>
      <c r="X223" s="155"/>
      <c r="Y223" s="155"/>
      <c r="Z223" s="155"/>
    </row>
    <row r="224" ht="15.0" hidden="1" customHeight="1">
      <c r="A224" s="147"/>
      <c r="B224" s="171" t="s">
        <v>276</v>
      </c>
      <c r="C224" s="167" t="s">
        <v>296</v>
      </c>
      <c r="D224" s="149" t="s">
        <v>1921</v>
      </c>
      <c r="E224" s="194" t="s">
        <v>3199</v>
      </c>
      <c r="F224" s="174"/>
      <c r="G224" s="174"/>
      <c r="H224" s="174"/>
      <c r="I224" s="174"/>
      <c r="J224" s="175"/>
      <c r="K224" s="176">
        <v>46241.0</v>
      </c>
      <c r="L224" s="177" t="str">
        <f>IF(K224="","APONTAR DATA",(IF('T&amp;D'!B224="FINALIZADO", "CONCLUÍDO", IF(K224&lt;TODAY(), "VENCIDO", IF(K224=TODAY(), "VENCE HOJE", IF(K224&lt;=TODAY()+5,"VENCENDO", "NO PRAZO"))))))</f>
        <v>CONCLUÍDO</v>
      </c>
      <c r="M224" s="175"/>
      <c r="N224" s="155"/>
      <c r="O224" s="155"/>
      <c r="P224" s="155"/>
      <c r="Q224" s="155"/>
      <c r="R224" s="155"/>
      <c r="S224" s="155"/>
      <c r="T224" s="155"/>
      <c r="U224" s="155"/>
      <c r="V224" s="155"/>
      <c r="W224" s="155"/>
      <c r="X224" s="155"/>
      <c r="Y224" s="155"/>
      <c r="Z224" s="155"/>
    </row>
    <row r="225" ht="15.0" customHeight="1">
      <c r="A225" s="147"/>
      <c r="B225" s="171"/>
      <c r="C225" s="235"/>
      <c r="D225" s="149"/>
      <c r="E225" s="173"/>
      <c r="F225" s="174"/>
      <c r="G225" s="174"/>
      <c r="H225" s="174"/>
      <c r="I225" s="174"/>
      <c r="J225" s="175"/>
      <c r="K225" s="176"/>
      <c r="L225" s="177" t="str">
        <f>IF(K225="","APONTAR DATA",(IF('T&amp;D'!B225="FINALIZADO", "CONCLUÍDO", IF(K225&lt;TODAY(), "VENCIDO", IF(K225=TODAY(), "VENCE HOJE", IF(K225&lt;=TODAY()+5,"VENCENDO", "NO PRAZO"))))))</f>
        <v>APONTAR DATA</v>
      </c>
      <c r="M225" s="175"/>
      <c r="N225" s="155"/>
      <c r="O225" s="155"/>
      <c r="P225" s="155"/>
      <c r="Q225" s="155"/>
      <c r="R225" s="155"/>
      <c r="S225" s="155"/>
      <c r="T225" s="155"/>
      <c r="U225" s="155"/>
      <c r="V225" s="155"/>
      <c r="W225" s="155"/>
      <c r="X225" s="155"/>
      <c r="Y225" s="155"/>
      <c r="Z225" s="155"/>
    </row>
  </sheetData>
  <autoFilter ref="$B$10:$M$225">
    <filterColumn colId="0">
      <filters blank="1">
        <filter val="A FAZER"/>
        <filter val="MONITORAMENTO"/>
        <filter val="PROCESSANDO"/>
      </filters>
    </filterColumn>
  </autoFilter>
  <mergeCells count="419">
    <mergeCell ref="B2:M2"/>
    <mergeCell ref="B3:B5"/>
    <mergeCell ref="D4:D5"/>
    <mergeCell ref="E4:E5"/>
    <mergeCell ref="B6:B7"/>
    <mergeCell ref="D6:D7"/>
    <mergeCell ref="E6:E7"/>
    <mergeCell ref="D9:J9"/>
    <mergeCell ref="K9:M9"/>
    <mergeCell ref="B11:B23"/>
    <mergeCell ref="D11:J16"/>
    <mergeCell ref="K11:K23"/>
    <mergeCell ref="L11:M23"/>
    <mergeCell ref="D17:J21"/>
    <mergeCell ref="L26:M26"/>
    <mergeCell ref="L27:M27"/>
    <mergeCell ref="D22:J23"/>
    <mergeCell ref="E24:J24"/>
    <mergeCell ref="L24:M24"/>
    <mergeCell ref="E25:J25"/>
    <mergeCell ref="L25:M25"/>
    <mergeCell ref="E26:J26"/>
    <mergeCell ref="E27:J27"/>
    <mergeCell ref="E28:J28"/>
    <mergeCell ref="L28:M28"/>
    <mergeCell ref="E29:J29"/>
    <mergeCell ref="L29:M29"/>
    <mergeCell ref="E30:J30"/>
    <mergeCell ref="L30:M30"/>
    <mergeCell ref="L31:M31"/>
    <mergeCell ref="L34:M34"/>
    <mergeCell ref="L35:M35"/>
    <mergeCell ref="E31:J31"/>
    <mergeCell ref="E32:J32"/>
    <mergeCell ref="L32:M32"/>
    <mergeCell ref="E33:J33"/>
    <mergeCell ref="L33:M33"/>
    <mergeCell ref="E34:J34"/>
    <mergeCell ref="E35:J35"/>
    <mergeCell ref="E52:J52"/>
    <mergeCell ref="L52:M52"/>
    <mergeCell ref="E53:J53"/>
    <mergeCell ref="L53:M53"/>
    <mergeCell ref="E54:J54"/>
    <mergeCell ref="L54:M54"/>
    <mergeCell ref="L55:M55"/>
    <mergeCell ref="E55:J55"/>
    <mergeCell ref="E56:J56"/>
    <mergeCell ref="L56:M56"/>
    <mergeCell ref="E57:J57"/>
    <mergeCell ref="L57:M57"/>
    <mergeCell ref="E58:J58"/>
    <mergeCell ref="E59:J59"/>
    <mergeCell ref="L58:M58"/>
    <mergeCell ref="L59:M59"/>
    <mergeCell ref="E60:J60"/>
    <mergeCell ref="L60:M60"/>
    <mergeCell ref="E61:J61"/>
    <mergeCell ref="L61:M61"/>
    <mergeCell ref="L62:M62"/>
    <mergeCell ref="E62:J62"/>
    <mergeCell ref="E63:J63"/>
    <mergeCell ref="L63:M63"/>
    <mergeCell ref="E64:J64"/>
    <mergeCell ref="L64:M64"/>
    <mergeCell ref="E65:J65"/>
    <mergeCell ref="E66:J66"/>
    <mergeCell ref="L65:M65"/>
    <mergeCell ref="L66:M66"/>
    <mergeCell ref="E67:J67"/>
    <mergeCell ref="L67:M67"/>
    <mergeCell ref="E68:J68"/>
    <mergeCell ref="L68:M68"/>
    <mergeCell ref="L69:M69"/>
    <mergeCell ref="E69:J69"/>
    <mergeCell ref="E70:J70"/>
    <mergeCell ref="L70:M70"/>
    <mergeCell ref="E71:J71"/>
    <mergeCell ref="L71:M71"/>
    <mergeCell ref="E72:J72"/>
    <mergeCell ref="E73:J73"/>
    <mergeCell ref="L72:M72"/>
    <mergeCell ref="L73:M73"/>
    <mergeCell ref="E74:J74"/>
    <mergeCell ref="L74:M74"/>
    <mergeCell ref="E75:J75"/>
    <mergeCell ref="L75:M75"/>
    <mergeCell ref="L76:M76"/>
    <mergeCell ref="E76:J76"/>
    <mergeCell ref="E77:J77"/>
    <mergeCell ref="L77:M77"/>
    <mergeCell ref="E78:J78"/>
    <mergeCell ref="L78:M78"/>
    <mergeCell ref="E79:J79"/>
    <mergeCell ref="E80:J80"/>
    <mergeCell ref="L79:M79"/>
    <mergeCell ref="L80:M80"/>
    <mergeCell ref="E81:J81"/>
    <mergeCell ref="L81:M81"/>
    <mergeCell ref="E82:J82"/>
    <mergeCell ref="L82:M82"/>
    <mergeCell ref="L83:M83"/>
    <mergeCell ref="E83:J83"/>
    <mergeCell ref="E84:J84"/>
    <mergeCell ref="L84:M84"/>
    <mergeCell ref="E85:J85"/>
    <mergeCell ref="L85:M85"/>
    <mergeCell ref="E86:J86"/>
    <mergeCell ref="E87:J87"/>
    <mergeCell ref="L86:M86"/>
    <mergeCell ref="L87:M87"/>
    <mergeCell ref="E88:J88"/>
    <mergeCell ref="L88:M88"/>
    <mergeCell ref="E89:J89"/>
    <mergeCell ref="L89:M89"/>
    <mergeCell ref="L90:M90"/>
    <mergeCell ref="E90:J90"/>
    <mergeCell ref="E91:J91"/>
    <mergeCell ref="L91:M91"/>
    <mergeCell ref="E92:J92"/>
    <mergeCell ref="L92:M92"/>
    <mergeCell ref="E93:J93"/>
    <mergeCell ref="E94:J94"/>
    <mergeCell ref="L93:M93"/>
    <mergeCell ref="L94:M94"/>
    <mergeCell ref="E95:J95"/>
    <mergeCell ref="L95:M95"/>
    <mergeCell ref="E96:J96"/>
    <mergeCell ref="L96:M96"/>
    <mergeCell ref="L97:M97"/>
    <mergeCell ref="E97:J97"/>
    <mergeCell ref="E98:J98"/>
    <mergeCell ref="L98:M98"/>
    <mergeCell ref="E99:J99"/>
    <mergeCell ref="L99:M99"/>
    <mergeCell ref="E100:J100"/>
    <mergeCell ref="E101:J101"/>
    <mergeCell ref="L100:M100"/>
    <mergeCell ref="L101:M101"/>
    <mergeCell ref="E102:J102"/>
    <mergeCell ref="L102:M102"/>
    <mergeCell ref="E103:J103"/>
    <mergeCell ref="L103:M103"/>
    <mergeCell ref="L104:M104"/>
    <mergeCell ref="E104:J104"/>
    <mergeCell ref="E105:J105"/>
    <mergeCell ref="L105:M105"/>
    <mergeCell ref="E106:J106"/>
    <mergeCell ref="L106:M106"/>
    <mergeCell ref="E107:J107"/>
    <mergeCell ref="E108:J108"/>
    <mergeCell ref="L107:M107"/>
    <mergeCell ref="L108:M108"/>
    <mergeCell ref="E109:J109"/>
    <mergeCell ref="L109:M109"/>
    <mergeCell ref="E110:J110"/>
    <mergeCell ref="L110:M110"/>
    <mergeCell ref="L111:M111"/>
    <mergeCell ref="E111:J111"/>
    <mergeCell ref="E112:J112"/>
    <mergeCell ref="L112:M112"/>
    <mergeCell ref="E113:J113"/>
    <mergeCell ref="L113:M113"/>
    <mergeCell ref="E114:J114"/>
    <mergeCell ref="E115:J115"/>
    <mergeCell ref="L114:M114"/>
    <mergeCell ref="L115:M115"/>
    <mergeCell ref="E116:J116"/>
    <mergeCell ref="L116:M116"/>
    <mergeCell ref="E117:J117"/>
    <mergeCell ref="L117:M117"/>
    <mergeCell ref="L118:M118"/>
    <mergeCell ref="E118:J118"/>
    <mergeCell ref="E119:J119"/>
    <mergeCell ref="L119:M119"/>
    <mergeCell ref="E120:J120"/>
    <mergeCell ref="L120:M120"/>
    <mergeCell ref="E121:J121"/>
    <mergeCell ref="E122:J122"/>
    <mergeCell ref="L121:M121"/>
    <mergeCell ref="L122:M122"/>
    <mergeCell ref="E123:J123"/>
    <mergeCell ref="L123:M123"/>
    <mergeCell ref="E124:J124"/>
    <mergeCell ref="L124:M124"/>
    <mergeCell ref="L125:M125"/>
    <mergeCell ref="E125:J125"/>
    <mergeCell ref="E126:J126"/>
    <mergeCell ref="L126:M126"/>
    <mergeCell ref="E127:J127"/>
    <mergeCell ref="L127:M127"/>
    <mergeCell ref="E128:J128"/>
    <mergeCell ref="E129:J129"/>
    <mergeCell ref="L128:M128"/>
    <mergeCell ref="L129:M129"/>
    <mergeCell ref="E130:J130"/>
    <mergeCell ref="L130:M130"/>
    <mergeCell ref="E131:J131"/>
    <mergeCell ref="L131:M131"/>
    <mergeCell ref="L132:M132"/>
    <mergeCell ref="E132:J132"/>
    <mergeCell ref="E133:J133"/>
    <mergeCell ref="L133:M133"/>
    <mergeCell ref="E134:J134"/>
    <mergeCell ref="L134:M134"/>
    <mergeCell ref="E135:J135"/>
    <mergeCell ref="E136:J136"/>
    <mergeCell ref="L135:M135"/>
    <mergeCell ref="L136:M136"/>
    <mergeCell ref="E137:J137"/>
    <mergeCell ref="L137:M137"/>
    <mergeCell ref="E138:J138"/>
    <mergeCell ref="L138:M138"/>
    <mergeCell ref="L139:M139"/>
    <mergeCell ref="E139:J139"/>
    <mergeCell ref="E140:J140"/>
    <mergeCell ref="L140:M140"/>
    <mergeCell ref="E141:J141"/>
    <mergeCell ref="L141:M141"/>
    <mergeCell ref="E142:J142"/>
    <mergeCell ref="E143:J143"/>
    <mergeCell ref="L191:M191"/>
    <mergeCell ref="L192:M192"/>
    <mergeCell ref="E193:J193"/>
    <mergeCell ref="L193:M193"/>
    <mergeCell ref="E194:J194"/>
    <mergeCell ref="L194:M194"/>
    <mergeCell ref="L195:M195"/>
    <mergeCell ref="E195:J195"/>
    <mergeCell ref="E196:J196"/>
    <mergeCell ref="L196:M196"/>
    <mergeCell ref="E197:J197"/>
    <mergeCell ref="L197:M197"/>
    <mergeCell ref="E198:J198"/>
    <mergeCell ref="E199:J199"/>
    <mergeCell ref="L198:M198"/>
    <mergeCell ref="L199:M199"/>
    <mergeCell ref="E200:J200"/>
    <mergeCell ref="L200:M200"/>
    <mergeCell ref="E201:J201"/>
    <mergeCell ref="L201:M201"/>
    <mergeCell ref="L202:M202"/>
    <mergeCell ref="E202:J202"/>
    <mergeCell ref="E203:J203"/>
    <mergeCell ref="L203:M203"/>
    <mergeCell ref="E204:J204"/>
    <mergeCell ref="L204:M204"/>
    <mergeCell ref="E205:J205"/>
    <mergeCell ref="E206:J206"/>
    <mergeCell ref="L205:M205"/>
    <mergeCell ref="L206:M206"/>
    <mergeCell ref="E207:J207"/>
    <mergeCell ref="L207:M207"/>
    <mergeCell ref="E208:J208"/>
    <mergeCell ref="L208:M208"/>
    <mergeCell ref="L209:M209"/>
    <mergeCell ref="E209:J209"/>
    <mergeCell ref="E210:J210"/>
    <mergeCell ref="L210:M210"/>
    <mergeCell ref="E211:J211"/>
    <mergeCell ref="L211:M211"/>
    <mergeCell ref="E212:J212"/>
    <mergeCell ref="E213:J213"/>
    <mergeCell ref="L212:M212"/>
    <mergeCell ref="L213:M213"/>
    <mergeCell ref="E214:J214"/>
    <mergeCell ref="L214:M214"/>
    <mergeCell ref="E215:J215"/>
    <mergeCell ref="L215:M215"/>
    <mergeCell ref="L216:M216"/>
    <mergeCell ref="E216:J216"/>
    <mergeCell ref="E217:J217"/>
    <mergeCell ref="L217:M217"/>
    <mergeCell ref="E218:J218"/>
    <mergeCell ref="L218:M218"/>
    <mergeCell ref="E219:J219"/>
    <mergeCell ref="E220:J220"/>
    <mergeCell ref="E36:J36"/>
    <mergeCell ref="L36:M36"/>
    <mergeCell ref="E37:J37"/>
    <mergeCell ref="L37:M37"/>
    <mergeCell ref="E38:J38"/>
    <mergeCell ref="L38:M38"/>
    <mergeCell ref="L39:M39"/>
    <mergeCell ref="L42:M42"/>
    <mergeCell ref="L43:M43"/>
    <mergeCell ref="E39:J39"/>
    <mergeCell ref="E40:J40"/>
    <mergeCell ref="L40:M40"/>
    <mergeCell ref="E41:J41"/>
    <mergeCell ref="L41:M41"/>
    <mergeCell ref="E42:J42"/>
    <mergeCell ref="E43:J43"/>
    <mergeCell ref="E44:J44"/>
    <mergeCell ref="L44:M44"/>
    <mergeCell ref="E45:J45"/>
    <mergeCell ref="L45:M45"/>
    <mergeCell ref="E46:J46"/>
    <mergeCell ref="L46:M46"/>
    <mergeCell ref="L47:M47"/>
    <mergeCell ref="L50:M50"/>
    <mergeCell ref="L51:M51"/>
    <mergeCell ref="E47:J47"/>
    <mergeCell ref="E48:J48"/>
    <mergeCell ref="L48:M48"/>
    <mergeCell ref="E49:J49"/>
    <mergeCell ref="L49:M49"/>
    <mergeCell ref="E50:J50"/>
    <mergeCell ref="E51:J51"/>
    <mergeCell ref="E223:J223"/>
    <mergeCell ref="E224:J224"/>
    <mergeCell ref="L224:M224"/>
    <mergeCell ref="E225:J225"/>
    <mergeCell ref="L225:M225"/>
    <mergeCell ref="L219:M219"/>
    <mergeCell ref="L220:M220"/>
    <mergeCell ref="E221:J221"/>
    <mergeCell ref="L221:M221"/>
    <mergeCell ref="E222:J222"/>
    <mergeCell ref="L222:M222"/>
    <mergeCell ref="L223:M223"/>
    <mergeCell ref="L142:M142"/>
    <mergeCell ref="L143:M143"/>
    <mergeCell ref="E144:J144"/>
    <mergeCell ref="L144:M144"/>
    <mergeCell ref="E145:J145"/>
    <mergeCell ref="L145:M145"/>
    <mergeCell ref="L146:M146"/>
    <mergeCell ref="E146:J146"/>
    <mergeCell ref="E147:J147"/>
    <mergeCell ref="L147:M147"/>
    <mergeCell ref="E148:J148"/>
    <mergeCell ref="L148:M148"/>
    <mergeCell ref="E149:J149"/>
    <mergeCell ref="E150:J150"/>
    <mergeCell ref="L149:M149"/>
    <mergeCell ref="L150:M150"/>
    <mergeCell ref="E151:J151"/>
    <mergeCell ref="L151:M151"/>
    <mergeCell ref="E152:J152"/>
    <mergeCell ref="L152:M152"/>
    <mergeCell ref="L153:M153"/>
    <mergeCell ref="E153:J153"/>
    <mergeCell ref="E154:J154"/>
    <mergeCell ref="L154:M154"/>
    <mergeCell ref="E155:J155"/>
    <mergeCell ref="L155:M155"/>
    <mergeCell ref="E156:J156"/>
    <mergeCell ref="E157:J157"/>
    <mergeCell ref="L156:M156"/>
    <mergeCell ref="L157:M157"/>
    <mergeCell ref="E158:J158"/>
    <mergeCell ref="L158:M158"/>
    <mergeCell ref="E159:J159"/>
    <mergeCell ref="L159:M159"/>
    <mergeCell ref="L160:M160"/>
    <mergeCell ref="E160:J160"/>
    <mergeCell ref="E161:J161"/>
    <mergeCell ref="L161:M161"/>
    <mergeCell ref="E162:J162"/>
    <mergeCell ref="L162:M162"/>
    <mergeCell ref="E163:J163"/>
    <mergeCell ref="E164:J164"/>
    <mergeCell ref="L163:M163"/>
    <mergeCell ref="L164:M164"/>
    <mergeCell ref="E165:J165"/>
    <mergeCell ref="L165:M165"/>
    <mergeCell ref="E166:J166"/>
    <mergeCell ref="L166:M166"/>
    <mergeCell ref="L167:M167"/>
    <mergeCell ref="E167:J167"/>
    <mergeCell ref="E168:J168"/>
    <mergeCell ref="L168:M168"/>
    <mergeCell ref="E169:J169"/>
    <mergeCell ref="L169:M169"/>
    <mergeCell ref="E170:J170"/>
    <mergeCell ref="E171:J171"/>
    <mergeCell ref="L170:M170"/>
    <mergeCell ref="L171:M171"/>
    <mergeCell ref="E172:J172"/>
    <mergeCell ref="L172:M172"/>
    <mergeCell ref="E173:J173"/>
    <mergeCell ref="L173:M173"/>
    <mergeCell ref="L174:M174"/>
    <mergeCell ref="E174:J174"/>
    <mergeCell ref="E175:J175"/>
    <mergeCell ref="L175:M175"/>
    <mergeCell ref="E176:J176"/>
    <mergeCell ref="L176:M176"/>
    <mergeCell ref="E177:J177"/>
    <mergeCell ref="E178:J178"/>
    <mergeCell ref="L177:M177"/>
    <mergeCell ref="L178:M178"/>
    <mergeCell ref="E179:J179"/>
    <mergeCell ref="L179:M179"/>
    <mergeCell ref="E180:J180"/>
    <mergeCell ref="L180:M180"/>
    <mergeCell ref="L181:M181"/>
    <mergeCell ref="E181:J181"/>
    <mergeCell ref="E182:J182"/>
    <mergeCell ref="L182:M182"/>
    <mergeCell ref="E183:J183"/>
    <mergeCell ref="L183:M183"/>
    <mergeCell ref="E184:J184"/>
    <mergeCell ref="E185:J185"/>
    <mergeCell ref="L184:M184"/>
    <mergeCell ref="L185:M185"/>
    <mergeCell ref="E186:J186"/>
    <mergeCell ref="L186:M186"/>
    <mergeCell ref="E187:J187"/>
    <mergeCell ref="L187:M187"/>
    <mergeCell ref="L188:M188"/>
    <mergeCell ref="E188:J188"/>
    <mergeCell ref="E189:J189"/>
    <mergeCell ref="L189:M189"/>
    <mergeCell ref="E190:J190"/>
    <mergeCell ref="L190:M190"/>
    <mergeCell ref="E191:J191"/>
    <mergeCell ref="E192:J192"/>
  </mergeCells>
  <conditionalFormatting sqref="L11:L225">
    <cfRule type="cellIs" dxfId="0" priority="1" operator="equal">
      <formula>"APONTAR DATA"</formula>
    </cfRule>
  </conditionalFormatting>
  <conditionalFormatting sqref="L11:L225">
    <cfRule type="cellIs" dxfId="1" priority="2" operator="equal">
      <formula>"VENCIDO"</formula>
    </cfRule>
  </conditionalFormatting>
  <conditionalFormatting sqref="L11:L225">
    <cfRule type="cellIs" dxfId="2" priority="3" operator="equal">
      <formula>"VENCENDO"</formula>
    </cfRule>
  </conditionalFormatting>
  <conditionalFormatting sqref="L11:L225">
    <cfRule type="cellIs" dxfId="3" priority="4" operator="equal">
      <formula>"VENCE HOJE"</formula>
    </cfRule>
  </conditionalFormatting>
  <conditionalFormatting sqref="L11:L225">
    <cfRule type="cellIs" dxfId="4" priority="5" operator="equal">
      <formula>"NO PRAZO"</formula>
    </cfRule>
  </conditionalFormatting>
  <conditionalFormatting sqref="L11:L225">
    <cfRule type="cellIs" dxfId="5" priority="6" operator="equal">
      <formula>"NO PRAZO"</formula>
    </cfRule>
  </conditionalFormatting>
  <conditionalFormatting sqref="L11:L225">
    <cfRule type="cellIs" dxfId="6" priority="7" operator="equal">
      <formula>"VENCE HOJE"</formula>
    </cfRule>
  </conditionalFormatting>
  <conditionalFormatting sqref="L11:L225">
    <cfRule type="cellIs" dxfId="7" priority="8" operator="equal">
      <formula>"VENCENDO"</formula>
    </cfRule>
  </conditionalFormatting>
  <conditionalFormatting sqref="L11:L225">
    <cfRule type="cellIs" dxfId="1" priority="9" operator="equal">
      <formula>"VENCIDO"</formula>
    </cfRule>
  </conditionalFormatting>
  <conditionalFormatting sqref="L11:L225">
    <cfRule type="cellIs" dxfId="0" priority="10" operator="equal">
      <formula>"DATAR"</formula>
    </cfRule>
  </conditionalFormatting>
  <conditionalFormatting sqref="L11:L225">
    <cfRule type="cellIs" dxfId="8" priority="11" operator="equal">
      <formula>"CONCLUÍDO"</formula>
    </cfRule>
  </conditionalFormatting>
  <dataValidations>
    <dataValidation type="list" allowBlank="1" showErrorMessage="1" sqref="D11 D17 D22 D24:D225">
      <formula1>"DEMANDA INTERNA,ESTUDO DE CASO,MELHORIA / SUPORTE,TREINAMENTO / VISITA,PROSPECÇÃO,POC"</formula1>
    </dataValidation>
    <dataValidation type="list" allowBlank="1" showErrorMessage="1" sqref="B94:B105">
      <formula1>"A FAZER,AGENDAR,AGENDADO,PROCESSANDO,FINALIZADO"</formula1>
    </dataValidation>
    <dataValidation type="list" allowBlank="1" showErrorMessage="1" sqref="B11 B24:B93 B106:B225">
      <formula1>"A FAZER,MONITORAMENTO,PROCESSANDO,FINALIZADO"</formula1>
    </dataValidation>
    <dataValidation type="custom" allowBlank="1" showDropDown="1" sqref="K11 K24:K36 K38 K43 K51 K122:K225">
      <formula1>OR(NOT(ISERROR(DATEVALUE(K11))), AND(ISNUMBER(K11), LEFT(CELL("format", K11))="D"))</formula1>
    </dataValidation>
    <dataValidation type="list" allowBlank="1" showErrorMessage="1" sqref="C11:C93 C96:C98 C102 C105:C129 C131:C137 C141:C145 C149:C151 C153:C157 C159:C177 C179:C185 C187:C191 C193:C194 C196:C199 C201:C203 C207:C209 C211:C225">
      <formula1>Clientes!$A$2:$A$101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86"/>
    <col customWidth="1" min="2" max="2" width="17.57"/>
    <col customWidth="1" min="3" max="3" width="16.0"/>
    <col customWidth="1" min="4" max="4" width="17.0"/>
    <col customWidth="1" min="5" max="5" width="16.86"/>
    <col customWidth="1" min="6" max="6" width="27.86"/>
    <col customWidth="1" min="7" max="7" width="13.0"/>
    <col customWidth="1" min="8" max="8" width="18.71"/>
    <col customWidth="1" min="9" max="14" width="16.0"/>
    <col customWidth="1" min="15" max="15" width="24.0"/>
    <col customWidth="1" min="16" max="16" width="14.0"/>
    <col customWidth="1" min="17" max="26" width="8.71"/>
  </cols>
  <sheetData>
    <row r="1">
      <c r="A1" s="179" t="s">
        <v>1111</v>
      </c>
    </row>
    <row r="2">
      <c r="A2" s="180" t="s">
        <v>18</v>
      </c>
      <c r="B2" s="180" t="s">
        <v>20</v>
      </c>
      <c r="C2" s="180" t="s">
        <v>44</v>
      </c>
      <c r="D2" s="180" t="s">
        <v>45</v>
      </c>
      <c r="E2" s="180" t="s">
        <v>40</v>
      </c>
      <c r="F2" s="180" t="s">
        <v>47</v>
      </c>
      <c r="G2" s="180" t="s">
        <v>48</v>
      </c>
      <c r="H2" s="181" t="s">
        <v>1116</v>
      </c>
      <c r="I2" s="180" t="s">
        <v>750</v>
      </c>
      <c r="J2" s="180" t="s">
        <v>1119</v>
      </c>
      <c r="K2" s="180" t="s">
        <v>1120</v>
      </c>
      <c r="L2" s="180" t="s">
        <v>223</v>
      </c>
      <c r="M2" s="180" t="s">
        <v>217</v>
      </c>
      <c r="N2" s="180" t="s">
        <v>1121</v>
      </c>
      <c r="O2" s="182" t="s">
        <v>1122</v>
      </c>
      <c r="P2" s="183">
        <v>150.0</v>
      </c>
    </row>
    <row r="3">
      <c r="A3" s="184" t="s">
        <v>63</v>
      </c>
      <c r="B3" s="184" t="s">
        <v>75</v>
      </c>
      <c r="C3" s="184" t="s">
        <v>87</v>
      </c>
      <c r="D3" s="184" t="s">
        <v>104</v>
      </c>
      <c r="E3" s="184" t="s">
        <v>111</v>
      </c>
      <c r="F3" s="184" t="s">
        <v>243</v>
      </c>
      <c r="G3" s="184" t="s">
        <v>119</v>
      </c>
      <c r="H3" s="184" t="s">
        <v>128</v>
      </c>
      <c r="I3" s="184" t="s">
        <v>920</v>
      </c>
      <c r="J3" s="184" t="s">
        <v>65</v>
      </c>
      <c r="K3" s="184">
        <v>0.05</v>
      </c>
      <c r="L3" s="184" t="s">
        <v>161</v>
      </c>
      <c r="M3" s="184" t="s">
        <v>191</v>
      </c>
      <c r="N3" s="184" t="s">
        <v>186</v>
      </c>
      <c r="O3" s="185" t="s">
        <v>1128</v>
      </c>
    </row>
    <row r="4">
      <c r="A4" s="184" t="s">
        <v>456</v>
      </c>
      <c r="B4" s="184" t="s">
        <v>77</v>
      </c>
      <c r="C4" s="184" t="s">
        <v>85</v>
      </c>
      <c r="D4" s="184" t="s">
        <v>107</v>
      </c>
      <c r="E4" s="184" t="s">
        <v>113</v>
      </c>
      <c r="F4" s="184" t="s">
        <v>424</v>
      </c>
      <c r="G4" s="184" t="s">
        <v>121</v>
      </c>
      <c r="H4" s="184" t="s">
        <v>781</v>
      </c>
      <c r="I4" s="184" t="s">
        <v>81</v>
      </c>
      <c r="J4" s="184" t="s">
        <v>84</v>
      </c>
      <c r="K4" s="184">
        <v>0.1</v>
      </c>
      <c r="L4" s="184" t="s">
        <v>164</v>
      </c>
      <c r="M4" s="184" t="s">
        <v>195</v>
      </c>
      <c r="N4" s="184" t="s">
        <v>178</v>
      </c>
    </row>
    <row r="5">
      <c r="A5" s="184" t="s">
        <v>67</v>
      </c>
      <c r="B5" s="184" t="s">
        <v>78</v>
      </c>
      <c r="C5" s="184" t="s">
        <v>89</v>
      </c>
      <c r="D5" s="184" t="s">
        <v>109</v>
      </c>
      <c r="E5" s="184" t="s">
        <v>160</v>
      </c>
      <c r="F5" s="184" t="s">
        <v>227</v>
      </c>
      <c r="G5" s="184" t="s">
        <v>166</v>
      </c>
      <c r="H5" s="184" t="s">
        <v>726</v>
      </c>
      <c r="I5" s="184" t="s">
        <v>953</v>
      </c>
      <c r="J5" s="184" t="s">
        <v>105</v>
      </c>
      <c r="K5" s="184">
        <v>0.25</v>
      </c>
      <c r="L5" s="184" t="s">
        <v>33</v>
      </c>
      <c r="M5" s="184" t="s">
        <v>197</v>
      </c>
      <c r="N5" s="184" t="s">
        <v>180</v>
      </c>
    </row>
    <row r="6">
      <c r="A6" s="184" t="s">
        <v>69</v>
      </c>
      <c r="B6" s="184"/>
      <c r="C6" s="184"/>
      <c r="D6" s="184"/>
      <c r="E6" s="184"/>
      <c r="F6" s="186" t="s">
        <v>185</v>
      </c>
      <c r="G6" s="186" t="s">
        <v>270</v>
      </c>
      <c r="H6" s="184" t="s">
        <v>535</v>
      </c>
      <c r="I6" s="184" t="s">
        <v>231</v>
      </c>
      <c r="J6" s="184" t="s">
        <v>144</v>
      </c>
      <c r="K6" s="184">
        <v>0.4</v>
      </c>
      <c r="L6" s="184" t="s">
        <v>168</v>
      </c>
      <c r="M6" s="184"/>
      <c r="N6" s="184" t="s">
        <v>188</v>
      </c>
    </row>
    <row r="7">
      <c r="A7" s="184" t="s">
        <v>71</v>
      </c>
      <c r="B7" s="184"/>
      <c r="C7" s="184"/>
      <c r="D7" s="184"/>
      <c r="E7" s="184"/>
      <c r="G7" s="186" t="s">
        <v>185</v>
      </c>
      <c r="H7" s="184" t="s">
        <v>672</v>
      </c>
      <c r="I7" s="184" t="s">
        <v>779</v>
      </c>
      <c r="J7" s="184" t="s">
        <v>147</v>
      </c>
      <c r="K7" s="184">
        <v>0.6</v>
      </c>
      <c r="L7" s="184" t="s">
        <v>170</v>
      </c>
      <c r="M7" s="184"/>
      <c r="N7" s="184" t="s">
        <v>47</v>
      </c>
    </row>
    <row r="8">
      <c r="A8" s="184" t="s">
        <v>194</v>
      </c>
      <c r="B8" s="184"/>
      <c r="C8" s="184"/>
      <c r="D8" s="184"/>
      <c r="E8" s="184"/>
      <c r="F8" s="184"/>
      <c r="H8" s="184" t="s">
        <v>132</v>
      </c>
      <c r="I8" s="184" t="s">
        <v>247</v>
      </c>
      <c r="J8" s="184" t="s">
        <v>150</v>
      </c>
      <c r="K8" s="184">
        <v>0.8</v>
      </c>
      <c r="L8" s="184" t="s">
        <v>172</v>
      </c>
      <c r="M8" s="184"/>
      <c r="N8" s="184" t="s">
        <v>797</v>
      </c>
    </row>
    <row r="9">
      <c r="A9" s="184" t="s">
        <v>74</v>
      </c>
      <c r="B9" s="184"/>
      <c r="C9" s="184"/>
      <c r="D9" s="184"/>
      <c r="E9" s="184"/>
      <c r="F9" s="184"/>
      <c r="G9" s="184"/>
      <c r="H9" s="184" t="s">
        <v>763</v>
      </c>
      <c r="I9" s="184" t="s">
        <v>930</v>
      </c>
      <c r="J9" s="184" t="s">
        <v>153</v>
      </c>
      <c r="K9" s="184">
        <v>1.0</v>
      </c>
      <c r="L9" s="184" t="s">
        <v>174</v>
      </c>
      <c r="M9" s="184"/>
      <c r="N9" s="184"/>
    </row>
    <row r="10">
      <c r="A10" s="184"/>
      <c r="B10" s="184"/>
      <c r="C10" s="184"/>
      <c r="D10" s="184"/>
      <c r="E10" s="184"/>
      <c r="F10" s="184"/>
      <c r="G10" s="184"/>
      <c r="H10" s="184" t="s">
        <v>134</v>
      </c>
      <c r="I10" s="184" t="s">
        <v>586</v>
      </c>
      <c r="J10" s="184" t="s">
        <v>156</v>
      </c>
      <c r="K10" s="184">
        <v>0.0</v>
      </c>
      <c r="L10" s="184"/>
      <c r="M10" s="184"/>
      <c r="N10" s="184"/>
    </row>
    <row r="11">
      <c r="A11" s="184"/>
      <c r="B11" s="184"/>
      <c r="C11" s="184"/>
      <c r="D11" s="184"/>
      <c r="E11" s="184"/>
      <c r="F11" s="184"/>
      <c r="G11" s="184"/>
      <c r="H11" s="184" t="s">
        <v>652</v>
      </c>
      <c r="I11" s="184" t="s">
        <v>571</v>
      </c>
      <c r="J11" s="184"/>
      <c r="K11" s="184"/>
      <c r="L11" s="184"/>
      <c r="M11" s="184"/>
      <c r="N11" s="184"/>
    </row>
    <row r="12">
      <c r="A12" s="184"/>
      <c r="B12" s="184"/>
      <c r="C12" s="184"/>
      <c r="D12" s="184"/>
      <c r="E12" s="184"/>
      <c r="F12" s="184"/>
      <c r="G12" s="184"/>
      <c r="H12" s="184" t="s">
        <v>131</v>
      </c>
      <c r="I12" s="184"/>
      <c r="J12" s="184"/>
      <c r="K12" s="184"/>
      <c r="L12" s="184"/>
      <c r="M12" s="184"/>
      <c r="N12" s="184"/>
    </row>
    <row r="13">
      <c r="A13" s="184"/>
      <c r="B13" s="184"/>
      <c r="C13" s="184"/>
      <c r="D13" s="184"/>
      <c r="E13" s="184"/>
      <c r="F13" s="184"/>
      <c r="G13" s="184"/>
      <c r="H13" s="184" t="s">
        <v>553</v>
      </c>
      <c r="I13" s="184"/>
      <c r="J13" s="184"/>
      <c r="K13" s="184"/>
      <c r="L13" s="184"/>
      <c r="M13" s="184"/>
      <c r="N13" s="184"/>
    </row>
    <row r="14">
      <c r="A14" s="184"/>
      <c r="B14" s="184"/>
      <c r="C14" s="184"/>
      <c r="D14" s="184"/>
      <c r="E14" s="184"/>
      <c r="F14" s="184"/>
      <c r="G14" s="184"/>
      <c r="H14" s="184" t="s">
        <v>166</v>
      </c>
      <c r="I14" s="184"/>
      <c r="J14" s="184"/>
      <c r="K14" s="184"/>
      <c r="L14" s="184"/>
      <c r="M14" s="184"/>
      <c r="N14" s="184"/>
    </row>
    <row r="15">
      <c r="A15" s="184"/>
      <c r="B15" s="184"/>
      <c r="C15" s="184"/>
      <c r="D15" s="184"/>
      <c r="E15" s="184"/>
      <c r="F15" s="184"/>
      <c r="G15" s="184"/>
      <c r="H15" s="184" t="s">
        <v>1151</v>
      </c>
      <c r="I15" s="184"/>
      <c r="J15" s="184"/>
      <c r="K15" s="184"/>
      <c r="L15" s="184"/>
      <c r="M15" s="184"/>
      <c r="N15" s="184"/>
    </row>
    <row r="16">
      <c r="A16" s="184"/>
      <c r="B16" s="184"/>
      <c r="C16" s="184"/>
      <c r="D16" s="184"/>
      <c r="E16" s="184"/>
      <c r="F16" s="184"/>
      <c r="G16" s="184"/>
      <c r="H16" s="184" t="s">
        <v>130</v>
      </c>
      <c r="I16" s="184"/>
      <c r="J16" s="184"/>
      <c r="K16" s="184"/>
      <c r="L16" s="184"/>
      <c r="M16" s="184"/>
      <c r="N16" s="1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